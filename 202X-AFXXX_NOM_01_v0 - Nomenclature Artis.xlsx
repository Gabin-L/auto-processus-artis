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rtisgroupe.sharepoint.com/teams/2026-AF052_TravauxChimirec/Documents partages/General/04 - Achats - Appro/4.2 - Nomenclature/"/>
    </mc:Choice>
  </mc:AlternateContent>
  <xr:revisionPtr revIDLastSave="468" documentId="13_ncr:1_{ECE085AA-6C54-4E2B-8956-6333EE75834D}" xr6:coauthVersionLast="47" xr6:coauthVersionMax="47" xr10:uidLastSave="{D2428C0E-12AE-4E30-AC89-0A04B2969773}"/>
  <bookViews>
    <workbookView xWindow="-108" yWindow="-108" windowWidth="23256" windowHeight="12456" tabRatio="827" activeTab="1" xr2:uid="{F6E210BB-C3EA-4DEC-8530-86E819EFA3DF}"/>
  </bookViews>
  <sheets>
    <sheet name="Notice d'utilisation" sheetId="112" r:id="rId1"/>
    <sheet name="Nomenclature Générale" sheetId="3" r:id="rId2"/>
    <sheet name="ISO_001" sheetId="2" r:id="rId3"/>
    <sheet name="ISO_002" sheetId="113" r:id="rId4"/>
    <sheet name="ISO_003" sheetId="114" r:id="rId5"/>
    <sheet name="ISO_004" sheetId="115" r:id="rId6"/>
    <sheet name="ISO_005" sheetId="116" r:id="rId7"/>
    <sheet name="ISO_006" sheetId="117" r:id="rId8"/>
    <sheet name="ISO_007" sheetId="118" r:id="rId9"/>
    <sheet name="ISO_008" sheetId="119" r:id="rId10"/>
    <sheet name="ISO_009" sheetId="121" r:id="rId11"/>
    <sheet name="ISO_010" sheetId="120" r:id="rId1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2" i="3" l="1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L101" i="121" l="1"/>
  <c r="K101" i="121"/>
  <c r="J101" i="121"/>
  <c r="I101" i="121"/>
  <c r="H101" i="121"/>
  <c r="G101" i="121"/>
  <c r="F101" i="121"/>
  <c r="E101" i="121"/>
  <c r="D101" i="121"/>
  <c r="C101" i="121"/>
  <c r="L100" i="121"/>
  <c r="K100" i="121"/>
  <c r="J100" i="121"/>
  <c r="I100" i="121"/>
  <c r="H100" i="121"/>
  <c r="G100" i="121"/>
  <c r="F100" i="121"/>
  <c r="E100" i="121"/>
  <c r="D100" i="121"/>
  <c r="C100" i="121"/>
  <c r="L99" i="121"/>
  <c r="K99" i="121"/>
  <c r="J99" i="121"/>
  <c r="I99" i="121"/>
  <c r="H99" i="121"/>
  <c r="G99" i="121"/>
  <c r="F99" i="121"/>
  <c r="E99" i="121"/>
  <c r="D99" i="121"/>
  <c r="C99" i="121"/>
  <c r="L98" i="121"/>
  <c r="K98" i="121"/>
  <c r="J98" i="121"/>
  <c r="I98" i="121"/>
  <c r="H98" i="121"/>
  <c r="G98" i="121"/>
  <c r="F98" i="121"/>
  <c r="E98" i="121"/>
  <c r="D98" i="121"/>
  <c r="C98" i="121"/>
  <c r="L97" i="121"/>
  <c r="K97" i="121"/>
  <c r="J97" i="121"/>
  <c r="I97" i="121"/>
  <c r="H97" i="121"/>
  <c r="G97" i="121"/>
  <c r="F97" i="121"/>
  <c r="E97" i="121"/>
  <c r="D97" i="121"/>
  <c r="C97" i="121"/>
  <c r="L96" i="121"/>
  <c r="K96" i="121"/>
  <c r="J96" i="121"/>
  <c r="I96" i="121"/>
  <c r="H96" i="121"/>
  <c r="G96" i="121"/>
  <c r="F96" i="121"/>
  <c r="E96" i="121"/>
  <c r="D96" i="121"/>
  <c r="C96" i="121"/>
  <c r="L95" i="121"/>
  <c r="K95" i="121"/>
  <c r="J95" i="121"/>
  <c r="I95" i="121"/>
  <c r="H95" i="121"/>
  <c r="G95" i="121"/>
  <c r="F95" i="121"/>
  <c r="E95" i="121"/>
  <c r="D95" i="121"/>
  <c r="C95" i="121"/>
  <c r="L94" i="121"/>
  <c r="K94" i="121"/>
  <c r="J94" i="121"/>
  <c r="I94" i="121"/>
  <c r="H94" i="121"/>
  <c r="G94" i="121"/>
  <c r="F94" i="121"/>
  <c r="E94" i="121"/>
  <c r="D94" i="121"/>
  <c r="C94" i="121"/>
  <c r="L93" i="121"/>
  <c r="K93" i="121"/>
  <c r="J93" i="121"/>
  <c r="I93" i="121"/>
  <c r="H93" i="121"/>
  <c r="G93" i="121"/>
  <c r="F93" i="121"/>
  <c r="E93" i="121"/>
  <c r="D93" i="121"/>
  <c r="C93" i="121"/>
  <c r="L92" i="121"/>
  <c r="K92" i="121"/>
  <c r="J92" i="121"/>
  <c r="I92" i="121"/>
  <c r="H92" i="121"/>
  <c r="G92" i="121"/>
  <c r="F92" i="121"/>
  <c r="E92" i="121"/>
  <c r="D92" i="121"/>
  <c r="C92" i="121"/>
  <c r="L91" i="121"/>
  <c r="K91" i="121"/>
  <c r="J91" i="121"/>
  <c r="I91" i="121"/>
  <c r="H91" i="121"/>
  <c r="G91" i="121"/>
  <c r="F91" i="121"/>
  <c r="E91" i="121"/>
  <c r="D91" i="121"/>
  <c r="C91" i="121"/>
  <c r="L90" i="121"/>
  <c r="K90" i="121"/>
  <c r="J90" i="121"/>
  <c r="I90" i="121"/>
  <c r="H90" i="121"/>
  <c r="G90" i="121"/>
  <c r="F90" i="121"/>
  <c r="E90" i="121"/>
  <c r="D90" i="121"/>
  <c r="C90" i="121"/>
  <c r="L89" i="121"/>
  <c r="K89" i="121"/>
  <c r="J89" i="121"/>
  <c r="I89" i="121"/>
  <c r="H89" i="121"/>
  <c r="G89" i="121"/>
  <c r="F89" i="121"/>
  <c r="E89" i="121"/>
  <c r="D89" i="121"/>
  <c r="C89" i="121"/>
  <c r="L88" i="121"/>
  <c r="K88" i="121"/>
  <c r="J88" i="121"/>
  <c r="I88" i="121"/>
  <c r="H88" i="121"/>
  <c r="G88" i="121"/>
  <c r="F88" i="121"/>
  <c r="E88" i="121"/>
  <c r="D88" i="121"/>
  <c r="C88" i="121"/>
  <c r="L87" i="121"/>
  <c r="K87" i="121"/>
  <c r="J87" i="121"/>
  <c r="I87" i="121"/>
  <c r="H87" i="121"/>
  <c r="G87" i="121"/>
  <c r="F87" i="121"/>
  <c r="E87" i="121"/>
  <c r="D87" i="121"/>
  <c r="C87" i="121"/>
  <c r="L86" i="121"/>
  <c r="K86" i="121"/>
  <c r="J86" i="121"/>
  <c r="I86" i="121"/>
  <c r="H86" i="121"/>
  <c r="G86" i="121"/>
  <c r="F86" i="121"/>
  <c r="E86" i="121"/>
  <c r="D86" i="121"/>
  <c r="C86" i="121"/>
  <c r="L85" i="121"/>
  <c r="K85" i="121"/>
  <c r="J85" i="121"/>
  <c r="I85" i="121"/>
  <c r="H85" i="121"/>
  <c r="G85" i="121"/>
  <c r="F85" i="121"/>
  <c r="E85" i="121"/>
  <c r="D85" i="121"/>
  <c r="C85" i="121"/>
  <c r="L84" i="121"/>
  <c r="K84" i="121"/>
  <c r="J84" i="121"/>
  <c r="I84" i="121"/>
  <c r="H84" i="121"/>
  <c r="G84" i="121"/>
  <c r="F84" i="121"/>
  <c r="E84" i="121"/>
  <c r="D84" i="121"/>
  <c r="C84" i="121"/>
  <c r="L83" i="121"/>
  <c r="K83" i="121"/>
  <c r="J83" i="121"/>
  <c r="I83" i="121"/>
  <c r="H83" i="121"/>
  <c r="G83" i="121"/>
  <c r="F83" i="121"/>
  <c r="E83" i="121"/>
  <c r="D83" i="121"/>
  <c r="C83" i="121"/>
  <c r="L82" i="121"/>
  <c r="K82" i="121"/>
  <c r="J82" i="121"/>
  <c r="I82" i="121"/>
  <c r="H82" i="121"/>
  <c r="G82" i="121"/>
  <c r="F82" i="121"/>
  <c r="E82" i="121"/>
  <c r="D82" i="121"/>
  <c r="C82" i="121"/>
  <c r="L81" i="121"/>
  <c r="K81" i="121"/>
  <c r="J81" i="121"/>
  <c r="I81" i="121"/>
  <c r="H81" i="121"/>
  <c r="G81" i="121"/>
  <c r="F81" i="121"/>
  <c r="E81" i="121"/>
  <c r="D81" i="121"/>
  <c r="C81" i="121"/>
  <c r="L80" i="121"/>
  <c r="K80" i="121"/>
  <c r="J80" i="121"/>
  <c r="I80" i="121"/>
  <c r="H80" i="121"/>
  <c r="G80" i="121"/>
  <c r="F80" i="121"/>
  <c r="E80" i="121"/>
  <c r="D80" i="121"/>
  <c r="C80" i="121"/>
  <c r="L79" i="121"/>
  <c r="K79" i="121"/>
  <c r="J79" i="121"/>
  <c r="I79" i="121"/>
  <c r="H79" i="121"/>
  <c r="G79" i="121"/>
  <c r="F79" i="121"/>
  <c r="E79" i="121"/>
  <c r="D79" i="121"/>
  <c r="C79" i="121"/>
  <c r="L78" i="121"/>
  <c r="K78" i="121"/>
  <c r="J78" i="121"/>
  <c r="I78" i="121"/>
  <c r="H78" i="121"/>
  <c r="G78" i="121"/>
  <c r="F78" i="121"/>
  <c r="E78" i="121"/>
  <c r="D78" i="121"/>
  <c r="C78" i="121"/>
  <c r="L77" i="121"/>
  <c r="K77" i="121"/>
  <c r="J77" i="121"/>
  <c r="I77" i="121"/>
  <c r="H77" i="121"/>
  <c r="G77" i="121"/>
  <c r="F77" i="121"/>
  <c r="E77" i="121"/>
  <c r="D77" i="121"/>
  <c r="C77" i="121"/>
  <c r="L76" i="121"/>
  <c r="K76" i="121"/>
  <c r="J76" i="121"/>
  <c r="I76" i="121"/>
  <c r="H76" i="121"/>
  <c r="G76" i="121"/>
  <c r="F76" i="121"/>
  <c r="E76" i="121"/>
  <c r="D76" i="121"/>
  <c r="C76" i="121"/>
  <c r="L75" i="121"/>
  <c r="K75" i="121"/>
  <c r="J75" i="121"/>
  <c r="I75" i="121"/>
  <c r="H75" i="121"/>
  <c r="G75" i="121"/>
  <c r="F75" i="121"/>
  <c r="E75" i="121"/>
  <c r="D75" i="121"/>
  <c r="C75" i="121"/>
  <c r="L74" i="121"/>
  <c r="K74" i="121"/>
  <c r="J74" i="121"/>
  <c r="I74" i="121"/>
  <c r="H74" i="121"/>
  <c r="G74" i="121"/>
  <c r="F74" i="121"/>
  <c r="E74" i="121"/>
  <c r="D74" i="121"/>
  <c r="C74" i="121"/>
  <c r="L73" i="121"/>
  <c r="K73" i="121"/>
  <c r="J73" i="121"/>
  <c r="I73" i="121"/>
  <c r="H73" i="121"/>
  <c r="G73" i="121"/>
  <c r="F73" i="121"/>
  <c r="E73" i="121"/>
  <c r="D73" i="121"/>
  <c r="C73" i="121"/>
  <c r="L72" i="121"/>
  <c r="K72" i="121"/>
  <c r="J72" i="121"/>
  <c r="I72" i="121"/>
  <c r="H72" i="121"/>
  <c r="G72" i="121"/>
  <c r="F72" i="121"/>
  <c r="E72" i="121"/>
  <c r="D72" i="121"/>
  <c r="C72" i="121"/>
  <c r="L71" i="121"/>
  <c r="K71" i="121"/>
  <c r="J71" i="121"/>
  <c r="I71" i="121"/>
  <c r="H71" i="121"/>
  <c r="G71" i="121"/>
  <c r="F71" i="121"/>
  <c r="E71" i="121"/>
  <c r="D71" i="121"/>
  <c r="C71" i="121"/>
  <c r="L70" i="121"/>
  <c r="K70" i="121"/>
  <c r="J70" i="121"/>
  <c r="I70" i="121"/>
  <c r="H70" i="121"/>
  <c r="G70" i="121"/>
  <c r="F70" i="121"/>
  <c r="E70" i="121"/>
  <c r="D70" i="121"/>
  <c r="C70" i="121"/>
  <c r="L69" i="121"/>
  <c r="K69" i="121"/>
  <c r="J69" i="121"/>
  <c r="I69" i="121"/>
  <c r="H69" i="121"/>
  <c r="G69" i="121"/>
  <c r="F69" i="121"/>
  <c r="E69" i="121"/>
  <c r="D69" i="121"/>
  <c r="C69" i="121"/>
  <c r="L68" i="121"/>
  <c r="K68" i="121"/>
  <c r="J68" i="121"/>
  <c r="I68" i="121"/>
  <c r="H68" i="121"/>
  <c r="G68" i="121"/>
  <c r="F68" i="121"/>
  <c r="E68" i="121"/>
  <c r="D68" i="121"/>
  <c r="C68" i="121"/>
  <c r="L67" i="121"/>
  <c r="K67" i="121"/>
  <c r="J67" i="121"/>
  <c r="I67" i="121"/>
  <c r="H67" i="121"/>
  <c r="G67" i="121"/>
  <c r="F67" i="121"/>
  <c r="E67" i="121"/>
  <c r="D67" i="121"/>
  <c r="C67" i="121"/>
  <c r="L66" i="121"/>
  <c r="K66" i="121"/>
  <c r="J66" i="121"/>
  <c r="I66" i="121"/>
  <c r="H66" i="121"/>
  <c r="G66" i="121"/>
  <c r="F66" i="121"/>
  <c r="E66" i="121"/>
  <c r="D66" i="121"/>
  <c r="C66" i="121"/>
  <c r="L65" i="121"/>
  <c r="K65" i="121"/>
  <c r="J65" i="121"/>
  <c r="I65" i="121"/>
  <c r="H65" i="121"/>
  <c r="G65" i="121"/>
  <c r="F65" i="121"/>
  <c r="E65" i="121"/>
  <c r="D65" i="121"/>
  <c r="C65" i="121"/>
  <c r="L64" i="121"/>
  <c r="K64" i="121"/>
  <c r="J64" i="121"/>
  <c r="I64" i="121"/>
  <c r="H64" i="121"/>
  <c r="G64" i="121"/>
  <c r="F64" i="121"/>
  <c r="E64" i="121"/>
  <c r="D64" i="121"/>
  <c r="C64" i="121"/>
  <c r="L63" i="121"/>
  <c r="K63" i="121"/>
  <c r="J63" i="121"/>
  <c r="I63" i="121"/>
  <c r="H63" i="121"/>
  <c r="G63" i="121"/>
  <c r="F63" i="121"/>
  <c r="E63" i="121"/>
  <c r="D63" i="121"/>
  <c r="C63" i="121"/>
  <c r="L62" i="121"/>
  <c r="K62" i="121"/>
  <c r="J62" i="121"/>
  <c r="I62" i="121"/>
  <c r="H62" i="121"/>
  <c r="G62" i="121"/>
  <c r="F62" i="121"/>
  <c r="E62" i="121"/>
  <c r="D62" i="121"/>
  <c r="C62" i="121"/>
  <c r="L61" i="121"/>
  <c r="K61" i="121"/>
  <c r="J61" i="121"/>
  <c r="I61" i="121"/>
  <c r="H61" i="121"/>
  <c r="G61" i="121"/>
  <c r="F61" i="121"/>
  <c r="E61" i="121"/>
  <c r="D61" i="121"/>
  <c r="C61" i="121"/>
  <c r="L60" i="121"/>
  <c r="K60" i="121"/>
  <c r="J60" i="121"/>
  <c r="I60" i="121"/>
  <c r="H60" i="121"/>
  <c r="G60" i="121"/>
  <c r="F60" i="121"/>
  <c r="E60" i="121"/>
  <c r="D60" i="121"/>
  <c r="C60" i="121"/>
  <c r="L59" i="121"/>
  <c r="K59" i="121"/>
  <c r="J59" i="121"/>
  <c r="I59" i="121"/>
  <c r="H59" i="121"/>
  <c r="G59" i="121"/>
  <c r="F59" i="121"/>
  <c r="E59" i="121"/>
  <c r="D59" i="121"/>
  <c r="C59" i="121"/>
  <c r="L58" i="121"/>
  <c r="K58" i="121"/>
  <c r="J58" i="121"/>
  <c r="I58" i="121"/>
  <c r="H58" i="121"/>
  <c r="G58" i="121"/>
  <c r="F58" i="121"/>
  <c r="E58" i="121"/>
  <c r="D58" i="121"/>
  <c r="C58" i="121"/>
  <c r="L57" i="121"/>
  <c r="K57" i="121"/>
  <c r="J57" i="121"/>
  <c r="I57" i="121"/>
  <c r="H57" i="121"/>
  <c r="G57" i="121"/>
  <c r="F57" i="121"/>
  <c r="E57" i="121"/>
  <c r="D57" i="121"/>
  <c r="C57" i="121"/>
  <c r="L56" i="121"/>
  <c r="K56" i="121"/>
  <c r="J56" i="121"/>
  <c r="I56" i="121"/>
  <c r="H56" i="121"/>
  <c r="G56" i="121"/>
  <c r="F56" i="121"/>
  <c r="E56" i="121"/>
  <c r="D56" i="121"/>
  <c r="C56" i="121"/>
  <c r="L55" i="121"/>
  <c r="K55" i="121"/>
  <c r="J55" i="121"/>
  <c r="I55" i="121"/>
  <c r="H55" i="121"/>
  <c r="G55" i="121"/>
  <c r="F55" i="121"/>
  <c r="E55" i="121"/>
  <c r="D55" i="121"/>
  <c r="C55" i="121"/>
  <c r="L54" i="121"/>
  <c r="K54" i="121"/>
  <c r="J54" i="121"/>
  <c r="I54" i="121"/>
  <c r="H54" i="121"/>
  <c r="G54" i="121"/>
  <c r="F54" i="121"/>
  <c r="E54" i="121"/>
  <c r="D54" i="121"/>
  <c r="C54" i="121"/>
  <c r="L53" i="121"/>
  <c r="K53" i="121"/>
  <c r="J53" i="121"/>
  <c r="I53" i="121"/>
  <c r="H53" i="121"/>
  <c r="G53" i="121"/>
  <c r="F53" i="121"/>
  <c r="E53" i="121"/>
  <c r="D53" i="121"/>
  <c r="C53" i="121"/>
  <c r="L52" i="121"/>
  <c r="K52" i="121"/>
  <c r="J52" i="121"/>
  <c r="I52" i="121"/>
  <c r="H52" i="121"/>
  <c r="G52" i="121"/>
  <c r="F52" i="121"/>
  <c r="E52" i="121"/>
  <c r="D52" i="121"/>
  <c r="C52" i="121"/>
  <c r="L51" i="121"/>
  <c r="K51" i="121"/>
  <c r="J51" i="121"/>
  <c r="I51" i="121"/>
  <c r="H51" i="121"/>
  <c r="G51" i="121"/>
  <c r="F51" i="121"/>
  <c r="E51" i="121"/>
  <c r="D51" i="121"/>
  <c r="C51" i="121"/>
  <c r="L50" i="121"/>
  <c r="K50" i="121"/>
  <c r="J50" i="121"/>
  <c r="I50" i="121"/>
  <c r="H50" i="121"/>
  <c r="G50" i="121"/>
  <c r="F50" i="121"/>
  <c r="E50" i="121"/>
  <c r="D50" i="121"/>
  <c r="C50" i="121"/>
  <c r="L49" i="121"/>
  <c r="K49" i="121"/>
  <c r="J49" i="121"/>
  <c r="I49" i="121"/>
  <c r="H49" i="121"/>
  <c r="G49" i="121"/>
  <c r="F49" i="121"/>
  <c r="E49" i="121"/>
  <c r="D49" i="121"/>
  <c r="C49" i="121"/>
  <c r="L48" i="121"/>
  <c r="K48" i="121"/>
  <c r="J48" i="121"/>
  <c r="I48" i="121"/>
  <c r="H48" i="121"/>
  <c r="G48" i="121"/>
  <c r="F48" i="121"/>
  <c r="E48" i="121"/>
  <c r="D48" i="121"/>
  <c r="C48" i="121"/>
  <c r="L47" i="121"/>
  <c r="K47" i="121"/>
  <c r="J47" i="121"/>
  <c r="I47" i="121"/>
  <c r="H47" i="121"/>
  <c r="G47" i="121"/>
  <c r="F47" i="121"/>
  <c r="E47" i="121"/>
  <c r="D47" i="121"/>
  <c r="C47" i="121"/>
  <c r="L46" i="121"/>
  <c r="K46" i="121"/>
  <c r="J46" i="121"/>
  <c r="I46" i="121"/>
  <c r="H46" i="121"/>
  <c r="G46" i="121"/>
  <c r="F46" i="121"/>
  <c r="E46" i="121"/>
  <c r="D46" i="121"/>
  <c r="C46" i="121"/>
  <c r="L45" i="121"/>
  <c r="K45" i="121"/>
  <c r="J45" i="121"/>
  <c r="I45" i="121"/>
  <c r="H45" i="121"/>
  <c r="G45" i="121"/>
  <c r="F45" i="121"/>
  <c r="E45" i="121"/>
  <c r="D45" i="121"/>
  <c r="C45" i="121"/>
  <c r="L44" i="121"/>
  <c r="K44" i="121"/>
  <c r="J44" i="121"/>
  <c r="I44" i="121"/>
  <c r="H44" i="121"/>
  <c r="G44" i="121"/>
  <c r="F44" i="121"/>
  <c r="E44" i="121"/>
  <c r="D44" i="121"/>
  <c r="C44" i="121"/>
  <c r="L43" i="121"/>
  <c r="K43" i="121"/>
  <c r="J43" i="121"/>
  <c r="I43" i="121"/>
  <c r="H43" i="121"/>
  <c r="G43" i="121"/>
  <c r="F43" i="121"/>
  <c r="E43" i="121"/>
  <c r="D43" i="121"/>
  <c r="C43" i="121"/>
  <c r="L42" i="121"/>
  <c r="K42" i="121"/>
  <c r="J42" i="121"/>
  <c r="I42" i="121"/>
  <c r="H42" i="121"/>
  <c r="G42" i="121"/>
  <c r="F42" i="121"/>
  <c r="E42" i="121"/>
  <c r="D42" i="121"/>
  <c r="C42" i="121"/>
  <c r="L41" i="121"/>
  <c r="K41" i="121"/>
  <c r="J41" i="121"/>
  <c r="I41" i="121"/>
  <c r="H41" i="121"/>
  <c r="G41" i="121"/>
  <c r="F41" i="121"/>
  <c r="E41" i="121"/>
  <c r="D41" i="121"/>
  <c r="C41" i="121"/>
  <c r="L40" i="121"/>
  <c r="K40" i="121"/>
  <c r="J40" i="121"/>
  <c r="I40" i="121"/>
  <c r="H40" i="121"/>
  <c r="G40" i="121"/>
  <c r="F40" i="121"/>
  <c r="E40" i="121"/>
  <c r="D40" i="121"/>
  <c r="C40" i="121"/>
  <c r="L39" i="121"/>
  <c r="K39" i="121"/>
  <c r="J39" i="121"/>
  <c r="I39" i="121"/>
  <c r="H39" i="121"/>
  <c r="G39" i="121"/>
  <c r="F39" i="121"/>
  <c r="E39" i="121"/>
  <c r="D39" i="121"/>
  <c r="C39" i="121"/>
  <c r="L38" i="121"/>
  <c r="K38" i="121"/>
  <c r="J38" i="121"/>
  <c r="I38" i="121"/>
  <c r="H38" i="121"/>
  <c r="G38" i="121"/>
  <c r="F38" i="121"/>
  <c r="E38" i="121"/>
  <c r="D38" i="121"/>
  <c r="C38" i="121"/>
  <c r="L37" i="121"/>
  <c r="K37" i="121"/>
  <c r="J37" i="121"/>
  <c r="I37" i="121"/>
  <c r="H37" i="121"/>
  <c r="G37" i="121"/>
  <c r="F37" i="121"/>
  <c r="E37" i="121"/>
  <c r="D37" i="121"/>
  <c r="C37" i="121"/>
  <c r="L36" i="121"/>
  <c r="K36" i="121"/>
  <c r="J36" i="121"/>
  <c r="I36" i="121"/>
  <c r="H36" i="121"/>
  <c r="G36" i="121"/>
  <c r="F36" i="121"/>
  <c r="E36" i="121"/>
  <c r="D36" i="121"/>
  <c r="C36" i="121"/>
  <c r="L35" i="121"/>
  <c r="K35" i="121"/>
  <c r="J35" i="121"/>
  <c r="I35" i="121"/>
  <c r="H35" i="121"/>
  <c r="G35" i="121"/>
  <c r="F35" i="121"/>
  <c r="E35" i="121"/>
  <c r="D35" i="121"/>
  <c r="C35" i="121"/>
  <c r="L34" i="121"/>
  <c r="K34" i="121"/>
  <c r="J34" i="121"/>
  <c r="I34" i="121"/>
  <c r="H34" i="121"/>
  <c r="G34" i="121"/>
  <c r="F34" i="121"/>
  <c r="E34" i="121"/>
  <c r="D34" i="121"/>
  <c r="C34" i="121"/>
  <c r="L33" i="121"/>
  <c r="K33" i="121"/>
  <c r="J33" i="121"/>
  <c r="I33" i="121"/>
  <c r="H33" i="121"/>
  <c r="G33" i="121"/>
  <c r="F33" i="121"/>
  <c r="E33" i="121"/>
  <c r="D33" i="121"/>
  <c r="C33" i="121"/>
  <c r="L32" i="121"/>
  <c r="K32" i="121"/>
  <c r="J32" i="121"/>
  <c r="I32" i="121"/>
  <c r="H32" i="121"/>
  <c r="G32" i="121"/>
  <c r="F32" i="121"/>
  <c r="E32" i="121"/>
  <c r="D32" i="121"/>
  <c r="C32" i="121"/>
  <c r="L31" i="121"/>
  <c r="K31" i="121"/>
  <c r="J31" i="121"/>
  <c r="I31" i="121"/>
  <c r="H31" i="121"/>
  <c r="G31" i="121"/>
  <c r="F31" i="121"/>
  <c r="E31" i="121"/>
  <c r="D31" i="121"/>
  <c r="C31" i="121"/>
  <c r="L30" i="121"/>
  <c r="K30" i="121"/>
  <c r="J30" i="121"/>
  <c r="I30" i="121"/>
  <c r="H30" i="121"/>
  <c r="G30" i="121"/>
  <c r="F30" i="121"/>
  <c r="E30" i="121"/>
  <c r="D30" i="121"/>
  <c r="C30" i="121"/>
  <c r="L29" i="121"/>
  <c r="K29" i="121"/>
  <c r="J29" i="121"/>
  <c r="I29" i="121"/>
  <c r="H29" i="121"/>
  <c r="G29" i="121"/>
  <c r="F29" i="121"/>
  <c r="E29" i="121"/>
  <c r="D29" i="121"/>
  <c r="C29" i="121"/>
  <c r="L28" i="121"/>
  <c r="K28" i="121"/>
  <c r="J28" i="121"/>
  <c r="I28" i="121"/>
  <c r="H28" i="121"/>
  <c r="G28" i="121"/>
  <c r="F28" i="121"/>
  <c r="E28" i="121"/>
  <c r="D28" i="121"/>
  <c r="C28" i="121"/>
  <c r="L27" i="121"/>
  <c r="K27" i="121"/>
  <c r="J27" i="121"/>
  <c r="I27" i="121"/>
  <c r="H27" i="121"/>
  <c r="G27" i="121"/>
  <c r="F27" i="121"/>
  <c r="E27" i="121"/>
  <c r="D27" i="121"/>
  <c r="C27" i="121"/>
  <c r="L26" i="121"/>
  <c r="K26" i="121"/>
  <c r="J26" i="121"/>
  <c r="I26" i="121"/>
  <c r="H26" i="121"/>
  <c r="G26" i="121"/>
  <c r="F26" i="121"/>
  <c r="E26" i="121"/>
  <c r="D26" i="121"/>
  <c r="C26" i="121"/>
  <c r="L25" i="121"/>
  <c r="K25" i="121"/>
  <c r="J25" i="121"/>
  <c r="I25" i="121"/>
  <c r="H25" i="121"/>
  <c r="G25" i="121"/>
  <c r="F25" i="121"/>
  <c r="E25" i="121"/>
  <c r="D25" i="121"/>
  <c r="C25" i="121"/>
  <c r="L24" i="121"/>
  <c r="K24" i="121"/>
  <c r="J24" i="121"/>
  <c r="I24" i="121"/>
  <c r="H24" i="121"/>
  <c r="G24" i="121"/>
  <c r="F24" i="121"/>
  <c r="E24" i="121"/>
  <c r="D24" i="121"/>
  <c r="C24" i="121"/>
  <c r="L23" i="121"/>
  <c r="K23" i="121"/>
  <c r="J23" i="121"/>
  <c r="I23" i="121"/>
  <c r="H23" i="121"/>
  <c r="G23" i="121"/>
  <c r="F23" i="121"/>
  <c r="E23" i="121"/>
  <c r="D23" i="121"/>
  <c r="C23" i="121"/>
  <c r="L22" i="121"/>
  <c r="K22" i="121"/>
  <c r="J22" i="121"/>
  <c r="I22" i="121"/>
  <c r="H22" i="121"/>
  <c r="G22" i="121"/>
  <c r="F22" i="121"/>
  <c r="E22" i="121"/>
  <c r="D22" i="121"/>
  <c r="C22" i="121"/>
  <c r="L21" i="121"/>
  <c r="K21" i="121"/>
  <c r="J21" i="121"/>
  <c r="I21" i="121"/>
  <c r="H21" i="121"/>
  <c r="G21" i="121"/>
  <c r="F21" i="121"/>
  <c r="E21" i="121"/>
  <c r="D21" i="121"/>
  <c r="C21" i="121"/>
  <c r="L20" i="121"/>
  <c r="K20" i="121"/>
  <c r="J20" i="121"/>
  <c r="I20" i="121"/>
  <c r="H20" i="121"/>
  <c r="G20" i="121"/>
  <c r="F20" i="121"/>
  <c r="E20" i="121"/>
  <c r="D20" i="121"/>
  <c r="C20" i="121"/>
  <c r="L19" i="121"/>
  <c r="K19" i="121"/>
  <c r="J19" i="121"/>
  <c r="I19" i="121"/>
  <c r="H19" i="121"/>
  <c r="G19" i="121"/>
  <c r="F19" i="121"/>
  <c r="E19" i="121"/>
  <c r="D19" i="121"/>
  <c r="C19" i="121"/>
  <c r="L18" i="121"/>
  <c r="K18" i="121"/>
  <c r="J18" i="121"/>
  <c r="I18" i="121"/>
  <c r="H18" i="121"/>
  <c r="G18" i="121"/>
  <c r="F18" i="121"/>
  <c r="E18" i="121"/>
  <c r="D18" i="121"/>
  <c r="C18" i="121"/>
  <c r="L17" i="121"/>
  <c r="K17" i="121"/>
  <c r="J17" i="121"/>
  <c r="I17" i="121"/>
  <c r="H17" i="121"/>
  <c r="G17" i="121"/>
  <c r="F17" i="121"/>
  <c r="E17" i="121"/>
  <c r="D17" i="121"/>
  <c r="C17" i="121"/>
  <c r="L16" i="121"/>
  <c r="K16" i="121"/>
  <c r="J16" i="121"/>
  <c r="I16" i="121"/>
  <c r="H16" i="121"/>
  <c r="G16" i="121"/>
  <c r="F16" i="121"/>
  <c r="E16" i="121"/>
  <c r="D16" i="121"/>
  <c r="C16" i="121"/>
  <c r="L15" i="121"/>
  <c r="K15" i="121"/>
  <c r="J15" i="121"/>
  <c r="I15" i="121"/>
  <c r="H15" i="121"/>
  <c r="G15" i="121"/>
  <c r="F15" i="121"/>
  <c r="E15" i="121"/>
  <c r="D15" i="121"/>
  <c r="C15" i="121"/>
  <c r="L14" i="121"/>
  <c r="K14" i="121"/>
  <c r="J14" i="121"/>
  <c r="I14" i="121"/>
  <c r="H14" i="121"/>
  <c r="G14" i="121"/>
  <c r="F14" i="121"/>
  <c r="E14" i="121"/>
  <c r="D14" i="121"/>
  <c r="C14" i="121"/>
  <c r="L13" i="121"/>
  <c r="K13" i="121"/>
  <c r="J13" i="121"/>
  <c r="I13" i="121"/>
  <c r="H13" i="121"/>
  <c r="G13" i="121"/>
  <c r="F13" i="121"/>
  <c r="E13" i="121"/>
  <c r="D13" i="121"/>
  <c r="C13" i="121"/>
  <c r="L12" i="121"/>
  <c r="K12" i="121"/>
  <c r="J12" i="121"/>
  <c r="I12" i="121"/>
  <c r="H12" i="121"/>
  <c r="G12" i="121"/>
  <c r="F12" i="121"/>
  <c r="E12" i="121"/>
  <c r="D12" i="121"/>
  <c r="C12" i="121"/>
  <c r="L11" i="121"/>
  <c r="K11" i="121"/>
  <c r="J11" i="121"/>
  <c r="I11" i="121"/>
  <c r="H11" i="121"/>
  <c r="G11" i="121"/>
  <c r="F11" i="121"/>
  <c r="E11" i="121"/>
  <c r="D11" i="121"/>
  <c r="C11" i="121"/>
  <c r="L10" i="121"/>
  <c r="K10" i="121"/>
  <c r="J10" i="121"/>
  <c r="I10" i="121"/>
  <c r="H10" i="121"/>
  <c r="G10" i="121"/>
  <c r="F10" i="121"/>
  <c r="E10" i="121"/>
  <c r="D10" i="121"/>
  <c r="C10" i="121"/>
  <c r="L9" i="121"/>
  <c r="K9" i="121"/>
  <c r="J9" i="121"/>
  <c r="I9" i="121"/>
  <c r="H9" i="121"/>
  <c r="G9" i="121"/>
  <c r="F9" i="121"/>
  <c r="E9" i="121"/>
  <c r="D9" i="121"/>
  <c r="C9" i="121"/>
  <c r="L8" i="121"/>
  <c r="K8" i="121"/>
  <c r="J8" i="121"/>
  <c r="I8" i="121"/>
  <c r="H8" i="121"/>
  <c r="G8" i="121"/>
  <c r="F8" i="121"/>
  <c r="E8" i="121"/>
  <c r="D8" i="121"/>
  <c r="C8" i="121"/>
  <c r="L7" i="121"/>
  <c r="K7" i="121"/>
  <c r="J7" i="121"/>
  <c r="I7" i="121"/>
  <c r="H7" i="121"/>
  <c r="G7" i="121"/>
  <c r="F7" i="121"/>
  <c r="E7" i="121"/>
  <c r="D7" i="121"/>
  <c r="C7" i="121"/>
  <c r="L6" i="121"/>
  <c r="K6" i="121"/>
  <c r="J6" i="121"/>
  <c r="I6" i="121"/>
  <c r="H6" i="121"/>
  <c r="G6" i="121"/>
  <c r="F6" i="121"/>
  <c r="E6" i="121"/>
  <c r="D6" i="121"/>
  <c r="C6" i="121"/>
  <c r="L5" i="121"/>
  <c r="K5" i="121"/>
  <c r="J5" i="121"/>
  <c r="I5" i="121"/>
  <c r="H5" i="121"/>
  <c r="G5" i="121"/>
  <c r="F5" i="121"/>
  <c r="E5" i="121"/>
  <c r="D5" i="121"/>
  <c r="C5" i="121"/>
  <c r="L4" i="121"/>
  <c r="K4" i="121"/>
  <c r="J4" i="121"/>
  <c r="I4" i="121"/>
  <c r="H4" i="121"/>
  <c r="G4" i="121"/>
  <c r="F4" i="121"/>
  <c r="E4" i="121"/>
  <c r="D4" i="121"/>
  <c r="C4" i="121"/>
  <c r="L3" i="121"/>
  <c r="K3" i="121"/>
  <c r="J3" i="121"/>
  <c r="I3" i="121"/>
  <c r="H3" i="121"/>
  <c r="G3" i="121"/>
  <c r="F3" i="121"/>
  <c r="E3" i="121"/>
  <c r="D3" i="121"/>
  <c r="C3" i="121"/>
  <c r="L2" i="121"/>
  <c r="K2" i="121"/>
  <c r="J2" i="121"/>
  <c r="I2" i="121"/>
  <c r="H2" i="121"/>
  <c r="G2" i="121"/>
  <c r="F2" i="121"/>
  <c r="E2" i="121"/>
  <c r="D2" i="121"/>
  <c r="C2" i="121"/>
  <c r="L101" i="120"/>
  <c r="K101" i="120"/>
  <c r="J101" i="120"/>
  <c r="I101" i="120"/>
  <c r="H101" i="120"/>
  <c r="G101" i="120"/>
  <c r="F101" i="120"/>
  <c r="E101" i="120"/>
  <c r="D101" i="120"/>
  <c r="C101" i="120"/>
  <c r="L100" i="120"/>
  <c r="K100" i="120"/>
  <c r="J100" i="120"/>
  <c r="I100" i="120"/>
  <c r="H100" i="120"/>
  <c r="G100" i="120"/>
  <c r="F100" i="120"/>
  <c r="E100" i="120"/>
  <c r="D100" i="120"/>
  <c r="C100" i="120"/>
  <c r="L99" i="120"/>
  <c r="K99" i="120"/>
  <c r="J99" i="120"/>
  <c r="I99" i="120"/>
  <c r="H99" i="120"/>
  <c r="G99" i="120"/>
  <c r="F99" i="120"/>
  <c r="E99" i="120"/>
  <c r="D99" i="120"/>
  <c r="C99" i="120"/>
  <c r="L98" i="120"/>
  <c r="K98" i="120"/>
  <c r="J98" i="120"/>
  <c r="I98" i="120"/>
  <c r="H98" i="120"/>
  <c r="G98" i="120"/>
  <c r="F98" i="120"/>
  <c r="E98" i="120"/>
  <c r="D98" i="120"/>
  <c r="C98" i="120"/>
  <c r="L97" i="120"/>
  <c r="K97" i="120"/>
  <c r="J97" i="120"/>
  <c r="I97" i="120"/>
  <c r="H97" i="120"/>
  <c r="G97" i="120"/>
  <c r="F97" i="120"/>
  <c r="E97" i="120"/>
  <c r="D97" i="120"/>
  <c r="C97" i="120"/>
  <c r="L96" i="120"/>
  <c r="K96" i="120"/>
  <c r="J96" i="120"/>
  <c r="I96" i="120"/>
  <c r="H96" i="120"/>
  <c r="G96" i="120"/>
  <c r="F96" i="120"/>
  <c r="E96" i="120"/>
  <c r="D96" i="120"/>
  <c r="C96" i="120"/>
  <c r="L95" i="120"/>
  <c r="K95" i="120"/>
  <c r="J95" i="120"/>
  <c r="I95" i="120"/>
  <c r="H95" i="120"/>
  <c r="G95" i="120"/>
  <c r="F95" i="120"/>
  <c r="E95" i="120"/>
  <c r="D95" i="120"/>
  <c r="C95" i="120"/>
  <c r="L94" i="120"/>
  <c r="K94" i="120"/>
  <c r="J94" i="120"/>
  <c r="I94" i="120"/>
  <c r="H94" i="120"/>
  <c r="G94" i="120"/>
  <c r="F94" i="120"/>
  <c r="E94" i="120"/>
  <c r="D94" i="120"/>
  <c r="C94" i="120"/>
  <c r="L93" i="120"/>
  <c r="K93" i="120"/>
  <c r="J93" i="120"/>
  <c r="I93" i="120"/>
  <c r="H93" i="120"/>
  <c r="G93" i="120"/>
  <c r="F93" i="120"/>
  <c r="E93" i="120"/>
  <c r="D93" i="120"/>
  <c r="C93" i="120"/>
  <c r="L92" i="120"/>
  <c r="K92" i="120"/>
  <c r="J92" i="120"/>
  <c r="I92" i="120"/>
  <c r="H92" i="120"/>
  <c r="G92" i="120"/>
  <c r="F92" i="120"/>
  <c r="E92" i="120"/>
  <c r="D92" i="120"/>
  <c r="C92" i="120"/>
  <c r="L91" i="120"/>
  <c r="K91" i="120"/>
  <c r="J91" i="120"/>
  <c r="I91" i="120"/>
  <c r="H91" i="120"/>
  <c r="G91" i="120"/>
  <c r="F91" i="120"/>
  <c r="E91" i="120"/>
  <c r="D91" i="120"/>
  <c r="C91" i="120"/>
  <c r="L90" i="120"/>
  <c r="K90" i="120"/>
  <c r="J90" i="120"/>
  <c r="I90" i="120"/>
  <c r="H90" i="120"/>
  <c r="G90" i="120"/>
  <c r="F90" i="120"/>
  <c r="E90" i="120"/>
  <c r="D90" i="120"/>
  <c r="C90" i="120"/>
  <c r="L89" i="120"/>
  <c r="K89" i="120"/>
  <c r="J89" i="120"/>
  <c r="I89" i="120"/>
  <c r="H89" i="120"/>
  <c r="G89" i="120"/>
  <c r="F89" i="120"/>
  <c r="E89" i="120"/>
  <c r="D89" i="120"/>
  <c r="C89" i="120"/>
  <c r="L88" i="120"/>
  <c r="K88" i="120"/>
  <c r="J88" i="120"/>
  <c r="I88" i="120"/>
  <c r="H88" i="120"/>
  <c r="G88" i="120"/>
  <c r="F88" i="120"/>
  <c r="E88" i="120"/>
  <c r="D88" i="120"/>
  <c r="C88" i="120"/>
  <c r="L87" i="120"/>
  <c r="K87" i="120"/>
  <c r="J87" i="120"/>
  <c r="I87" i="120"/>
  <c r="H87" i="120"/>
  <c r="G87" i="120"/>
  <c r="F87" i="120"/>
  <c r="E87" i="120"/>
  <c r="D87" i="120"/>
  <c r="C87" i="120"/>
  <c r="L86" i="120"/>
  <c r="K86" i="120"/>
  <c r="J86" i="120"/>
  <c r="I86" i="120"/>
  <c r="H86" i="120"/>
  <c r="G86" i="120"/>
  <c r="F86" i="120"/>
  <c r="E86" i="120"/>
  <c r="D86" i="120"/>
  <c r="C86" i="120"/>
  <c r="L85" i="120"/>
  <c r="K85" i="120"/>
  <c r="J85" i="120"/>
  <c r="I85" i="120"/>
  <c r="H85" i="120"/>
  <c r="G85" i="120"/>
  <c r="F85" i="120"/>
  <c r="E85" i="120"/>
  <c r="D85" i="120"/>
  <c r="C85" i="120"/>
  <c r="L84" i="120"/>
  <c r="K84" i="120"/>
  <c r="J84" i="120"/>
  <c r="I84" i="120"/>
  <c r="H84" i="120"/>
  <c r="G84" i="120"/>
  <c r="F84" i="120"/>
  <c r="E84" i="120"/>
  <c r="D84" i="120"/>
  <c r="C84" i="120"/>
  <c r="L83" i="120"/>
  <c r="K83" i="120"/>
  <c r="J83" i="120"/>
  <c r="I83" i="120"/>
  <c r="H83" i="120"/>
  <c r="G83" i="120"/>
  <c r="F83" i="120"/>
  <c r="E83" i="120"/>
  <c r="D83" i="120"/>
  <c r="C83" i="120"/>
  <c r="L82" i="120"/>
  <c r="K82" i="120"/>
  <c r="J82" i="120"/>
  <c r="I82" i="120"/>
  <c r="H82" i="120"/>
  <c r="G82" i="120"/>
  <c r="F82" i="120"/>
  <c r="E82" i="120"/>
  <c r="D82" i="120"/>
  <c r="C82" i="120"/>
  <c r="L81" i="120"/>
  <c r="K81" i="120"/>
  <c r="J81" i="120"/>
  <c r="I81" i="120"/>
  <c r="H81" i="120"/>
  <c r="G81" i="120"/>
  <c r="F81" i="120"/>
  <c r="E81" i="120"/>
  <c r="D81" i="120"/>
  <c r="C81" i="120"/>
  <c r="L80" i="120"/>
  <c r="K80" i="120"/>
  <c r="J80" i="120"/>
  <c r="I80" i="120"/>
  <c r="H80" i="120"/>
  <c r="G80" i="120"/>
  <c r="F80" i="120"/>
  <c r="E80" i="120"/>
  <c r="D80" i="120"/>
  <c r="C80" i="120"/>
  <c r="L79" i="120"/>
  <c r="K79" i="120"/>
  <c r="J79" i="120"/>
  <c r="I79" i="120"/>
  <c r="H79" i="120"/>
  <c r="G79" i="120"/>
  <c r="F79" i="120"/>
  <c r="E79" i="120"/>
  <c r="D79" i="120"/>
  <c r="C79" i="120"/>
  <c r="L78" i="120"/>
  <c r="K78" i="120"/>
  <c r="J78" i="120"/>
  <c r="I78" i="120"/>
  <c r="H78" i="120"/>
  <c r="G78" i="120"/>
  <c r="F78" i="120"/>
  <c r="E78" i="120"/>
  <c r="D78" i="120"/>
  <c r="C78" i="120"/>
  <c r="L77" i="120"/>
  <c r="K77" i="120"/>
  <c r="J77" i="120"/>
  <c r="I77" i="120"/>
  <c r="H77" i="120"/>
  <c r="G77" i="120"/>
  <c r="F77" i="120"/>
  <c r="E77" i="120"/>
  <c r="D77" i="120"/>
  <c r="C77" i="120"/>
  <c r="L76" i="120"/>
  <c r="K76" i="120"/>
  <c r="J76" i="120"/>
  <c r="I76" i="120"/>
  <c r="H76" i="120"/>
  <c r="G76" i="120"/>
  <c r="F76" i="120"/>
  <c r="E76" i="120"/>
  <c r="D76" i="120"/>
  <c r="C76" i="120"/>
  <c r="L75" i="120"/>
  <c r="K75" i="120"/>
  <c r="J75" i="120"/>
  <c r="I75" i="120"/>
  <c r="H75" i="120"/>
  <c r="G75" i="120"/>
  <c r="F75" i="120"/>
  <c r="E75" i="120"/>
  <c r="D75" i="120"/>
  <c r="C75" i="120"/>
  <c r="L74" i="120"/>
  <c r="K74" i="120"/>
  <c r="J74" i="120"/>
  <c r="I74" i="120"/>
  <c r="H74" i="120"/>
  <c r="G74" i="120"/>
  <c r="F74" i="120"/>
  <c r="E74" i="120"/>
  <c r="D74" i="120"/>
  <c r="C74" i="120"/>
  <c r="L73" i="120"/>
  <c r="K73" i="120"/>
  <c r="J73" i="120"/>
  <c r="I73" i="120"/>
  <c r="H73" i="120"/>
  <c r="G73" i="120"/>
  <c r="F73" i="120"/>
  <c r="E73" i="120"/>
  <c r="D73" i="120"/>
  <c r="C73" i="120"/>
  <c r="L72" i="120"/>
  <c r="K72" i="120"/>
  <c r="J72" i="120"/>
  <c r="I72" i="120"/>
  <c r="H72" i="120"/>
  <c r="G72" i="120"/>
  <c r="F72" i="120"/>
  <c r="E72" i="120"/>
  <c r="D72" i="120"/>
  <c r="C72" i="120"/>
  <c r="L71" i="120"/>
  <c r="K71" i="120"/>
  <c r="J71" i="120"/>
  <c r="I71" i="120"/>
  <c r="H71" i="120"/>
  <c r="G71" i="120"/>
  <c r="F71" i="120"/>
  <c r="E71" i="120"/>
  <c r="D71" i="120"/>
  <c r="C71" i="120"/>
  <c r="L70" i="120"/>
  <c r="K70" i="120"/>
  <c r="J70" i="120"/>
  <c r="I70" i="120"/>
  <c r="H70" i="120"/>
  <c r="G70" i="120"/>
  <c r="F70" i="120"/>
  <c r="E70" i="120"/>
  <c r="D70" i="120"/>
  <c r="C70" i="120"/>
  <c r="L69" i="120"/>
  <c r="K69" i="120"/>
  <c r="J69" i="120"/>
  <c r="I69" i="120"/>
  <c r="H69" i="120"/>
  <c r="G69" i="120"/>
  <c r="F69" i="120"/>
  <c r="E69" i="120"/>
  <c r="D69" i="120"/>
  <c r="C69" i="120"/>
  <c r="L68" i="120"/>
  <c r="K68" i="120"/>
  <c r="J68" i="120"/>
  <c r="I68" i="120"/>
  <c r="H68" i="120"/>
  <c r="G68" i="120"/>
  <c r="F68" i="120"/>
  <c r="E68" i="120"/>
  <c r="D68" i="120"/>
  <c r="C68" i="120"/>
  <c r="L67" i="120"/>
  <c r="K67" i="120"/>
  <c r="J67" i="120"/>
  <c r="I67" i="120"/>
  <c r="H67" i="120"/>
  <c r="G67" i="120"/>
  <c r="F67" i="120"/>
  <c r="E67" i="120"/>
  <c r="D67" i="120"/>
  <c r="C67" i="120"/>
  <c r="L66" i="120"/>
  <c r="K66" i="120"/>
  <c r="J66" i="120"/>
  <c r="I66" i="120"/>
  <c r="H66" i="120"/>
  <c r="G66" i="120"/>
  <c r="F66" i="120"/>
  <c r="E66" i="120"/>
  <c r="D66" i="120"/>
  <c r="C66" i="120"/>
  <c r="L65" i="120"/>
  <c r="K65" i="120"/>
  <c r="J65" i="120"/>
  <c r="I65" i="120"/>
  <c r="H65" i="120"/>
  <c r="G65" i="120"/>
  <c r="F65" i="120"/>
  <c r="E65" i="120"/>
  <c r="D65" i="120"/>
  <c r="C65" i="120"/>
  <c r="L64" i="120"/>
  <c r="K64" i="120"/>
  <c r="J64" i="120"/>
  <c r="I64" i="120"/>
  <c r="H64" i="120"/>
  <c r="G64" i="120"/>
  <c r="F64" i="120"/>
  <c r="E64" i="120"/>
  <c r="D64" i="120"/>
  <c r="C64" i="120"/>
  <c r="L63" i="120"/>
  <c r="K63" i="120"/>
  <c r="J63" i="120"/>
  <c r="I63" i="120"/>
  <c r="H63" i="120"/>
  <c r="G63" i="120"/>
  <c r="F63" i="120"/>
  <c r="E63" i="120"/>
  <c r="D63" i="120"/>
  <c r="C63" i="120"/>
  <c r="L62" i="120"/>
  <c r="K62" i="120"/>
  <c r="J62" i="120"/>
  <c r="I62" i="120"/>
  <c r="H62" i="120"/>
  <c r="G62" i="120"/>
  <c r="F62" i="120"/>
  <c r="E62" i="120"/>
  <c r="D62" i="120"/>
  <c r="C62" i="120"/>
  <c r="L61" i="120"/>
  <c r="K61" i="120"/>
  <c r="J61" i="120"/>
  <c r="I61" i="120"/>
  <c r="H61" i="120"/>
  <c r="G61" i="120"/>
  <c r="F61" i="120"/>
  <c r="E61" i="120"/>
  <c r="D61" i="120"/>
  <c r="C61" i="120"/>
  <c r="L60" i="120"/>
  <c r="K60" i="120"/>
  <c r="J60" i="120"/>
  <c r="I60" i="120"/>
  <c r="H60" i="120"/>
  <c r="G60" i="120"/>
  <c r="F60" i="120"/>
  <c r="E60" i="120"/>
  <c r="D60" i="120"/>
  <c r="C60" i="120"/>
  <c r="L59" i="120"/>
  <c r="K59" i="120"/>
  <c r="J59" i="120"/>
  <c r="I59" i="120"/>
  <c r="H59" i="120"/>
  <c r="G59" i="120"/>
  <c r="F59" i="120"/>
  <c r="E59" i="120"/>
  <c r="D59" i="120"/>
  <c r="C59" i="120"/>
  <c r="L58" i="120"/>
  <c r="K58" i="120"/>
  <c r="J58" i="120"/>
  <c r="I58" i="120"/>
  <c r="H58" i="120"/>
  <c r="G58" i="120"/>
  <c r="F58" i="120"/>
  <c r="E58" i="120"/>
  <c r="D58" i="120"/>
  <c r="C58" i="120"/>
  <c r="L57" i="120"/>
  <c r="K57" i="120"/>
  <c r="J57" i="120"/>
  <c r="I57" i="120"/>
  <c r="H57" i="120"/>
  <c r="G57" i="120"/>
  <c r="F57" i="120"/>
  <c r="E57" i="120"/>
  <c r="D57" i="120"/>
  <c r="C57" i="120"/>
  <c r="L56" i="120"/>
  <c r="K56" i="120"/>
  <c r="J56" i="120"/>
  <c r="I56" i="120"/>
  <c r="H56" i="120"/>
  <c r="G56" i="120"/>
  <c r="F56" i="120"/>
  <c r="E56" i="120"/>
  <c r="D56" i="120"/>
  <c r="C56" i="120"/>
  <c r="L55" i="120"/>
  <c r="K55" i="120"/>
  <c r="J55" i="120"/>
  <c r="I55" i="120"/>
  <c r="H55" i="120"/>
  <c r="G55" i="120"/>
  <c r="F55" i="120"/>
  <c r="E55" i="120"/>
  <c r="D55" i="120"/>
  <c r="C55" i="120"/>
  <c r="L54" i="120"/>
  <c r="K54" i="120"/>
  <c r="J54" i="120"/>
  <c r="I54" i="120"/>
  <c r="H54" i="120"/>
  <c r="G54" i="120"/>
  <c r="F54" i="120"/>
  <c r="E54" i="120"/>
  <c r="D54" i="120"/>
  <c r="C54" i="120"/>
  <c r="L53" i="120"/>
  <c r="K53" i="120"/>
  <c r="J53" i="120"/>
  <c r="I53" i="120"/>
  <c r="H53" i="120"/>
  <c r="G53" i="120"/>
  <c r="F53" i="120"/>
  <c r="E53" i="120"/>
  <c r="D53" i="120"/>
  <c r="C53" i="120"/>
  <c r="L52" i="120"/>
  <c r="K52" i="120"/>
  <c r="J52" i="120"/>
  <c r="I52" i="120"/>
  <c r="H52" i="120"/>
  <c r="G52" i="120"/>
  <c r="F52" i="120"/>
  <c r="E52" i="120"/>
  <c r="D52" i="120"/>
  <c r="C52" i="120"/>
  <c r="L51" i="120"/>
  <c r="K51" i="120"/>
  <c r="J51" i="120"/>
  <c r="I51" i="120"/>
  <c r="H51" i="120"/>
  <c r="G51" i="120"/>
  <c r="F51" i="120"/>
  <c r="E51" i="120"/>
  <c r="D51" i="120"/>
  <c r="C51" i="120"/>
  <c r="L50" i="120"/>
  <c r="K50" i="120"/>
  <c r="J50" i="120"/>
  <c r="I50" i="120"/>
  <c r="H50" i="120"/>
  <c r="G50" i="120"/>
  <c r="F50" i="120"/>
  <c r="E50" i="120"/>
  <c r="D50" i="120"/>
  <c r="C50" i="120"/>
  <c r="L49" i="120"/>
  <c r="K49" i="120"/>
  <c r="J49" i="120"/>
  <c r="I49" i="120"/>
  <c r="H49" i="120"/>
  <c r="G49" i="120"/>
  <c r="F49" i="120"/>
  <c r="E49" i="120"/>
  <c r="D49" i="120"/>
  <c r="C49" i="120"/>
  <c r="L48" i="120"/>
  <c r="K48" i="120"/>
  <c r="J48" i="120"/>
  <c r="I48" i="120"/>
  <c r="H48" i="120"/>
  <c r="G48" i="120"/>
  <c r="F48" i="120"/>
  <c r="E48" i="120"/>
  <c r="D48" i="120"/>
  <c r="C48" i="120"/>
  <c r="L47" i="120"/>
  <c r="K47" i="120"/>
  <c r="J47" i="120"/>
  <c r="I47" i="120"/>
  <c r="H47" i="120"/>
  <c r="G47" i="120"/>
  <c r="F47" i="120"/>
  <c r="E47" i="120"/>
  <c r="D47" i="120"/>
  <c r="C47" i="120"/>
  <c r="L46" i="120"/>
  <c r="K46" i="120"/>
  <c r="J46" i="120"/>
  <c r="I46" i="120"/>
  <c r="H46" i="120"/>
  <c r="G46" i="120"/>
  <c r="F46" i="120"/>
  <c r="E46" i="120"/>
  <c r="D46" i="120"/>
  <c r="C46" i="120"/>
  <c r="L45" i="120"/>
  <c r="K45" i="120"/>
  <c r="J45" i="120"/>
  <c r="I45" i="120"/>
  <c r="H45" i="120"/>
  <c r="G45" i="120"/>
  <c r="F45" i="120"/>
  <c r="E45" i="120"/>
  <c r="D45" i="120"/>
  <c r="C45" i="120"/>
  <c r="L44" i="120"/>
  <c r="K44" i="120"/>
  <c r="J44" i="120"/>
  <c r="I44" i="120"/>
  <c r="H44" i="120"/>
  <c r="G44" i="120"/>
  <c r="F44" i="120"/>
  <c r="E44" i="120"/>
  <c r="D44" i="120"/>
  <c r="C44" i="120"/>
  <c r="L43" i="120"/>
  <c r="K43" i="120"/>
  <c r="J43" i="120"/>
  <c r="I43" i="120"/>
  <c r="H43" i="120"/>
  <c r="G43" i="120"/>
  <c r="F43" i="120"/>
  <c r="E43" i="120"/>
  <c r="D43" i="120"/>
  <c r="C43" i="120"/>
  <c r="L42" i="120"/>
  <c r="K42" i="120"/>
  <c r="J42" i="120"/>
  <c r="I42" i="120"/>
  <c r="H42" i="120"/>
  <c r="G42" i="120"/>
  <c r="F42" i="120"/>
  <c r="E42" i="120"/>
  <c r="D42" i="120"/>
  <c r="C42" i="120"/>
  <c r="L41" i="120"/>
  <c r="K41" i="120"/>
  <c r="J41" i="120"/>
  <c r="I41" i="120"/>
  <c r="H41" i="120"/>
  <c r="G41" i="120"/>
  <c r="F41" i="120"/>
  <c r="E41" i="120"/>
  <c r="D41" i="120"/>
  <c r="C41" i="120"/>
  <c r="L40" i="120"/>
  <c r="K40" i="120"/>
  <c r="J40" i="120"/>
  <c r="I40" i="120"/>
  <c r="H40" i="120"/>
  <c r="G40" i="120"/>
  <c r="F40" i="120"/>
  <c r="E40" i="120"/>
  <c r="D40" i="120"/>
  <c r="C40" i="120"/>
  <c r="L39" i="120"/>
  <c r="K39" i="120"/>
  <c r="J39" i="120"/>
  <c r="I39" i="120"/>
  <c r="H39" i="120"/>
  <c r="G39" i="120"/>
  <c r="F39" i="120"/>
  <c r="E39" i="120"/>
  <c r="D39" i="120"/>
  <c r="C39" i="120"/>
  <c r="L38" i="120"/>
  <c r="K38" i="120"/>
  <c r="J38" i="120"/>
  <c r="I38" i="120"/>
  <c r="H38" i="120"/>
  <c r="G38" i="120"/>
  <c r="F38" i="120"/>
  <c r="E38" i="120"/>
  <c r="D38" i="120"/>
  <c r="C38" i="120"/>
  <c r="L37" i="120"/>
  <c r="K37" i="120"/>
  <c r="J37" i="120"/>
  <c r="I37" i="120"/>
  <c r="H37" i="120"/>
  <c r="G37" i="120"/>
  <c r="F37" i="120"/>
  <c r="E37" i="120"/>
  <c r="D37" i="120"/>
  <c r="C37" i="120"/>
  <c r="L36" i="120"/>
  <c r="K36" i="120"/>
  <c r="J36" i="120"/>
  <c r="I36" i="120"/>
  <c r="H36" i="120"/>
  <c r="G36" i="120"/>
  <c r="F36" i="120"/>
  <c r="E36" i="120"/>
  <c r="D36" i="120"/>
  <c r="C36" i="120"/>
  <c r="L35" i="120"/>
  <c r="K35" i="120"/>
  <c r="J35" i="120"/>
  <c r="I35" i="120"/>
  <c r="H35" i="120"/>
  <c r="G35" i="120"/>
  <c r="F35" i="120"/>
  <c r="E35" i="120"/>
  <c r="D35" i="120"/>
  <c r="C35" i="120"/>
  <c r="L34" i="120"/>
  <c r="K34" i="120"/>
  <c r="J34" i="120"/>
  <c r="I34" i="120"/>
  <c r="H34" i="120"/>
  <c r="G34" i="120"/>
  <c r="F34" i="120"/>
  <c r="E34" i="120"/>
  <c r="D34" i="120"/>
  <c r="C34" i="120"/>
  <c r="L33" i="120"/>
  <c r="K33" i="120"/>
  <c r="J33" i="120"/>
  <c r="I33" i="120"/>
  <c r="H33" i="120"/>
  <c r="G33" i="120"/>
  <c r="F33" i="120"/>
  <c r="E33" i="120"/>
  <c r="D33" i="120"/>
  <c r="C33" i="120"/>
  <c r="L32" i="120"/>
  <c r="K32" i="120"/>
  <c r="J32" i="120"/>
  <c r="I32" i="120"/>
  <c r="H32" i="120"/>
  <c r="G32" i="120"/>
  <c r="F32" i="120"/>
  <c r="E32" i="120"/>
  <c r="D32" i="120"/>
  <c r="C32" i="120"/>
  <c r="L31" i="120"/>
  <c r="K31" i="120"/>
  <c r="J31" i="120"/>
  <c r="I31" i="120"/>
  <c r="H31" i="120"/>
  <c r="G31" i="120"/>
  <c r="F31" i="120"/>
  <c r="E31" i="120"/>
  <c r="D31" i="120"/>
  <c r="C31" i="120"/>
  <c r="L30" i="120"/>
  <c r="K30" i="120"/>
  <c r="J30" i="120"/>
  <c r="I30" i="120"/>
  <c r="H30" i="120"/>
  <c r="G30" i="120"/>
  <c r="F30" i="120"/>
  <c r="E30" i="120"/>
  <c r="D30" i="120"/>
  <c r="C30" i="120"/>
  <c r="L29" i="120"/>
  <c r="K29" i="120"/>
  <c r="J29" i="120"/>
  <c r="I29" i="120"/>
  <c r="H29" i="120"/>
  <c r="G29" i="120"/>
  <c r="F29" i="120"/>
  <c r="E29" i="120"/>
  <c r="D29" i="120"/>
  <c r="C29" i="120"/>
  <c r="L28" i="120"/>
  <c r="K28" i="120"/>
  <c r="J28" i="120"/>
  <c r="I28" i="120"/>
  <c r="H28" i="120"/>
  <c r="G28" i="120"/>
  <c r="F28" i="120"/>
  <c r="E28" i="120"/>
  <c r="D28" i="120"/>
  <c r="C28" i="120"/>
  <c r="L27" i="120"/>
  <c r="K27" i="120"/>
  <c r="J27" i="120"/>
  <c r="I27" i="120"/>
  <c r="H27" i="120"/>
  <c r="G27" i="120"/>
  <c r="F27" i="120"/>
  <c r="E27" i="120"/>
  <c r="D27" i="120"/>
  <c r="C27" i="120"/>
  <c r="L26" i="120"/>
  <c r="K26" i="120"/>
  <c r="J26" i="120"/>
  <c r="I26" i="120"/>
  <c r="H26" i="120"/>
  <c r="G26" i="120"/>
  <c r="F26" i="120"/>
  <c r="E26" i="120"/>
  <c r="D26" i="120"/>
  <c r="C26" i="120"/>
  <c r="L25" i="120"/>
  <c r="K25" i="120"/>
  <c r="J25" i="120"/>
  <c r="I25" i="120"/>
  <c r="H25" i="120"/>
  <c r="G25" i="120"/>
  <c r="F25" i="120"/>
  <c r="E25" i="120"/>
  <c r="D25" i="120"/>
  <c r="C25" i="120"/>
  <c r="L24" i="120"/>
  <c r="K24" i="120"/>
  <c r="J24" i="120"/>
  <c r="I24" i="120"/>
  <c r="H24" i="120"/>
  <c r="G24" i="120"/>
  <c r="F24" i="120"/>
  <c r="E24" i="120"/>
  <c r="D24" i="120"/>
  <c r="C24" i="120"/>
  <c r="L23" i="120"/>
  <c r="K23" i="120"/>
  <c r="J23" i="120"/>
  <c r="I23" i="120"/>
  <c r="H23" i="120"/>
  <c r="G23" i="120"/>
  <c r="F23" i="120"/>
  <c r="E23" i="120"/>
  <c r="D23" i="120"/>
  <c r="C23" i="120"/>
  <c r="L22" i="120"/>
  <c r="K22" i="120"/>
  <c r="J22" i="120"/>
  <c r="I22" i="120"/>
  <c r="H22" i="120"/>
  <c r="G22" i="120"/>
  <c r="F22" i="120"/>
  <c r="E22" i="120"/>
  <c r="D22" i="120"/>
  <c r="C22" i="120"/>
  <c r="L21" i="120"/>
  <c r="K21" i="120"/>
  <c r="J21" i="120"/>
  <c r="I21" i="120"/>
  <c r="H21" i="120"/>
  <c r="G21" i="120"/>
  <c r="F21" i="120"/>
  <c r="E21" i="120"/>
  <c r="D21" i="120"/>
  <c r="C21" i="120"/>
  <c r="L20" i="120"/>
  <c r="K20" i="120"/>
  <c r="J20" i="120"/>
  <c r="I20" i="120"/>
  <c r="H20" i="120"/>
  <c r="G20" i="120"/>
  <c r="F20" i="120"/>
  <c r="E20" i="120"/>
  <c r="D20" i="120"/>
  <c r="C20" i="120"/>
  <c r="L19" i="120"/>
  <c r="K19" i="120"/>
  <c r="J19" i="120"/>
  <c r="I19" i="120"/>
  <c r="H19" i="120"/>
  <c r="G19" i="120"/>
  <c r="F19" i="120"/>
  <c r="E19" i="120"/>
  <c r="D19" i="120"/>
  <c r="C19" i="120"/>
  <c r="L18" i="120"/>
  <c r="K18" i="120"/>
  <c r="J18" i="120"/>
  <c r="I18" i="120"/>
  <c r="H18" i="120"/>
  <c r="G18" i="120"/>
  <c r="F18" i="120"/>
  <c r="E18" i="120"/>
  <c r="D18" i="120"/>
  <c r="C18" i="120"/>
  <c r="L17" i="120"/>
  <c r="K17" i="120"/>
  <c r="J17" i="120"/>
  <c r="I17" i="120"/>
  <c r="H17" i="120"/>
  <c r="G17" i="120"/>
  <c r="F17" i="120"/>
  <c r="E17" i="120"/>
  <c r="D17" i="120"/>
  <c r="C17" i="120"/>
  <c r="L16" i="120"/>
  <c r="K16" i="120"/>
  <c r="J16" i="120"/>
  <c r="I16" i="120"/>
  <c r="H16" i="120"/>
  <c r="G16" i="120"/>
  <c r="F16" i="120"/>
  <c r="E16" i="120"/>
  <c r="D16" i="120"/>
  <c r="C16" i="120"/>
  <c r="L15" i="120"/>
  <c r="K15" i="120"/>
  <c r="J15" i="120"/>
  <c r="I15" i="120"/>
  <c r="H15" i="120"/>
  <c r="G15" i="120"/>
  <c r="F15" i="120"/>
  <c r="E15" i="120"/>
  <c r="D15" i="120"/>
  <c r="C15" i="120"/>
  <c r="L14" i="120"/>
  <c r="K14" i="120"/>
  <c r="J14" i="120"/>
  <c r="I14" i="120"/>
  <c r="H14" i="120"/>
  <c r="G14" i="120"/>
  <c r="F14" i="120"/>
  <c r="E14" i="120"/>
  <c r="D14" i="120"/>
  <c r="C14" i="120"/>
  <c r="L13" i="120"/>
  <c r="K13" i="120"/>
  <c r="J13" i="120"/>
  <c r="I13" i="120"/>
  <c r="H13" i="120"/>
  <c r="G13" i="120"/>
  <c r="F13" i="120"/>
  <c r="E13" i="120"/>
  <c r="D13" i="120"/>
  <c r="C13" i="120"/>
  <c r="L12" i="120"/>
  <c r="K12" i="120"/>
  <c r="J12" i="120"/>
  <c r="I12" i="120"/>
  <c r="H12" i="120"/>
  <c r="G12" i="120"/>
  <c r="F12" i="120"/>
  <c r="E12" i="120"/>
  <c r="D12" i="120"/>
  <c r="C12" i="120"/>
  <c r="L11" i="120"/>
  <c r="K11" i="120"/>
  <c r="J11" i="120"/>
  <c r="I11" i="120"/>
  <c r="H11" i="120"/>
  <c r="G11" i="120"/>
  <c r="F11" i="120"/>
  <c r="E11" i="120"/>
  <c r="D11" i="120"/>
  <c r="C11" i="120"/>
  <c r="L10" i="120"/>
  <c r="K10" i="120"/>
  <c r="J10" i="120"/>
  <c r="I10" i="120"/>
  <c r="H10" i="120"/>
  <c r="G10" i="120"/>
  <c r="F10" i="120"/>
  <c r="E10" i="120"/>
  <c r="D10" i="120"/>
  <c r="C10" i="120"/>
  <c r="L9" i="120"/>
  <c r="K9" i="120"/>
  <c r="J9" i="120"/>
  <c r="I9" i="120"/>
  <c r="H9" i="120"/>
  <c r="G9" i="120"/>
  <c r="F9" i="120"/>
  <c r="E9" i="120"/>
  <c r="D9" i="120"/>
  <c r="C9" i="120"/>
  <c r="L8" i="120"/>
  <c r="K8" i="120"/>
  <c r="J8" i="120"/>
  <c r="I8" i="120"/>
  <c r="H8" i="120"/>
  <c r="G8" i="120"/>
  <c r="F8" i="120"/>
  <c r="E8" i="120"/>
  <c r="D8" i="120"/>
  <c r="C8" i="120"/>
  <c r="L7" i="120"/>
  <c r="K7" i="120"/>
  <c r="J7" i="120"/>
  <c r="I7" i="120"/>
  <c r="H7" i="120"/>
  <c r="G7" i="120"/>
  <c r="F7" i="120"/>
  <c r="E7" i="120"/>
  <c r="D7" i="120"/>
  <c r="C7" i="120"/>
  <c r="L6" i="120"/>
  <c r="K6" i="120"/>
  <c r="J6" i="120"/>
  <c r="I6" i="120"/>
  <c r="H6" i="120"/>
  <c r="G6" i="120"/>
  <c r="F6" i="120"/>
  <c r="E6" i="120"/>
  <c r="D6" i="120"/>
  <c r="C6" i="120"/>
  <c r="L5" i="120"/>
  <c r="K5" i="120"/>
  <c r="J5" i="120"/>
  <c r="I5" i="120"/>
  <c r="H5" i="120"/>
  <c r="G5" i="120"/>
  <c r="F5" i="120"/>
  <c r="E5" i="120"/>
  <c r="D5" i="120"/>
  <c r="C5" i="120"/>
  <c r="L4" i="120"/>
  <c r="K4" i="120"/>
  <c r="J4" i="120"/>
  <c r="I4" i="120"/>
  <c r="H4" i="120"/>
  <c r="G4" i="120"/>
  <c r="F4" i="120"/>
  <c r="E4" i="120"/>
  <c r="D4" i="120"/>
  <c r="C4" i="120"/>
  <c r="L3" i="120"/>
  <c r="K3" i="120"/>
  <c r="J3" i="120"/>
  <c r="I3" i="120"/>
  <c r="H3" i="120"/>
  <c r="G3" i="120"/>
  <c r="F3" i="120"/>
  <c r="E3" i="120"/>
  <c r="D3" i="120"/>
  <c r="C3" i="120"/>
  <c r="L2" i="120"/>
  <c r="K2" i="120"/>
  <c r="J2" i="120"/>
  <c r="I2" i="120"/>
  <c r="H2" i="120"/>
  <c r="G2" i="120"/>
  <c r="F2" i="120"/>
  <c r="E2" i="120"/>
  <c r="D2" i="120"/>
  <c r="C2" i="120"/>
  <c r="L101" i="119"/>
  <c r="K101" i="119"/>
  <c r="J101" i="119"/>
  <c r="I101" i="119"/>
  <c r="H101" i="119"/>
  <c r="G101" i="119"/>
  <c r="F101" i="119"/>
  <c r="E101" i="119"/>
  <c r="D101" i="119"/>
  <c r="C101" i="119"/>
  <c r="L100" i="119"/>
  <c r="K100" i="119"/>
  <c r="J100" i="119"/>
  <c r="I100" i="119"/>
  <c r="H100" i="119"/>
  <c r="G100" i="119"/>
  <c r="F100" i="119"/>
  <c r="E100" i="119"/>
  <c r="D100" i="119"/>
  <c r="C100" i="119"/>
  <c r="L99" i="119"/>
  <c r="K99" i="119"/>
  <c r="J99" i="119"/>
  <c r="I99" i="119"/>
  <c r="H99" i="119"/>
  <c r="G99" i="119"/>
  <c r="F99" i="119"/>
  <c r="E99" i="119"/>
  <c r="D99" i="119"/>
  <c r="C99" i="119"/>
  <c r="L98" i="119"/>
  <c r="K98" i="119"/>
  <c r="J98" i="119"/>
  <c r="I98" i="119"/>
  <c r="H98" i="119"/>
  <c r="G98" i="119"/>
  <c r="F98" i="119"/>
  <c r="E98" i="119"/>
  <c r="D98" i="119"/>
  <c r="C98" i="119"/>
  <c r="L97" i="119"/>
  <c r="K97" i="119"/>
  <c r="J97" i="119"/>
  <c r="I97" i="119"/>
  <c r="H97" i="119"/>
  <c r="G97" i="119"/>
  <c r="F97" i="119"/>
  <c r="E97" i="119"/>
  <c r="D97" i="119"/>
  <c r="C97" i="119"/>
  <c r="L96" i="119"/>
  <c r="K96" i="119"/>
  <c r="J96" i="119"/>
  <c r="I96" i="119"/>
  <c r="H96" i="119"/>
  <c r="G96" i="119"/>
  <c r="F96" i="119"/>
  <c r="E96" i="119"/>
  <c r="D96" i="119"/>
  <c r="C96" i="119"/>
  <c r="L95" i="119"/>
  <c r="K95" i="119"/>
  <c r="J95" i="119"/>
  <c r="I95" i="119"/>
  <c r="H95" i="119"/>
  <c r="G95" i="119"/>
  <c r="F95" i="119"/>
  <c r="E95" i="119"/>
  <c r="D95" i="119"/>
  <c r="C95" i="119"/>
  <c r="L94" i="119"/>
  <c r="K94" i="119"/>
  <c r="J94" i="119"/>
  <c r="I94" i="119"/>
  <c r="H94" i="119"/>
  <c r="G94" i="119"/>
  <c r="F94" i="119"/>
  <c r="E94" i="119"/>
  <c r="D94" i="119"/>
  <c r="C94" i="119"/>
  <c r="L93" i="119"/>
  <c r="K93" i="119"/>
  <c r="J93" i="119"/>
  <c r="I93" i="119"/>
  <c r="H93" i="119"/>
  <c r="G93" i="119"/>
  <c r="F93" i="119"/>
  <c r="E93" i="119"/>
  <c r="D93" i="119"/>
  <c r="C93" i="119"/>
  <c r="L92" i="119"/>
  <c r="K92" i="119"/>
  <c r="J92" i="119"/>
  <c r="I92" i="119"/>
  <c r="H92" i="119"/>
  <c r="G92" i="119"/>
  <c r="F92" i="119"/>
  <c r="E92" i="119"/>
  <c r="D92" i="119"/>
  <c r="C92" i="119"/>
  <c r="L91" i="119"/>
  <c r="K91" i="119"/>
  <c r="J91" i="119"/>
  <c r="I91" i="119"/>
  <c r="H91" i="119"/>
  <c r="G91" i="119"/>
  <c r="F91" i="119"/>
  <c r="E91" i="119"/>
  <c r="D91" i="119"/>
  <c r="C91" i="119"/>
  <c r="L90" i="119"/>
  <c r="K90" i="119"/>
  <c r="J90" i="119"/>
  <c r="I90" i="119"/>
  <c r="H90" i="119"/>
  <c r="G90" i="119"/>
  <c r="F90" i="119"/>
  <c r="E90" i="119"/>
  <c r="D90" i="119"/>
  <c r="C90" i="119"/>
  <c r="L89" i="119"/>
  <c r="K89" i="119"/>
  <c r="J89" i="119"/>
  <c r="I89" i="119"/>
  <c r="H89" i="119"/>
  <c r="G89" i="119"/>
  <c r="F89" i="119"/>
  <c r="E89" i="119"/>
  <c r="D89" i="119"/>
  <c r="C89" i="119"/>
  <c r="L88" i="119"/>
  <c r="K88" i="119"/>
  <c r="J88" i="119"/>
  <c r="I88" i="119"/>
  <c r="H88" i="119"/>
  <c r="G88" i="119"/>
  <c r="F88" i="119"/>
  <c r="E88" i="119"/>
  <c r="D88" i="119"/>
  <c r="C88" i="119"/>
  <c r="L87" i="119"/>
  <c r="K87" i="119"/>
  <c r="J87" i="119"/>
  <c r="I87" i="119"/>
  <c r="H87" i="119"/>
  <c r="G87" i="119"/>
  <c r="F87" i="119"/>
  <c r="E87" i="119"/>
  <c r="D87" i="119"/>
  <c r="C87" i="119"/>
  <c r="L86" i="119"/>
  <c r="K86" i="119"/>
  <c r="J86" i="119"/>
  <c r="I86" i="119"/>
  <c r="H86" i="119"/>
  <c r="G86" i="119"/>
  <c r="F86" i="119"/>
  <c r="E86" i="119"/>
  <c r="D86" i="119"/>
  <c r="C86" i="119"/>
  <c r="L85" i="119"/>
  <c r="K85" i="119"/>
  <c r="J85" i="119"/>
  <c r="I85" i="119"/>
  <c r="H85" i="119"/>
  <c r="G85" i="119"/>
  <c r="F85" i="119"/>
  <c r="E85" i="119"/>
  <c r="D85" i="119"/>
  <c r="C85" i="119"/>
  <c r="L84" i="119"/>
  <c r="K84" i="119"/>
  <c r="J84" i="119"/>
  <c r="I84" i="119"/>
  <c r="H84" i="119"/>
  <c r="G84" i="119"/>
  <c r="F84" i="119"/>
  <c r="E84" i="119"/>
  <c r="D84" i="119"/>
  <c r="C84" i="119"/>
  <c r="L83" i="119"/>
  <c r="K83" i="119"/>
  <c r="J83" i="119"/>
  <c r="I83" i="119"/>
  <c r="H83" i="119"/>
  <c r="G83" i="119"/>
  <c r="F83" i="119"/>
  <c r="E83" i="119"/>
  <c r="D83" i="119"/>
  <c r="C83" i="119"/>
  <c r="L82" i="119"/>
  <c r="K82" i="119"/>
  <c r="J82" i="119"/>
  <c r="I82" i="119"/>
  <c r="H82" i="119"/>
  <c r="G82" i="119"/>
  <c r="F82" i="119"/>
  <c r="E82" i="119"/>
  <c r="D82" i="119"/>
  <c r="C82" i="119"/>
  <c r="L81" i="119"/>
  <c r="K81" i="119"/>
  <c r="J81" i="119"/>
  <c r="I81" i="119"/>
  <c r="H81" i="119"/>
  <c r="G81" i="119"/>
  <c r="F81" i="119"/>
  <c r="E81" i="119"/>
  <c r="D81" i="119"/>
  <c r="C81" i="119"/>
  <c r="L80" i="119"/>
  <c r="K80" i="119"/>
  <c r="J80" i="119"/>
  <c r="I80" i="119"/>
  <c r="H80" i="119"/>
  <c r="G80" i="119"/>
  <c r="F80" i="119"/>
  <c r="E80" i="119"/>
  <c r="D80" i="119"/>
  <c r="C80" i="119"/>
  <c r="L79" i="119"/>
  <c r="K79" i="119"/>
  <c r="J79" i="119"/>
  <c r="I79" i="119"/>
  <c r="H79" i="119"/>
  <c r="G79" i="119"/>
  <c r="F79" i="119"/>
  <c r="E79" i="119"/>
  <c r="D79" i="119"/>
  <c r="C79" i="119"/>
  <c r="L78" i="119"/>
  <c r="K78" i="119"/>
  <c r="J78" i="119"/>
  <c r="I78" i="119"/>
  <c r="H78" i="119"/>
  <c r="G78" i="119"/>
  <c r="F78" i="119"/>
  <c r="E78" i="119"/>
  <c r="D78" i="119"/>
  <c r="C78" i="119"/>
  <c r="L77" i="119"/>
  <c r="K77" i="119"/>
  <c r="J77" i="119"/>
  <c r="I77" i="119"/>
  <c r="H77" i="119"/>
  <c r="G77" i="119"/>
  <c r="F77" i="119"/>
  <c r="E77" i="119"/>
  <c r="D77" i="119"/>
  <c r="C77" i="119"/>
  <c r="L76" i="119"/>
  <c r="K76" i="119"/>
  <c r="J76" i="119"/>
  <c r="I76" i="119"/>
  <c r="H76" i="119"/>
  <c r="G76" i="119"/>
  <c r="F76" i="119"/>
  <c r="E76" i="119"/>
  <c r="D76" i="119"/>
  <c r="C76" i="119"/>
  <c r="L75" i="119"/>
  <c r="K75" i="119"/>
  <c r="J75" i="119"/>
  <c r="I75" i="119"/>
  <c r="H75" i="119"/>
  <c r="G75" i="119"/>
  <c r="F75" i="119"/>
  <c r="E75" i="119"/>
  <c r="D75" i="119"/>
  <c r="C75" i="119"/>
  <c r="L74" i="119"/>
  <c r="K74" i="119"/>
  <c r="J74" i="119"/>
  <c r="I74" i="119"/>
  <c r="H74" i="119"/>
  <c r="G74" i="119"/>
  <c r="F74" i="119"/>
  <c r="E74" i="119"/>
  <c r="D74" i="119"/>
  <c r="C74" i="119"/>
  <c r="L73" i="119"/>
  <c r="K73" i="119"/>
  <c r="J73" i="119"/>
  <c r="I73" i="119"/>
  <c r="H73" i="119"/>
  <c r="G73" i="119"/>
  <c r="F73" i="119"/>
  <c r="E73" i="119"/>
  <c r="D73" i="119"/>
  <c r="C73" i="119"/>
  <c r="L72" i="119"/>
  <c r="K72" i="119"/>
  <c r="J72" i="119"/>
  <c r="I72" i="119"/>
  <c r="H72" i="119"/>
  <c r="G72" i="119"/>
  <c r="F72" i="119"/>
  <c r="E72" i="119"/>
  <c r="D72" i="119"/>
  <c r="C72" i="119"/>
  <c r="L71" i="119"/>
  <c r="K71" i="119"/>
  <c r="J71" i="119"/>
  <c r="I71" i="119"/>
  <c r="H71" i="119"/>
  <c r="G71" i="119"/>
  <c r="F71" i="119"/>
  <c r="E71" i="119"/>
  <c r="D71" i="119"/>
  <c r="C71" i="119"/>
  <c r="L70" i="119"/>
  <c r="K70" i="119"/>
  <c r="J70" i="119"/>
  <c r="I70" i="119"/>
  <c r="H70" i="119"/>
  <c r="G70" i="119"/>
  <c r="F70" i="119"/>
  <c r="E70" i="119"/>
  <c r="D70" i="119"/>
  <c r="C70" i="119"/>
  <c r="L69" i="119"/>
  <c r="K69" i="119"/>
  <c r="J69" i="119"/>
  <c r="I69" i="119"/>
  <c r="H69" i="119"/>
  <c r="G69" i="119"/>
  <c r="F69" i="119"/>
  <c r="E69" i="119"/>
  <c r="D69" i="119"/>
  <c r="C69" i="119"/>
  <c r="L68" i="119"/>
  <c r="K68" i="119"/>
  <c r="J68" i="119"/>
  <c r="I68" i="119"/>
  <c r="H68" i="119"/>
  <c r="G68" i="119"/>
  <c r="F68" i="119"/>
  <c r="E68" i="119"/>
  <c r="D68" i="119"/>
  <c r="C68" i="119"/>
  <c r="L67" i="119"/>
  <c r="K67" i="119"/>
  <c r="J67" i="119"/>
  <c r="I67" i="119"/>
  <c r="H67" i="119"/>
  <c r="G67" i="119"/>
  <c r="F67" i="119"/>
  <c r="E67" i="119"/>
  <c r="D67" i="119"/>
  <c r="C67" i="119"/>
  <c r="L66" i="119"/>
  <c r="K66" i="119"/>
  <c r="J66" i="119"/>
  <c r="I66" i="119"/>
  <c r="H66" i="119"/>
  <c r="G66" i="119"/>
  <c r="F66" i="119"/>
  <c r="E66" i="119"/>
  <c r="D66" i="119"/>
  <c r="C66" i="119"/>
  <c r="L65" i="119"/>
  <c r="K65" i="119"/>
  <c r="J65" i="119"/>
  <c r="I65" i="119"/>
  <c r="H65" i="119"/>
  <c r="G65" i="119"/>
  <c r="F65" i="119"/>
  <c r="E65" i="119"/>
  <c r="D65" i="119"/>
  <c r="C65" i="119"/>
  <c r="L64" i="119"/>
  <c r="K64" i="119"/>
  <c r="J64" i="119"/>
  <c r="I64" i="119"/>
  <c r="H64" i="119"/>
  <c r="G64" i="119"/>
  <c r="F64" i="119"/>
  <c r="E64" i="119"/>
  <c r="D64" i="119"/>
  <c r="C64" i="119"/>
  <c r="L63" i="119"/>
  <c r="K63" i="119"/>
  <c r="J63" i="119"/>
  <c r="I63" i="119"/>
  <c r="H63" i="119"/>
  <c r="G63" i="119"/>
  <c r="F63" i="119"/>
  <c r="E63" i="119"/>
  <c r="D63" i="119"/>
  <c r="C63" i="119"/>
  <c r="L62" i="119"/>
  <c r="K62" i="119"/>
  <c r="J62" i="119"/>
  <c r="I62" i="119"/>
  <c r="H62" i="119"/>
  <c r="G62" i="119"/>
  <c r="F62" i="119"/>
  <c r="E62" i="119"/>
  <c r="D62" i="119"/>
  <c r="C62" i="119"/>
  <c r="L61" i="119"/>
  <c r="K61" i="119"/>
  <c r="J61" i="119"/>
  <c r="I61" i="119"/>
  <c r="H61" i="119"/>
  <c r="G61" i="119"/>
  <c r="F61" i="119"/>
  <c r="E61" i="119"/>
  <c r="D61" i="119"/>
  <c r="C61" i="119"/>
  <c r="L60" i="119"/>
  <c r="K60" i="119"/>
  <c r="J60" i="119"/>
  <c r="I60" i="119"/>
  <c r="H60" i="119"/>
  <c r="G60" i="119"/>
  <c r="F60" i="119"/>
  <c r="E60" i="119"/>
  <c r="D60" i="119"/>
  <c r="C60" i="119"/>
  <c r="L59" i="119"/>
  <c r="K59" i="119"/>
  <c r="J59" i="119"/>
  <c r="I59" i="119"/>
  <c r="H59" i="119"/>
  <c r="G59" i="119"/>
  <c r="F59" i="119"/>
  <c r="E59" i="119"/>
  <c r="D59" i="119"/>
  <c r="C59" i="119"/>
  <c r="L58" i="119"/>
  <c r="K58" i="119"/>
  <c r="J58" i="119"/>
  <c r="I58" i="119"/>
  <c r="H58" i="119"/>
  <c r="G58" i="119"/>
  <c r="F58" i="119"/>
  <c r="E58" i="119"/>
  <c r="D58" i="119"/>
  <c r="C58" i="119"/>
  <c r="L57" i="119"/>
  <c r="K57" i="119"/>
  <c r="J57" i="119"/>
  <c r="I57" i="119"/>
  <c r="H57" i="119"/>
  <c r="G57" i="119"/>
  <c r="F57" i="119"/>
  <c r="E57" i="119"/>
  <c r="D57" i="119"/>
  <c r="C57" i="119"/>
  <c r="L56" i="119"/>
  <c r="K56" i="119"/>
  <c r="J56" i="119"/>
  <c r="I56" i="119"/>
  <c r="H56" i="119"/>
  <c r="G56" i="119"/>
  <c r="F56" i="119"/>
  <c r="E56" i="119"/>
  <c r="D56" i="119"/>
  <c r="C56" i="119"/>
  <c r="L55" i="119"/>
  <c r="K55" i="119"/>
  <c r="J55" i="119"/>
  <c r="I55" i="119"/>
  <c r="H55" i="119"/>
  <c r="G55" i="119"/>
  <c r="F55" i="119"/>
  <c r="E55" i="119"/>
  <c r="D55" i="119"/>
  <c r="C55" i="119"/>
  <c r="L54" i="119"/>
  <c r="K54" i="119"/>
  <c r="J54" i="119"/>
  <c r="I54" i="119"/>
  <c r="H54" i="119"/>
  <c r="G54" i="119"/>
  <c r="F54" i="119"/>
  <c r="E54" i="119"/>
  <c r="D54" i="119"/>
  <c r="C54" i="119"/>
  <c r="L53" i="119"/>
  <c r="K53" i="119"/>
  <c r="J53" i="119"/>
  <c r="I53" i="119"/>
  <c r="H53" i="119"/>
  <c r="G53" i="119"/>
  <c r="F53" i="119"/>
  <c r="E53" i="119"/>
  <c r="D53" i="119"/>
  <c r="C53" i="119"/>
  <c r="L52" i="119"/>
  <c r="K52" i="119"/>
  <c r="J52" i="119"/>
  <c r="I52" i="119"/>
  <c r="H52" i="119"/>
  <c r="G52" i="119"/>
  <c r="F52" i="119"/>
  <c r="E52" i="119"/>
  <c r="D52" i="119"/>
  <c r="C52" i="119"/>
  <c r="L51" i="119"/>
  <c r="K51" i="119"/>
  <c r="J51" i="119"/>
  <c r="I51" i="119"/>
  <c r="H51" i="119"/>
  <c r="G51" i="119"/>
  <c r="F51" i="119"/>
  <c r="E51" i="119"/>
  <c r="D51" i="119"/>
  <c r="C51" i="119"/>
  <c r="L50" i="119"/>
  <c r="K50" i="119"/>
  <c r="J50" i="119"/>
  <c r="I50" i="119"/>
  <c r="H50" i="119"/>
  <c r="G50" i="119"/>
  <c r="F50" i="119"/>
  <c r="E50" i="119"/>
  <c r="D50" i="119"/>
  <c r="C50" i="119"/>
  <c r="L49" i="119"/>
  <c r="K49" i="119"/>
  <c r="J49" i="119"/>
  <c r="I49" i="119"/>
  <c r="H49" i="119"/>
  <c r="G49" i="119"/>
  <c r="F49" i="119"/>
  <c r="E49" i="119"/>
  <c r="D49" i="119"/>
  <c r="C49" i="119"/>
  <c r="L48" i="119"/>
  <c r="K48" i="119"/>
  <c r="J48" i="119"/>
  <c r="I48" i="119"/>
  <c r="H48" i="119"/>
  <c r="G48" i="119"/>
  <c r="F48" i="119"/>
  <c r="E48" i="119"/>
  <c r="D48" i="119"/>
  <c r="C48" i="119"/>
  <c r="L47" i="119"/>
  <c r="K47" i="119"/>
  <c r="J47" i="119"/>
  <c r="I47" i="119"/>
  <c r="H47" i="119"/>
  <c r="G47" i="119"/>
  <c r="F47" i="119"/>
  <c r="E47" i="119"/>
  <c r="D47" i="119"/>
  <c r="C47" i="119"/>
  <c r="L46" i="119"/>
  <c r="K46" i="119"/>
  <c r="J46" i="119"/>
  <c r="I46" i="119"/>
  <c r="H46" i="119"/>
  <c r="G46" i="119"/>
  <c r="F46" i="119"/>
  <c r="E46" i="119"/>
  <c r="D46" i="119"/>
  <c r="C46" i="119"/>
  <c r="L45" i="119"/>
  <c r="K45" i="119"/>
  <c r="J45" i="119"/>
  <c r="I45" i="119"/>
  <c r="H45" i="119"/>
  <c r="G45" i="119"/>
  <c r="F45" i="119"/>
  <c r="E45" i="119"/>
  <c r="D45" i="119"/>
  <c r="C45" i="119"/>
  <c r="L44" i="119"/>
  <c r="K44" i="119"/>
  <c r="J44" i="119"/>
  <c r="I44" i="119"/>
  <c r="H44" i="119"/>
  <c r="G44" i="119"/>
  <c r="F44" i="119"/>
  <c r="E44" i="119"/>
  <c r="D44" i="119"/>
  <c r="C44" i="119"/>
  <c r="L43" i="119"/>
  <c r="K43" i="119"/>
  <c r="J43" i="119"/>
  <c r="I43" i="119"/>
  <c r="H43" i="119"/>
  <c r="G43" i="119"/>
  <c r="F43" i="119"/>
  <c r="E43" i="119"/>
  <c r="D43" i="119"/>
  <c r="C43" i="119"/>
  <c r="L42" i="119"/>
  <c r="K42" i="119"/>
  <c r="J42" i="119"/>
  <c r="I42" i="119"/>
  <c r="H42" i="119"/>
  <c r="G42" i="119"/>
  <c r="F42" i="119"/>
  <c r="E42" i="119"/>
  <c r="D42" i="119"/>
  <c r="C42" i="119"/>
  <c r="L41" i="119"/>
  <c r="K41" i="119"/>
  <c r="J41" i="119"/>
  <c r="I41" i="119"/>
  <c r="H41" i="119"/>
  <c r="G41" i="119"/>
  <c r="F41" i="119"/>
  <c r="E41" i="119"/>
  <c r="D41" i="119"/>
  <c r="C41" i="119"/>
  <c r="L40" i="119"/>
  <c r="K40" i="119"/>
  <c r="J40" i="119"/>
  <c r="I40" i="119"/>
  <c r="H40" i="119"/>
  <c r="G40" i="119"/>
  <c r="F40" i="119"/>
  <c r="E40" i="119"/>
  <c r="D40" i="119"/>
  <c r="C40" i="119"/>
  <c r="L39" i="119"/>
  <c r="K39" i="119"/>
  <c r="J39" i="119"/>
  <c r="I39" i="119"/>
  <c r="H39" i="119"/>
  <c r="G39" i="119"/>
  <c r="F39" i="119"/>
  <c r="E39" i="119"/>
  <c r="D39" i="119"/>
  <c r="C39" i="119"/>
  <c r="L38" i="119"/>
  <c r="K38" i="119"/>
  <c r="J38" i="119"/>
  <c r="I38" i="119"/>
  <c r="H38" i="119"/>
  <c r="G38" i="119"/>
  <c r="F38" i="119"/>
  <c r="E38" i="119"/>
  <c r="D38" i="119"/>
  <c r="C38" i="119"/>
  <c r="L37" i="119"/>
  <c r="K37" i="119"/>
  <c r="J37" i="119"/>
  <c r="I37" i="119"/>
  <c r="H37" i="119"/>
  <c r="G37" i="119"/>
  <c r="F37" i="119"/>
  <c r="E37" i="119"/>
  <c r="D37" i="119"/>
  <c r="C37" i="119"/>
  <c r="L36" i="119"/>
  <c r="K36" i="119"/>
  <c r="J36" i="119"/>
  <c r="I36" i="119"/>
  <c r="H36" i="119"/>
  <c r="G36" i="119"/>
  <c r="F36" i="119"/>
  <c r="E36" i="119"/>
  <c r="D36" i="119"/>
  <c r="C36" i="119"/>
  <c r="L35" i="119"/>
  <c r="K35" i="119"/>
  <c r="J35" i="119"/>
  <c r="I35" i="119"/>
  <c r="H35" i="119"/>
  <c r="G35" i="119"/>
  <c r="F35" i="119"/>
  <c r="E35" i="119"/>
  <c r="D35" i="119"/>
  <c r="C35" i="119"/>
  <c r="L34" i="119"/>
  <c r="K34" i="119"/>
  <c r="J34" i="119"/>
  <c r="I34" i="119"/>
  <c r="H34" i="119"/>
  <c r="G34" i="119"/>
  <c r="F34" i="119"/>
  <c r="E34" i="119"/>
  <c r="D34" i="119"/>
  <c r="C34" i="119"/>
  <c r="L33" i="119"/>
  <c r="K33" i="119"/>
  <c r="J33" i="119"/>
  <c r="I33" i="119"/>
  <c r="H33" i="119"/>
  <c r="G33" i="119"/>
  <c r="F33" i="119"/>
  <c r="E33" i="119"/>
  <c r="D33" i="119"/>
  <c r="C33" i="119"/>
  <c r="L32" i="119"/>
  <c r="K32" i="119"/>
  <c r="J32" i="119"/>
  <c r="I32" i="119"/>
  <c r="H32" i="119"/>
  <c r="G32" i="119"/>
  <c r="F32" i="119"/>
  <c r="E32" i="119"/>
  <c r="D32" i="119"/>
  <c r="C32" i="119"/>
  <c r="L31" i="119"/>
  <c r="K31" i="119"/>
  <c r="J31" i="119"/>
  <c r="I31" i="119"/>
  <c r="H31" i="119"/>
  <c r="G31" i="119"/>
  <c r="F31" i="119"/>
  <c r="E31" i="119"/>
  <c r="D31" i="119"/>
  <c r="C31" i="119"/>
  <c r="L30" i="119"/>
  <c r="K30" i="119"/>
  <c r="J30" i="119"/>
  <c r="I30" i="119"/>
  <c r="H30" i="119"/>
  <c r="G30" i="119"/>
  <c r="F30" i="119"/>
  <c r="E30" i="119"/>
  <c r="D30" i="119"/>
  <c r="C30" i="119"/>
  <c r="L29" i="119"/>
  <c r="K29" i="119"/>
  <c r="J29" i="119"/>
  <c r="I29" i="119"/>
  <c r="H29" i="119"/>
  <c r="G29" i="119"/>
  <c r="F29" i="119"/>
  <c r="E29" i="119"/>
  <c r="D29" i="119"/>
  <c r="C29" i="119"/>
  <c r="L28" i="119"/>
  <c r="K28" i="119"/>
  <c r="J28" i="119"/>
  <c r="I28" i="119"/>
  <c r="H28" i="119"/>
  <c r="G28" i="119"/>
  <c r="F28" i="119"/>
  <c r="E28" i="119"/>
  <c r="D28" i="119"/>
  <c r="C28" i="119"/>
  <c r="L27" i="119"/>
  <c r="K27" i="119"/>
  <c r="J27" i="119"/>
  <c r="I27" i="119"/>
  <c r="H27" i="119"/>
  <c r="G27" i="119"/>
  <c r="F27" i="119"/>
  <c r="E27" i="119"/>
  <c r="D27" i="119"/>
  <c r="C27" i="119"/>
  <c r="L26" i="119"/>
  <c r="K26" i="119"/>
  <c r="J26" i="119"/>
  <c r="I26" i="119"/>
  <c r="H26" i="119"/>
  <c r="G26" i="119"/>
  <c r="F26" i="119"/>
  <c r="E26" i="119"/>
  <c r="D26" i="119"/>
  <c r="C26" i="119"/>
  <c r="L25" i="119"/>
  <c r="K25" i="119"/>
  <c r="J25" i="119"/>
  <c r="I25" i="119"/>
  <c r="H25" i="119"/>
  <c r="G25" i="119"/>
  <c r="F25" i="119"/>
  <c r="E25" i="119"/>
  <c r="D25" i="119"/>
  <c r="C25" i="119"/>
  <c r="L24" i="119"/>
  <c r="K24" i="119"/>
  <c r="J24" i="119"/>
  <c r="I24" i="119"/>
  <c r="H24" i="119"/>
  <c r="G24" i="119"/>
  <c r="F24" i="119"/>
  <c r="E24" i="119"/>
  <c r="D24" i="119"/>
  <c r="C24" i="119"/>
  <c r="L23" i="119"/>
  <c r="K23" i="119"/>
  <c r="J23" i="119"/>
  <c r="I23" i="119"/>
  <c r="H23" i="119"/>
  <c r="G23" i="119"/>
  <c r="F23" i="119"/>
  <c r="E23" i="119"/>
  <c r="D23" i="119"/>
  <c r="C23" i="119"/>
  <c r="L22" i="119"/>
  <c r="K22" i="119"/>
  <c r="J22" i="119"/>
  <c r="I22" i="119"/>
  <c r="H22" i="119"/>
  <c r="G22" i="119"/>
  <c r="F22" i="119"/>
  <c r="E22" i="119"/>
  <c r="D22" i="119"/>
  <c r="C22" i="119"/>
  <c r="L21" i="119"/>
  <c r="K21" i="119"/>
  <c r="J21" i="119"/>
  <c r="I21" i="119"/>
  <c r="H21" i="119"/>
  <c r="G21" i="119"/>
  <c r="F21" i="119"/>
  <c r="E21" i="119"/>
  <c r="D21" i="119"/>
  <c r="C21" i="119"/>
  <c r="L20" i="119"/>
  <c r="K20" i="119"/>
  <c r="J20" i="119"/>
  <c r="I20" i="119"/>
  <c r="H20" i="119"/>
  <c r="G20" i="119"/>
  <c r="F20" i="119"/>
  <c r="E20" i="119"/>
  <c r="D20" i="119"/>
  <c r="C20" i="119"/>
  <c r="L19" i="119"/>
  <c r="K19" i="119"/>
  <c r="J19" i="119"/>
  <c r="I19" i="119"/>
  <c r="H19" i="119"/>
  <c r="G19" i="119"/>
  <c r="F19" i="119"/>
  <c r="E19" i="119"/>
  <c r="D19" i="119"/>
  <c r="C19" i="119"/>
  <c r="L18" i="119"/>
  <c r="K18" i="119"/>
  <c r="J18" i="119"/>
  <c r="I18" i="119"/>
  <c r="H18" i="119"/>
  <c r="G18" i="119"/>
  <c r="F18" i="119"/>
  <c r="E18" i="119"/>
  <c r="D18" i="119"/>
  <c r="C18" i="119"/>
  <c r="L17" i="119"/>
  <c r="K17" i="119"/>
  <c r="J17" i="119"/>
  <c r="I17" i="119"/>
  <c r="H17" i="119"/>
  <c r="G17" i="119"/>
  <c r="F17" i="119"/>
  <c r="E17" i="119"/>
  <c r="D17" i="119"/>
  <c r="C17" i="119"/>
  <c r="L16" i="119"/>
  <c r="K16" i="119"/>
  <c r="J16" i="119"/>
  <c r="I16" i="119"/>
  <c r="H16" i="119"/>
  <c r="G16" i="119"/>
  <c r="F16" i="119"/>
  <c r="E16" i="119"/>
  <c r="D16" i="119"/>
  <c r="C16" i="119"/>
  <c r="L15" i="119"/>
  <c r="K15" i="119"/>
  <c r="J15" i="119"/>
  <c r="I15" i="119"/>
  <c r="H15" i="119"/>
  <c r="G15" i="119"/>
  <c r="F15" i="119"/>
  <c r="E15" i="119"/>
  <c r="D15" i="119"/>
  <c r="C15" i="119"/>
  <c r="L14" i="119"/>
  <c r="K14" i="119"/>
  <c r="J14" i="119"/>
  <c r="I14" i="119"/>
  <c r="H14" i="119"/>
  <c r="G14" i="119"/>
  <c r="F14" i="119"/>
  <c r="E14" i="119"/>
  <c r="D14" i="119"/>
  <c r="C14" i="119"/>
  <c r="L13" i="119"/>
  <c r="K13" i="119"/>
  <c r="J13" i="119"/>
  <c r="I13" i="119"/>
  <c r="H13" i="119"/>
  <c r="G13" i="119"/>
  <c r="F13" i="119"/>
  <c r="E13" i="119"/>
  <c r="D13" i="119"/>
  <c r="C13" i="119"/>
  <c r="L12" i="119"/>
  <c r="K12" i="119"/>
  <c r="J12" i="119"/>
  <c r="I12" i="119"/>
  <c r="H12" i="119"/>
  <c r="G12" i="119"/>
  <c r="F12" i="119"/>
  <c r="E12" i="119"/>
  <c r="D12" i="119"/>
  <c r="C12" i="119"/>
  <c r="L11" i="119"/>
  <c r="K11" i="119"/>
  <c r="J11" i="119"/>
  <c r="I11" i="119"/>
  <c r="H11" i="119"/>
  <c r="G11" i="119"/>
  <c r="F11" i="119"/>
  <c r="E11" i="119"/>
  <c r="D11" i="119"/>
  <c r="C11" i="119"/>
  <c r="L10" i="119"/>
  <c r="K10" i="119"/>
  <c r="J10" i="119"/>
  <c r="I10" i="119"/>
  <c r="H10" i="119"/>
  <c r="G10" i="119"/>
  <c r="F10" i="119"/>
  <c r="E10" i="119"/>
  <c r="D10" i="119"/>
  <c r="C10" i="119"/>
  <c r="L9" i="119"/>
  <c r="K9" i="119"/>
  <c r="J9" i="119"/>
  <c r="I9" i="119"/>
  <c r="H9" i="119"/>
  <c r="G9" i="119"/>
  <c r="F9" i="119"/>
  <c r="E9" i="119"/>
  <c r="D9" i="119"/>
  <c r="C9" i="119"/>
  <c r="L8" i="119"/>
  <c r="K8" i="119"/>
  <c r="J8" i="119"/>
  <c r="I8" i="119"/>
  <c r="H8" i="119"/>
  <c r="G8" i="119"/>
  <c r="F8" i="119"/>
  <c r="E8" i="119"/>
  <c r="D8" i="119"/>
  <c r="C8" i="119"/>
  <c r="L7" i="119"/>
  <c r="K7" i="119"/>
  <c r="J7" i="119"/>
  <c r="I7" i="119"/>
  <c r="H7" i="119"/>
  <c r="G7" i="119"/>
  <c r="F7" i="119"/>
  <c r="E7" i="119"/>
  <c r="D7" i="119"/>
  <c r="C7" i="119"/>
  <c r="L6" i="119"/>
  <c r="K6" i="119"/>
  <c r="J6" i="119"/>
  <c r="I6" i="119"/>
  <c r="H6" i="119"/>
  <c r="G6" i="119"/>
  <c r="F6" i="119"/>
  <c r="E6" i="119"/>
  <c r="D6" i="119"/>
  <c r="C6" i="119"/>
  <c r="L5" i="119"/>
  <c r="K5" i="119"/>
  <c r="J5" i="119"/>
  <c r="I5" i="119"/>
  <c r="H5" i="119"/>
  <c r="G5" i="119"/>
  <c r="F5" i="119"/>
  <c r="E5" i="119"/>
  <c r="D5" i="119"/>
  <c r="C5" i="119"/>
  <c r="L4" i="119"/>
  <c r="K4" i="119"/>
  <c r="J4" i="119"/>
  <c r="I4" i="119"/>
  <c r="H4" i="119"/>
  <c r="G4" i="119"/>
  <c r="F4" i="119"/>
  <c r="E4" i="119"/>
  <c r="D4" i="119"/>
  <c r="C4" i="119"/>
  <c r="L3" i="119"/>
  <c r="K3" i="119"/>
  <c r="J3" i="119"/>
  <c r="I3" i="119"/>
  <c r="H3" i="119"/>
  <c r="G3" i="119"/>
  <c r="F3" i="119"/>
  <c r="E3" i="119"/>
  <c r="D3" i="119"/>
  <c r="C3" i="119"/>
  <c r="L2" i="119"/>
  <c r="K2" i="119"/>
  <c r="J2" i="119"/>
  <c r="I2" i="119"/>
  <c r="H2" i="119"/>
  <c r="G2" i="119"/>
  <c r="F2" i="119"/>
  <c r="E2" i="119"/>
  <c r="D2" i="119"/>
  <c r="C2" i="119"/>
  <c r="L101" i="118"/>
  <c r="K101" i="118"/>
  <c r="J101" i="118"/>
  <c r="I101" i="118"/>
  <c r="H101" i="118"/>
  <c r="G101" i="118"/>
  <c r="F101" i="118"/>
  <c r="E101" i="118"/>
  <c r="D101" i="118"/>
  <c r="C101" i="118"/>
  <c r="L100" i="118"/>
  <c r="K100" i="118"/>
  <c r="J100" i="118"/>
  <c r="I100" i="118"/>
  <c r="H100" i="118"/>
  <c r="G100" i="118"/>
  <c r="F100" i="118"/>
  <c r="E100" i="118"/>
  <c r="D100" i="118"/>
  <c r="C100" i="118"/>
  <c r="L99" i="118"/>
  <c r="K99" i="118"/>
  <c r="J99" i="118"/>
  <c r="I99" i="118"/>
  <c r="H99" i="118"/>
  <c r="G99" i="118"/>
  <c r="F99" i="118"/>
  <c r="E99" i="118"/>
  <c r="D99" i="118"/>
  <c r="C99" i="118"/>
  <c r="L98" i="118"/>
  <c r="K98" i="118"/>
  <c r="J98" i="118"/>
  <c r="I98" i="118"/>
  <c r="H98" i="118"/>
  <c r="G98" i="118"/>
  <c r="F98" i="118"/>
  <c r="E98" i="118"/>
  <c r="D98" i="118"/>
  <c r="C98" i="118"/>
  <c r="L97" i="118"/>
  <c r="K97" i="118"/>
  <c r="J97" i="118"/>
  <c r="I97" i="118"/>
  <c r="H97" i="118"/>
  <c r="G97" i="118"/>
  <c r="F97" i="118"/>
  <c r="E97" i="118"/>
  <c r="D97" i="118"/>
  <c r="C97" i="118"/>
  <c r="L96" i="118"/>
  <c r="K96" i="118"/>
  <c r="J96" i="118"/>
  <c r="I96" i="118"/>
  <c r="H96" i="118"/>
  <c r="G96" i="118"/>
  <c r="F96" i="118"/>
  <c r="E96" i="118"/>
  <c r="D96" i="118"/>
  <c r="C96" i="118"/>
  <c r="L95" i="118"/>
  <c r="K95" i="118"/>
  <c r="J95" i="118"/>
  <c r="I95" i="118"/>
  <c r="H95" i="118"/>
  <c r="G95" i="118"/>
  <c r="F95" i="118"/>
  <c r="E95" i="118"/>
  <c r="D95" i="118"/>
  <c r="C95" i="118"/>
  <c r="L94" i="118"/>
  <c r="K94" i="118"/>
  <c r="J94" i="118"/>
  <c r="I94" i="118"/>
  <c r="H94" i="118"/>
  <c r="G94" i="118"/>
  <c r="F94" i="118"/>
  <c r="E94" i="118"/>
  <c r="D94" i="118"/>
  <c r="C94" i="118"/>
  <c r="L93" i="118"/>
  <c r="K93" i="118"/>
  <c r="J93" i="118"/>
  <c r="I93" i="118"/>
  <c r="H93" i="118"/>
  <c r="G93" i="118"/>
  <c r="F93" i="118"/>
  <c r="E93" i="118"/>
  <c r="D93" i="118"/>
  <c r="C93" i="118"/>
  <c r="L92" i="118"/>
  <c r="K92" i="118"/>
  <c r="J92" i="118"/>
  <c r="I92" i="118"/>
  <c r="H92" i="118"/>
  <c r="G92" i="118"/>
  <c r="F92" i="118"/>
  <c r="E92" i="118"/>
  <c r="D92" i="118"/>
  <c r="C92" i="118"/>
  <c r="L91" i="118"/>
  <c r="K91" i="118"/>
  <c r="J91" i="118"/>
  <c r="I91" i="118"/>
  <c r="H91" i="118"/>
  <c r="G91" i="118"/>
  <c r="F91" i="118"/>
  <c r="E91" i="118"/>
  <c r="D91" i="118"/>
  <c r="C91" i="118"/>
  <c r="L90" i="118"/>
  <c r="K90" i="118"/>
  <c r="J90" i="118"/>
  <c r="I90" i="118"/>
  <c r="H90" i="118"/>
  <c r="G90" i="118"/>
  <c r="F90" i="118"/>
  <c r="E90" i="118"/>
  <c r="D90" i="118"/>
  <c r="C90" i="118"/>
  <c r="L89" i="118"/>
  <c r="K89" i="118"/>
  <c r="J89" i="118"/>
  <c r="I89" i="118"/>
  <c r="H89" i="118"/>
  <c r="G89" i="118"/>
  <c r="F89" i="118"/>
  <c r="E89" i="118"/>
  <c r="D89" i="118"/>
  <c r="C89" i="118"/>
  <c r="L88" i="118"/>
  <c r="K88" i="118"/>
  <c r="J88" i="118"/>
  <c r="I88" i="118"/>
  <c r="H88" i="118"/>
  <c r="G88" i="118"/>
  <c r="F88" i="118"/>
  <c r="E88" i="118"/>
  <c r="D88" i="118"/>
  <c r="C88" i="118"/>
  <c r="L87" i="118"/>
  <c r="K87" i="118"/>
  <c r="J87" i="118"/>
  <c r="I87" i="118"/>
  <c r="H87" i="118"/>
  <c r="G87" i="118"/>
  <c r="F87" i="118"/>
  <c r="E87" i="118"/>
  <c r="D87" i="118"/>
  <c r="C87" i="118"/>
  <c r="L86" i="118"/>
  <c r="K86" i="118"/>
  <c r="J86" i="118"/>
  <c r="I86" i="118"/>
  <c r="H86" i="118"/>
  <c r="G86" i="118"/>
  <c r="F86" i="118"/>
  <c r="E86" i="118"/>
  <c r="D86" i="118"/>
  <c r="C86" i="118"/>
  <c r="L85" i="118"/>
  <c r="K85" i="118"/>
  <c r="J85" i="118"/>
  <c r="I85" i="118"/>
  <c r="H85" i="118"/>
  <c r="G85" i="118"/>
  <c r="F85" i="118"/>
  <c r="E85" i="118"/>
  <c r="D85" i="118"/>
  <c r="C85" i="118"/>
  <c r="L84" i="118"/>
  <c r="K84" i="118"/>
  <c r="J84" i="118"/>
  <c r="I84" i="118"/>
  <c r="H84" i="118"/>
  <c r="G84" i="118"/>
  <c r="F84" i="118"/>
  <c r="E84" i="118"/>
  <c r="D84" i="118"/>
  <c r="C84" i="118"/>
  <c r="L83" i="118"/>
  <c r="K83" i="118"/>
  <c r="J83" i="118"/>
  <c r="I83" i="118"/>
  <c r="H83" i="118"/>
  <c r="G83" i="118"/>
  <c r="F83" i="118"/>
  <c r="E83" i="118"/>
  <c r="D83" i="118"/>
  <c r="C83" i="118"/>
  <c r="L82" i="118"/>
  <c r="K82" i="118"/>
  <c r="J82" i="118"/>
  <c r="I82" i="118"/>
  <c r="H82" i="118"/>
  <c r="G82" i="118"/>
  <c r="F82" i="118"/>
  <c r="E82" i="118"/>
  <c r="D82" i="118"/>
  <c r="C82" i="118"/>
  <c r="L81" i="118"/>
  <c r="K81" i="118"/>
  <c r="J81" i="118"/>
  <c r="I81" i="118"/>
  <c r="H81" i="118"/>
  <c r="G81" i="118"/>
  <c r="F81" i="118"/>
  <c r="E81" i="118"/>
  <c r="D81" i="118"/>
  <c r="C81" i="118"/>
  <c r="L80" i="118"/>
  <c r="K80" i="118"/>
  <c r="J80" i="118"/>
  <c r="I80" i="118"/>
  <c r="H80" i="118"/>
  <c r="G80" i="118"/>
  <c r="F80" i="118"/>
  <c r="E80" i="118"/>
  <c r="D80" i="118"/>
  <c r="C80" i="118"/>
  <c r="L79" i="118"/>
  <c r="K79" i="118"/>
  <c r="J79" i="118"/>
  <c r="I79" i="118"/>
  <c r="H79" i="118"/>
  <c r="G79" i="118"/>
  <c r="F79" i="118"/>
  <c r="E79" i="118"/>
  <c r="D79" i="118"/>
  <c r="C79" i="118"/>
  <c r="L78" i="118"/>
  <c r="K78" i="118"/>
  <c r="J78" i="118"/>
  <c r="I78" i="118"/>
  <c r="H78" i="118"/>
  <c r="G78" i="118"/>
  <c r="F78" i="118"/>
  <c r="E78" i="118"/>
  <c r="D78" i="118"/>
  <c r="C78" i="118"/>
  <c r="L77" i="118"/>
  <c r="K77" i="118"/>
  <c r="J77" i="118"/>
  <c r="I77" i="118"/>
  <c r="H77" i="118"/>
  <c r="G77" i="118"/>
  <c r="F77" i="118"/>
  <c r="E77" i="118"/>
  <c r="D77" i="118"/>
  <c r="C77" i="118"/>
  <c r="L76" i="118"/>
  <c r="K76" i="118"/>
  <c r="J76" i="118"/>
  <c r="I76" i="118"/>
  <c r="H76" i="118"/>
  <c r="G76" i="118"/>
  <c r="F76" i="118"/>
  <c r="E76" i="118"/>
  <c r="D76" i="118"/>
  <c r="C76" i="118"/>
  <c r="L75" i="118"/>
  <c r="K75" i="118"/>
  <c r="J75" i="118"/>
  <c r="I75" i="118"/>
  <c r="H75" i="118"/>
  <c r="G75" i="118"/>
  <c r="F75" i="118"/>
  <c r="E75" i="118"/>
  <c r="D75" i="118"/>
  <c r="C75" i="118"/>
  <c r="L74" i="118"/>
  <c r="K74" i="118"/>
  <c r="J74" i="118"/>
  <c r="I74" i="118"/>
  <c r="H74" i="118"/>
  <c r="G74" i="118"/>
  <c r="F74" i="118"/>
  <c r="E74" i="118"/>
  <c r="D74" i="118"/>
  <c r="C74" i="118"/>
  <c r="L73" i="118"/>
  <c r="K73" i="118"/>
  <c r="J73" i="118"/>
  <c r="I73" i="118"/>
  <c r="H73" i="118"/>
  <c r="G73" i="118"/>
  <c r="F73" i="118"/>
  <c r="E73" i="118"/>
  <c r="D73" i="118"/>
  <c r="C73" i="118"/>
  <c r="L72" i="118"/>
  <c r="K72" i="118"/>
  <c r="J72" i="118"/>
  <c r="I72" i="118"/>
  <c r="H72" i="118"/>
  <c r="G72" i="118"/>
  <c r="F72" i="118"/>
  <c r="E72" i="118"/>
  <c r="D72" i="118"/>
  <c r="C72" i="118"/>
  <c r="L71" i="118"/>
  <c r="K71" i="118"/>
  <c r="J71" i="118"/>
  <c r="I71" i="118"/>
  <c r="H71" i="118"/>
  <c r="G71" i="118"/>
  <c r="F71" i="118"/>
  <c r="E71" i="118"/>
  <c r="D71" i="118"/>
  <c r="C71" i="118"/>
  <c r="L70" i="118"/>
  <c r="K70" i="118"/>
  <c r="J70" i="118"/>
  <c r="I70" i="118"/>
  <c r="H70" i="118"/>
  <c r="G70" i="118"/>
  <c r="F70" i="118"/>
  <c r="E70" i="118"/>
  <c r="D70" i="118"/>
  <c r="C70" i="118"/>
  <c r="L69" i="118"/>
  <c r="K69" i="118"/>
  <c r="J69" i="118"/>
  <c r="I69" i="118"/>
  <c r="H69" i="118"/>
  <c r="G69" i="118"/>
  <c r="F69" i="118"/>
  <c r="E69" i="118"/>
  <c r="D69" i="118"/>
  <c r="C69" i="118"/>
  <c r="L68" i="118"/>
  <c r="K68" i="118"/>
  <c r="J68" i="118"/>
  <c r="I68" i="118"/>
  <c r="H68" i="118"/>
  <c r="G68" i="118"/>
  <c r="F68" i="118"/>
  <c r="E68" i="118"/>
  <c r="D68" i="118"/>
  <c r="C68" i="118"/>
  <c r="L67" i="118"/>
  <c r="K67" i="118"/>
  <c r="J67" i="118"/>
  <c r="I67" i="118"/>
  <c r="H67" i="118"/>
  <c r="G67" i="118"/>
  <c r="F67" i="118"/>
  <c r="E67" i="118"/>
  <c r="D67" i="118"/>
  <c r="C67" i="118"/>
  <c r="L66" i="118"/>
  <c r="K66" i="118"/>
  <c r="J66" i="118"/>
  <c r="I66" i="118"/>
  <c r="H66" i="118"/>
  <c r="G66" i="118"/>
  <c r="F66" i="118"/>
  <c r="E66" i="118"/>
  <c r="D66" i="118"/>
  <c r="C66" i="118"/>
  <c r="L65" i="118"/>
  <c r="K65" i="118"/>
  <c r="J65" i="118"/>
  <c r="I65" i="118"/>
  <c r="H65" i="118"/>
  <c r="G65" i="118"/>
  <c r="F65" i="118"/>
  <c r="E65" i="118"/>
  <c r="D65" i="118"/>
  <c r="C65" i="118"/>
  <c r="L64" i="118"/>
  <c r="K64" i="118"/>
  <c r="J64" i="118"/>
  <c r="I64" i="118"/>
  <c r="H64" i="118"/>
  <c r="G64" i="118"/>
  <c r="F64" i="118"/>
  <c r="E64" i="118"/>
  <c r="D64" i="118"/>
  <c r="C64" i="118"/>
  <c r="L63" i="118"/>
  <c r="K63" i="118"/>
  <c r="J63" i="118"/>
  <c r="I63" i="118"/>
  <c r="H63" i="118"/>
  <c r="G63" i="118"/>
  <c r="F63" i="118"/>
  <c r="E63" i="118"/>
  <c r="D63" i="118"/>
  <c r="C63" i="118"/>
  <c r="L62" i="118"/>
  <c r="K62" i="118"/>
  <c r="J62" i="118"/>
  <c r="I62" i="118"/>
  <c r="H62" i="118"/>
  <c r="G62" i="118"/>
  <c r="F62" i="118"/>
  <c r="E62" i="118"/>
  <c r="D62" i="118"/>
  <c r="C62" i="118"/>
  <c r="L61" i="118"/>
  <c r="K61" i="118"/>
  <c r="J61" i="118"/>
  <c r="I61" i="118"/>
  <c r="H61" i="118"/>
  <c r="G61" i="118"/>
  <c r="F61" i="118"/>
  <c r="E61" i="118"/>
  <c r="D61" i="118"/>
  <c r="C61" i="118"/>
  <c r="L60" i="118"/>
  <c r="K60" i="118"/>
  <c r="J60" i="118"/>
  <c r="I60" i="118"/>
  <c r="H60" i="118"/>
  <c r="G60" i="118"/>
  <c r="F60" i="118"/>
  <c r="E60" i="118"/>
  <c r="D60" i="118"/>
  <c r="C60" i="118"/>
  <c r="L59" i="118"/>
  <c r="K59" i="118"/>
  <c r="J59" i="118"/>
  <c r="I59" i="118"/>
  <c r="H59" i="118"/>
  <c r="G59" i="118"/>
  <c r="F59" i="118"/>
  <c r="E59" i="118"/>
  <c r="D59" i="118"/>
  <c r="C59" i="118"/>
  <c r="L58" i="118"/>
  <c r="K58" i="118"/>
  <c r="J58" i="118"/>
  <c r="I58" i="118"/>
  <c r="H58" i="118"/>
  <c r="G58" i="118"/>
  <c r="F58" i="118"/>
  <c r="E58" i="118"/>
  <c r="D58" i="118"/>
  <c r="C58" i="118"/>
  <c r="L57" i="118"/>
  <c r="K57" i="118"/>
  <c r="J57" i="118"/>
  <c r="I57" i="118"/>
  <c r="H57" i="118"/>
  <c r="G57" i="118"/>
  <c r="F57" i="118"/>
  <c r="E57" i="118"/>
  <c r="D57" i="118"/>
  <c r="C57" i="118"/>
  <c r="L56" i="118"/>
  <c r="K56" i="118"/>
  <c r="J56" i="118"/>
  <c r="I56" i="118"/>
  <c r="H56" i="118"/>
  <c r="G56" i="118"/>
  <c r="F56" i="118"/>
  <c r="E56" i="118"/>
  <c r="D56" i="118"/>
  <c r="C56" i="118"/>
  <c r="L55" i="118"/>
  <c r="K55" i="118"/>
  <c r="J55" i="118"/>
  <c r="I55" i="118"/>
  <c r="H55" i="118"/>
  <c r="G55" i="118"/>
  <c r="F55" i="118"/>
  <c r="E55" i="118"/>
  <c r="D55" i="118"/>
  <c r="C55" i="118"/>
  <c r="L54" i="118"/>
  <c r="K54" i="118"/>
  <c r="J54" i="118"/>
  <c r="I54" i="118"/>
  <c r="H54" i="118"/>
  <c r="G54" i="118"/>
  <c r="F54" i="118"/>
  <c r="E54" i="118"/>
  <c r="D54" i="118"/>
  <c r="C54" i="118"/>
  <c r="L53" i="118"/>
  <c r="K53" i="118"/>
  <c r="J53" i="118"/>
  <c r="I53" i="118"/>
  <c r="H53" i="118"/>
  <c r="G53" i="118"/>
  <c r="F53" i="118"/>
  <c r="E53" i="118"/>
  <c r="D53" i="118"/>
  <c r="C53" i="118"/>
  <c r="L52" i="118"/>
  <c r="K52" i="118"/>
  <c r="J52" i="118"/>
  <c r="I52" i="118"/>
  <c r="H52" i="118"/>
  <c r="G52" i="118"/>
  <c r="F52" i="118"/>
  <c r="E52" i="118"/>
  <c r="D52" i="118"/>
  <c r="C52" i="118"/>
  <c r="L51" i="118"/>
  <c r="K51" i="118"/>
  <c r="J51" i="118"/>
  <c r="I51" i="118"/>
  <c r="H51" i="118"/>
  <c r="G51" i="118"/>
  <c r="F51" i="118"/>
  <c r="E51" i="118"/>
  <c r="D51" i="118"/>
  <c r="C51" i="118"/>
  <c r="L50" i="118"/>
  <c r="K50" i="118"/>
  <c r="J50" i="118"/>
  <c r="I50" i="118"/>
  <c r="H50" i="118"/>
  <c r="G50" i="118"/>
  <c r="F50" i="118"/>
  <c r="E50" i="118"/>
  <c r="D50" i="118"/>
  <c r="C50" i="118"/>
  <c r="L49" i="118"/>
  <c r="K49" i="118"/>
  <c r="J49" i="118"/>
  <c r="I49" i="118"/>
  <c r="H49" i="118"/>
  <c r="G49" i="118"/>
  <c r="F49" i="118"/>
  <c r="E49" i="118"/>
  <c r="D49" i="118"/>
  <c r="C49" i="118"/>
  <c r="L48" i="118"/>
  <c r="K48" i="118"/>
  <c r="J48" i="118"/>
  <c r="I48" i="118"/>
  <c r="H48" i="118"/>
  <c r="G48" i="118"/>
  <c r="F48" i="118"/>
  <c r="E48" i="118"/>
  <c r="D48" i="118"/>
  <c r="C48" i="118"/>
  <c r="L47" i="118"/>
  <c r="K47" i="118"/>
  <c r="J47" i="118"/>
  <c r="I47" i="118"/>
  <c r="H47" i="118"/>
  <c r="G47" i="118"/>
  <c r="F47" i="118"/>
  <c r="E47" i="118"/>
  <c r="D47" i="118"/>
  <c r="C47" i="118"/>
  <c r="L46" i="118"/>
  <c r="K46" i="118"/>
  <c r="J46" i="118"/>
  <c r="I46" i="118"/>
  <c r="H46" i="118"/>
  <c r="G46" i="118"/>
  <c r="F46" i="118"/>
  <c r="E46" i="118"/>
  <c r="D46" i="118"/>
  <c r="C46" i="118"/>
  <c r="L45" i="118"/>
  <c r="K45" i="118"/>
  <c r="J45" i="118"/>
  <c r="I45" i="118"/>
  <c r="H45" i="118"/>
  <c r="G45" i="118"/>
  <c r="F45" i="118"/>
  <c r="E45" i="118"/>
  <c r="D45" i="118"/>
  <c r="C45" i="118"/>
  <c r="L44" i="118"/>
  <c r="K44" i="118"/>
  <c r="J44" i="118"/>
  <c r="I44" i="118"/>
  <c r="H44" i="118"/>
  <c r="G44" i="118"/>
  <c r="F44" i="118"/>
  <c r="E44" i="118"/>
  <c r="D44" i="118"/>
  <c r="C44" i="118"/>
  <c r="L43" i="118"/>
  <c r="K43" i="118"/>
  <c r="J43" i="118"/>
  <c r="I43" i="118"/>
  <c r="H43" i="118"/>
  <c r="G43" i="118"/>
  <c r="F43" i="118"/>
  <c r="E43" i="118"/>
  <c r="D43" i="118"/>
  <c r="C43" i="118"/>
  <c r="L42" i="118"/>
  <c r="K42" i="118"/>
  <c r="J42" i="118"/>
  <c r="I42" i="118"/>
  <c r="H42" i="118"/>
  <c r="G42" i="118"/>
  <c r="F42" i="118"/>
  <c r="E42" i="118"/>
  <c r="D42" i="118"/>
  <c r="C42" i="118"/>
  <c r="L41" i="118"/>
  <c r="K41" i="118"/>
  <c r="J41" i="118"/>
  <c r="I41" i="118"/>
  <c r="H41" i="118"/>
  <c r="G41" i="118"/>
  <c r="F41" i="118"/>
  <c r="E41" i="118"/>
  <c r="D41" i="118"/>
  <c r="C41" i="118"/>
  <c r="L40" i="118"/>
  <c r="K40" i="118"/>
  <c r="J40" i="118"/>
  <c r="I40" i="118"/>
  <c r="H40" i="118"/>
  <c r="G40" i="118"/>
  <c r="F40" i="118"/>
  <c r="E40" i="118"/>
  <c r="D40" i="118"/>
  <c r="C40" i="118"/>
  <c r="L39" i="118"/>
  <c r="K39" i="118"/>
  <c r="J39" i="118"/>
  <c r="I39" i="118"/>
  <c r="H39" i="118"/>
  <c r="G39" i="118"/>
  <c r="F39" i="118"/>
  <c r="E39" i="118"/>
  <c r="D39" i="118"/>
  <c r="C39" i="118"/>
  <c r="L38" i="118"/>
  <c r="K38" i="118"/>
  <c r="J38" i="118"/>
  <c r="I38" i="118"/>
  <c r="H38" i="118"/>
  <c r="G38" i="118"/>
  <c r="F38" i="118"/>
  <c r="E38" i="118"/>
  <c r="D38" i="118"/>
  <c r="C38" i="118"/>
  <c r="L37" i="118"/>
  <c r="K37" i="118"/>
  <c r="J37" i="118"/>
  <c r="I37" i="118"/>
  <c r="H37" i="118"/>
  <c r="G37" i="118"/>
  <c r="F37" i="118"/>
  <c r="E37" i="118"/>
  <c r="D37" i="118"/>
  <c r="C37" i="118"/>
  <c r="L36" i="118"/>
  <c r="K36" i="118"/>
  <c r="J36" i="118"/>
  <c r="I36" i="118"/>
  <c r="H36" i="118"/>
  <c r="G36" i="118"/>
  <c r="F36" i="118"/>
  <c r="E36" i="118"/>
  <c r="D36" i="118"/>
  <c r="C36" i="118"/>
  <c r="L35" i="118"/>
  <c r="K35" i="118"/>
  <c r="J35" i="118"/>
  <c r="I35" i="118"/>
  <c r="H35" i="118"/>
  <c r="G35" i="118"/>
  <c r="F35" i="118"/>
  <c r="E35" i="118"/>
  <c r="D35" i="118"/>
  <c r="C35" i="118"/>
  <c r="L34" i="118"/>
  <c r="K34" i="118"/>
  <c r="J34" i="118"/>
  <c r="I34" i="118"/>
  <c r="H34" i="118"/>
  <c r="G34" i="118"/>
  <c r="F34" i="118"/>
  <c r="E34" i="118"/>
  <c r="D34" i="118"/>
  <c r="C34" i="118"/>
  <c r="L33" i="118"/>
  <c r="K33" i="118"/>
  <c r="J33" i="118"/>
  <c r="I33" i="118"/>
  <c r="H33" i="118"/>
  <c r="G33" i="118"/>
  <c r="F33" i="118"/>
  <c r="E33" i="118"/>
  <c r="D33" i="118"/>
  <c r="C33" i="118"/>
  <c r="L32" i="118"/>
  <c r="K32" i="118"/>
  <c r="J32" i="118"/>
  <c r="I32" i="118"/>
  <c r="H32" i="118"/>
  <c r="G32" i="118"/>
  <c r="F32" i="118"/>
  <c r="E32" i="118"/>
  <c r="D32" i="118"/>
  <c r="C32" i="118"/>
  <c r="L31" i="118"/>
  <c r="K31" i="118"/>
  <c r="J31" i="118"/>
  <c r="I31" i="118"/>
  <c r="H31" i="118"/>
  <c r="G31" i="118"/>
  <c r="F31" i="118"/>
  <c r="E31" i="118"/>
  <c r="D31" i="118"/>
  <c r="C31" i="118"/>
  <c r="L30" i="118"/>
  <c r="K30" i="118"/>
  <c r="J30" i="118"/>
  <c r="I30" i="118"/>
  <c r="H30" i="118"/>
  <c r="G30" i="118"/>
  <c r="F30" i="118"/>
  <c r="E30" i="118"/>
  <c r="D30" i="118"/>
  <c r="C30" i="118"/>
  <c r="L29" i="118"/>
  <c r="K29" i="118"/>
  <c r="J29" i="118"/>
  <c r="I29" i="118"/>
  <c r="H29" i="118"/>
  <c r="G29" i="118"/>
  <c r="F29" i="118"/>
  <c r="E29" i="118"/>
  <c r="D29" i="118"/>
  <c r="C29" i="118"/>
  <c r="L28" i="118"/>
  <c r="K28" i="118"/>
  <c r="J28" i="118"/>
  <c r="I28" i="118"/>
  <c r="H28" i="118"/>
  <c r="G28" i="118"/>
  <c r="F28" i="118"/>
  <c r="E28" i="118"/>
  <c r="D28" i="118"/>
  <c r="C28" i="118"/>
  <c r="L27" i="118"/>
  <c r="K27" i="118"/>
  <c r="J27" i="118"/>
  <c r="I27" i="118"/>
  <c r="H27" i="118"/>
  <c r="G27" i="118"/>
  <c r="F27" i="118"/>
  <c r="E27" i="118"/>
  <c r="D27" i="118"/>
  <c r="C27" i="118"/>
  <c r="L26" i="118"/>
  <c r="K26" i="118"/>
  <c r="J26" i="118"/>
  <c r="I26" i="118"/>
  <c r="H26" i="118"/>
  <c r="G26" i="118"/>
  <c r="F26" i="118"/>
  <c r="E26" i="118"/>
  <c r="D26" i="118"/>
  <c r="C26" i="118"/>
  <c r="L25" i="118"/>
  <c r="K25" i="118"/>
  <c r="J25" i="118"/>
  <c r="I25" i="118"/>
  <c r="H25" i="118"/>
  <c r="G25" i="118"/>
  <c r="F25" i="118"/>
  <c r="E25" i="118"/>
  <c r="D25" i="118"/>
  <c r="C25" i="118"/>
  <c r="L24" i="118"/>
  <c r="K24" i="118"/>
  <c r="J24" i="118"/>
  <c r="I24" i="118"/>
  <c r="H24" i="118"/>
  <c r="G24" i="118"/>
  <c r="F24" i="118"/>
  <c r="E24" i="118"/>
  <c r="D24" i="118"/>
  <c r="C24" i="118"/>
  <c r="L23" i="118"/>
  <c r="K23" i="118"/>
  <c r="J23" i="118"/>
  <c r="I23" i="118"/>
  <c r="H23" i="118"/>
  <c r="G23" i="118"/>
  <c r="F23" i="118"/>
  <c r="E23" i="118"/>
  <c r="D23" i="118"/>
  <c r="C23" i="118"/>
  <c r="L22" i="118"/>
  <c r="K22" i="118"/>
  <c r="J22" i="118"/>
  <c r="I22" i="118"/>
  <c r="H22" i="118"/>
  <c r="G22" i="118"/>
  <c r="F22" i="118"/>
  <c r="E22" i="118"/>
  <c r="D22" i="118"/>
  <c r="C22" i="118"/>
  <c r="L21" i="118"/>
  <c r="K21" i="118"/>
  <c r="J21" i="118"/>
  <c r="I21" i="118"/>
  <c r="H21" i="118"/>
  <c r="G21" i="118"/>
  <c r="F21" i="118"/>
  <c r="E21" i="118"/>
  <c r="D21" i="118"/>
  <c r="C21" i="118"/>
  <c r="L20" i="118"/>
  <c r="K20" i="118"/>
  <c r="J20" i="118"/>
  <c r="I20" i="118"/>
  <c r="H20" i="118"/>
  <c r="G20" i="118"/>
  <c r="F20" i="118"/>
  <c r="E20" i="118"/>
  <c r="D20" i="118"/>
  <c r="C20" i="118"/>
  <c r="L19" i="118"/>
  <c r="K19" i="118"/>
  <c r="J19" i="118"/>
  <c r="I19" i="118"/>
  <c r="H19" i="118"/>
  <c r="G19" i="118"/>
  <c r="F19" i="118"/>
  <c r="E19" i="118"/>
  <c r="D19" i="118"/>
  <c r="C19" i="118"/>
  <c r="L18" i="118"/>
  <c r="K18" i="118"/>
  <c r="J18" i="118"/>
  <c r="I18" i="118"/>
  <c r="H18" i="118"/>
  <c r="G18" i="118"/>
  <c r="F18" i="118"/>
  <c r="E18" i="118"/>
  <c r="D18" i="118"/>
  <c r="C18" i="118"/>
  <c r="L17" i="118"/>
  <c r="K17" i="118"/>
  <c r="J17" i="118"/>
  <c r="I17" i="118"/>
  <c r="H17" i="118"/>
  <c r="G17" i="118"/>
  <c r="F17" i="118"/>
  <c r="E17" i="118"/>
  <c r="D17" i="118"/>
  <c r="C17" i="118"/>
  <c r="L16" i="118"/>
  <c r="K16" i="118"/>
  <c r="J16" i="118"/>
  <c r="I16" i="118"/>
  <c r="H16" i="118"/>
  <c r="G16" i="118"/>
  <c r="F16" i="118"/>
  <c r="E16" i="118"/>
  <c r="D16" i="118"/>
  <c r="C16" i="118"/>
  <c r="L15" i="118"/>
  <c r="K15" i="118"/>
  <c r="J15" i="118"/>
  <c r="I15" i="118"/>
  <c r="H15" i="118"/>
  <c r="G15" i="118"/>
  <c r="F15" i="118"/>
  <c r="E15" i="118"/>
  <c r="D15" i="118"/>
  <c r="C15" i="118"/>
  <c r="L14" i="118"/>
  <c r="K14" i="118"/>
  <c r="J14" i="118"/>
  <c r="I14" i="118"/>
  <c r="H14" i="118"/>
  <c r="G14" i="118"/>
  <c r="F14" i="118"/>
  <c r="E14" i="118"/>
  <c r="D14" i="118"/>
  <c r="C14" i="118"/>
  <c r="L13" i="118"/>
  <c r="K13" i="118"/>
  <c r="J13" i="118"/>
  <c r="I13" i="118"/>
  <c r="H13" i="118"/>
  <c r="G13" i="118"/>
  <c r="F13" i="118"/>
  <c r="E13" i="118"/>
  <c r="D13" i="118"/>
  <c r="C13" i="118"/>
  <c r="L12" i="118"/>
  <c r="K12" i="118"/>
  <c r="J12" i="118"/>
  <c r="I12" i="118"/>
  <c r="H12" i="118"/>
  <c r="G12" i="118"/>
  <c r="F12" i="118"/>
  <c r="E12" i="118"/>
  <c r="D12" i="118"/>
  <c r="C12" i="118"/>
  <c r="L11" i="118"/>
  <c r="K11" i="118"/>
  <c r="J11" i="118"/>
  <c r="I11" i="118"/>
  <c r="H11" i="118"/>
  <c r="G11" i="118"/>
  <c r="F11" i="118"/>
  <c r="E11" i="118"/>
  <c r="D11" i="118"/>
  <c r="C11" i="118"/>
  <c r="L10" i="118"/>
  <c r="K10" i="118"/>
  <c r="J10" i="118"/>
  <c r="I10" i="118"/>
  <c r="H10" i="118"/>
  <c r="G10" i="118"/>
  <c r="F10" i="118"/>
  <c r="E10" i="118"/>
  <c r="D10" i="118"/>
  <c r="C10" i="118"/>
  <c r="L9" i="118"/>
  <c r="K9" i="118"/>
  <c r="J9" i="118"/>
  <c r="I9" i="118"/>
  <c r="H9" i="118"/>
  <c r="G9" i="118"/>
  <c r="F9" i="118"/>
  <c r="E9" i="118"/>
  <c r="D9" i="118"/>
  <c r="C9" i="118"/>
  <c r="L8" i="118"/>
  <c r="K8" i="118"/>
  <c r="J8" i="118"/>
  <c r="I8" i="118"/>
  <c r="H8" i="118"/>
  <c r="G8" i="118"/>
  <c r="F8" i="118"/>
  <c r="E8" i="118"/>
  <c r="D8" i="118"/>
  <c r="C8" i="118"/>
  <c r="L7" i="118"/>
  <c r="K7" i="118"/>
  <c r="J7" i="118"/>
  <c r="I7" i="118"/>
  <c r="H7" i="118"/>
  <c r="G7" i="118"/>
  <c r="F7" i="118"/>
  <c r="E7" i="118"/>
  <c r="D7" i="118"/>
  <c r="C7" i="118"/>
  <c r="L6" i="118"/>
  <c r="K6" i="118"/>
  <c r="J6" i="118"/>
  <c r="I6" i="118"/>
  <c r="H6" i="118"/>
  <c r="G6" i="118"/>
  <c r="F6" i="118"/>
  <c r="E6" i="118"/>
  <c r="D6" i="118"/>
  <c r="C6" i="118"/>
  <c r="L5" i="118"/>
  <c r="K5" i="118"/>
  <c r="J5" i="118"/>
  <c r="I5" i="118"/>
  <c r="H5" i="118"/>
  <c r="G5" i="118"/>
  <c r="F5" i="118"/>
  <c r="E5" i="118"/>
  <c r="D5" i="118"/>
  <c r="C5" i="118"/>
  <c r="L4" i="118"/>
  <c r="K4" i="118"/>
  <c r="J4" i="118"/>
  <c r="I4" i="118"/>
  <c r="H4" i="118"/>
  <c r="G4" i="118"/>
  <c r="F4" i="118"/>
  <c r="E4" i="118"/>
  <c r="D4" i="118"/>
  <c r="C4" i="118"/>
  <c r="L3" i="118"/>
  <c r="K3" i="118"/>
  <c r="J3" i="118"/>
  <c r="I3" i="118"/>
  <c r="H3" i="118"/>
  <c r="G3" i="118"/>
  <c r="F3" i="118"/>
  <c r="E3" i="118"/>
  <c r="D3" i="118"/>
  <c r="C3" i="118"/>
  <c r="L2" i="118"/>
  <c r="K2" i="118"/>
  <c r="J2" i="118"/>
  <c r="I2" i="118"/>
  <c r="H2" i="118"/>
  <c r="G2" i="118"/>
  <c r="F2" i="118"/>
  <c r="E2" i="118"/>
  <c r="D2" i="118"/>
  <c r="C2" i="118"/>
  <c r="L101" i="117"/>
  <c r="K101" i="117"/>
  <c r="J101" i="117"/>
  <c r="I101" i="117"/>
  <c r="H101" i="117"/>
  <c r="G101" i="117"/>
  <c r="F101" i="117"/>
  <c r="E101" i="117"/>
  <c r="D101" i="117"/>
  <c r="C101" i="117"/>
  <c r="L100" i="117"/>
  <c r="K100" i="117"/>
  <c r="J100" i="117"/>
  <c r="I100" i="117"/>
  <c r="H100" i="117"/>
  <c r="G100" i="117"/>
  <c r="F100" i="117"/>
  <c r="E100" i="117"/>
  <c r="D100" i="117"/>
  <c r="C100" i="117"/>
  <c r="L99" i="117"/>
  <c r="K99" i="117"/>
  <c r="J99" i="117"/>
  <c r="I99" i="117"/>
  <c r="H99" i="117"/>
  <c r="G99" i="117"/>
  <c r="F99" i="117"/>
  <c r="E99" i="117"/>
  <c r="D99" i="117"/>
  <c r="C99" i="117"/>
  <c r="L98" i="117"/>
  <c r="K98" i="117"/>
  <c r="J98" i="117"/>
  <c r="I98" i="117"/>
  <c r="H98" i="117"/>
  <c r="G98" i="117"/>
  <c r="F98" i="117"/>
  <c r="E98" i="117"/>
  <c r="D98" i="117"/>
  <c r="C98" i="117"/>
  <c r="L97" i="117"/>
  <c r="K97" i="117"/>
  <c r="J97" i="117"/>
  <c r="I97" i="117"/>
  <c r="H97" i="117"/>
  <c r="G97" i="117"/>
  <c r="F97" i="117"/>
  <c r="E97" i="117"/>
  <c r="D97" i="117"/>
  <c r="C97" i="117"/>
  <c r="L96" i="117"/>
  <c r="K96" i="117"/>
  <c r="J96" i="117"/>
  <c r="I96" i="117"/>
  <c r="H96" i="117"/>
  <c r="G96" i="117"/>
  <c r="F96" i="117"/>
  <c r="E96" i="117"/>
  <c r="D96" i="117"/>
  <c r="C96" i="117"/>
  <c r="L95" i="117"/>
  <c r="K95" i="117"/>
  <c r="J95" i="117"/>
  <c r="I95" i="117"/>
  <c r="H95" i="117"/>
  <c r="G95" i="117"/>
  <c r="F95" i="117"/>
  <c r="E95" i="117"/>
  <c r="D95" i="117"/>
  <c r="C95" i="117"/>
  <c r="L94" i="117"/>
  <c r="K94" i="117"/>
  <c r="J94" i="117"/>
  <c r="I94" i="117"/>
  <c r="H94" i="117"/>
  <c r="G94" i="117"/>
  <c r="F94" i="117"/>
  <c r="E94" i="117"/>
  <c r="D94" i="117"/>
  <c r="C94" i="117"/>
  <c r="L93" i="117"/>
  <c r="K93" i="117"/>
  <c r="J93" i="117"/>
  <c r="I93" i="117"/>
  <c r="H93" i="117"/>
  <c r="G93" i="117"/>
  <c r="F93" i="117"/>
  <c r="E93" i="117"/>
  <c r="D93" i="117"/>
  <c r="C93" i="117"/>
  <c r="L92" i="117"/>
  <c r="K92" i="117"/>
  <c r="J92" i="117"/>
  <c r="I92" i="117"/>
  <c r="H92" i="117"/>
  <c r="G92" i="117"/>
  <c r="F92" i="117"/>
  <c r="E92" i="117"/>
  <c r="D92" i="117"/>
  <c r="C92" i="117"/>
  <c r="L91" i="117"/>
  <c r="K91" i="117"/>
  <c r="J91" i="117"/>
  <c r="I91" i="117"/>
  <c r="H91" i="117"/>
  <c r="G91" i="117"/>
  <c r="F91" i="117"/>
  <c r="E91" i="117"/>
  <c r="D91" i="117"/>
  <c r="C91" i="117"/>
  <c r="L90" i="117"/>
  <c r="K90" i="117"/>
  <c r="J90" i="117"/>
  <c r="I90" i="117"/>
  <c r="H90" i="117"/>
  <c r="G90" i="117"/>
  <c r="F90" i="117"/>
  <c r="E90" i="117"/>
  <c r="D90" i="117"/>
  <c r="C90" i="117"/>
  <c r="L89" i="117"/>
  <c r="K89" i="117"/>
  <c r="J89" i="117"/>
  <c r="I89" i="117"/>
  <c r="H89" i="117"/>
  <c r="G89" i="117"/>
  <c r="F89" i="117"/>
  <c r="E89" i="117"/>
  <c r="D89" i="117"/>
  <c r="C89" i="117"/>
  <c r="L88" i="117"/>
  <c r="K88" i="117"/>
  <c r="J88" i="117"/>
  <c r="I88" i="117"/>
  <c r="H88" i="117"/>
  <c r="G88" i="117"/>
  <c r="F88" i="117"/>
  <c r="E88" i="117"/>
  <c r="D88" i="117"/>
  <c r="C88" i="117"/>
  <c r="L87" i="117"/>
  <c r="K87" i="117"/>
  <c r="J87" i="117"/>
  <c r="I87" i="117"/>
  <c r="H87" i="117"/>
  <c r="G87" i="117"/>
  <c r="F87" i="117"/>
  <c r="E87" i="117"/>
  <c r="D87" i="117"/>
  <c r="C87" i="117"/>
  <c r="L86" i="117"/>
  <c r="K86" i="117"/>
  <c r="J86" i="117"/>
  <c r="I86" i="117"/>
  <c r="H86" i="117"/>
  <c r="G86" i="117"/>
  <c r="F86" i="117"/>
  <c r="E86" i="117"/>
  <c r="D86" i="117"/>
  <c r="C86" i="117"/>
  <c r="L85" i="117"/>
  <c r="K85" i="117"/>
  <c r="J85" i="117"/>
  <c r="I85" i="117"/>
  <c r="H85" i="117"/>
  <c r="G85" i="117"/>
  <c r="F85" i="117"/>
  <c r="E85" i="117"/>
  <c r="D85" i="117"/>
  <c r="C85" i="117"/>
  <c r="L84" i="117"/>
  <c r="K84" i="117"/>
  <c r="J84" i="117"/>
  <c r="I84" i="117"/>
  <c r="H84" i="117"/>
  <c r="G84" i="117"/>
  <c r="F84" i="117"/>
  <c r="E84" i="117"/>
  <c r="D84" i="117"/>
  <c r="C84" i="117"/>
  <c r="L83" i="117"/>
  <c r="K83" i="117"/>
  <c r="J83" i="117"/>
  <c r="I83" i="117"/>
  <c r="H83" i="117"/>
  <c r="G83" i="117"/>
  <c r="F83" i="117"/>
  <c r="E83" i="117"/>
  <c r="D83" i="117"/>
  <c r="C83" i="117"/>
  <c r="L82" i="117"/>
  <c r="K82" i="117"/>
  <c r="J82" i="117"/>
  <c r="I82" i="117"/>
  <c r="H82" i="117"/>
  <c r="G82" i="117"/>
  <c r="F82" i="117"/>
  <c r="E82" i="117"/>
  <c r="D82" i="117"/>
  <c r="C82" i="117"/>
  <c r="L81" i="117"/>
  <c r="K81" i="117"/>
  <c r="J81" i="117"/>
  <c r="I81" i="117"/>
  <c r="H81" i="117"/>
  <c r="G81" i="117"/>
  <c r="F81" i="117"/>
  <c r="E81" i="117"/>
  <c r="D81" i="117"/>
  <c r="C81" i="117"/>
  <c r="L80" i="117"/>
  <c r="K80" i="117"/>
  <c r="J80" i="117"/>
  <c r="I80" i="117"/>
  <c r="H80" i="117"/>
  <c r="G80" i="117"/>
  <c r="F80" i="117"/>
  <c r="E80" i="117"/>
  <c r="D80" i="117"/>
  <c r="C80" i="117"/>
  <c r="L79" i="117"/>
  <c r="K79" i="117"/>
  <c r="J79" i="117"/>
  <c r="I79" i="117"/>
  <c r="H79" i="117"/>
  <c r="G79" i="117"/>
  <c r="F79" i="117"/>
  <c r="E79" i="117"/>
  <c r="D79" i="117"/>
  <c r="C79" i="117"/>
  <c r="L78" i="117"/>
  <c r="K78" i="117"/>
  <c r="J78" i="117"/>
  <c r="I78" i="117"/>
  <c r="H78" i="117"/>
  <c r="G78" i="117"/>
  <c r="F78" i="117"/>
  <c r="E78" i="117"/>
  <c r="D78" i="117"/>
  <c r="C78" i="117"/>
  <c r="L77" i="117"/>
  <c r="K77" i="117"/>
  <c r="J77" i="117"/>
  <c r="I77" i="117"/>
  <c r="H77" i="117"/>
  <c r="G77" i="117"/>
  <c r="F77" i="117"/>
  <c r="E77" i="117"/>
  <c r="D77" i="117"/>
  <c r="C77" i="117"/>
  <c r="L76" i="117"/>
  <c r="K76" i="117"/>
  <c r="J76" i="117"/>
  <c r="I76" i="117"/>
  <c r="H76" i="117"/>
  <c r="G76" i="117"/>
  <c r="F76" i="117"/>
  <c r="E76" i="117"/>
  <c r="D76" i="117"/>
  <c r="C76" i="117"/>
  <c r="L75" i="117"/>
  <c r="K75" i="117"/>
  <c r="J75" i="117"/>
  <c r="I75" i="117"/>
  <c r="H75" i="117"/>
  <c r="G75" i="117"/>
  <c r="F75" i="117"/>
  <c r="E75" i="117"/>
  <c r="D75" i="117"/>
  <c r="C75" i="117"/>
  <c r="L74" i="117"/>
  <c r="K74" i="117"/>
  <c r="J74" i="117"/>
  <c r="I74" i="117"/>
  <c r="H74" i="117"/>
  <c r="G74" i="117"/>
  <c r="F74" i="117"/>
  <c r="E74" i="117"/>
  <c r="D74" i="117"/>
  <c r="C74" i="117"/>
  <c r="L73" i="117"/>
  <c r="K73" i="117"/>
  <c r="J73" i="117"/>
  <c r="I73" i="117"/>
  <c r="H73" i="117"/>
  <c r="G73" i="117"/>
  <c r="F73" i="117"/>
  <c r="E73" i="117"/>
  <c r="D73" i="117"/>
  <c r="C73" i="117"/>
  <c r="L72" i="117"/>
  <c r="K72" i="117"/>
  <c r="J72" i="117"/>
  <c r="I72" i="117"/>
  <c r="H72" i="117"/>
  <c r="G72" i="117"/>
  <c r="F72" i="117"/>
  <c r="E72" i="117"/>
  <c r="D72" i="117"/>
  <c r="C72" i="117"/>
  <c r="L71" i="117"/>
  <c r="K71" i="117"/>
  <c r="J71" i="117"/>
  <c r="I71" i="117"/>
  <c r="H71" i="117"/>
  <c r="G71" i="117"/>
  <c r="F71" i="117"/>
  <c r="E71" i="117"/>
  <c r="D71" i="117"/>
  <c r="C71" i="117"/>
  <c r="L70" i="117"/>
  <c r="K70" i="117"/>
  <c r="J70" i="117"/>
  <c r="I70" i="117"/>
  <c r="H70" i="117"/>
  <c r="G70" i="117"/>
  <c r="F70" i="117"/>
  <c r="E70" i="117"/>
  <c r="D70" i="117"/>
  <c r="C70" i="117"/>
  <c r="L69" i="117"/>
  <c r="K69" i="117"/>
  <c r="J69" i="117"/>
  <c r="I69" i="117"/>
  <c r="H69" i="117"/>
  <c r="G69" i="117"/>
  <c r="F69" i="117"/>
  <c r="E69" i="117"/>
  <c r="D69" i="117"/>
  <c r="C69" i="117"/>
  <c r="L68" i="117"/>
  <c r="K68" i="117"/>
  <c r="J68" i="117"/>
  <c r="I68" i="117"/>
  <c r="H68" i="117"/>
  <c r="G68" i="117"/>
  <c r="F68" i="117"/>
  <c r="E68" i="117"/>
  <c r="D68" i="117"/>
  <c r="C68" i="117"/>
  <c r="L67" i="117"/>
  <c r="K67" i="117"/>
  <c r="J67" i="117"/>
  <c r="I67" i="117"/>
  <c r="H67" i="117"/>
  <c r="G67" i="117"/>
  <c r="F67" i="117"/>
  <c r="E67" i="117"/>
  <c r="D67" i="117"/>
  <c r="C67" i="117"/>
  <c r="L66" i="117"/>
  <c r="K66" i="117"/>
  <c r="J66" i="117"/>
  <c r="I66" i="117"/>
  <c r="H66" i="117"/>
  <c r="G66" i="117"/>
  <c r="F66" i="117"/>
  <c r="E66" i="117"/>
  <c r="D66" i="117"/>
  <c r="C66" i="117"/>
  <c r="L65" i="117"/>
  <c r="K65" i="117"/>
  <c r="J65" i="117"/>
  <c r="I65" i="117"/>
  <c r="H65" i="117"/>
  <c r="G65" i="117"/>
  <c r="F65" i="117"/>
  <c r="E65" i="117"/>
  <c r="D65" i="117"/>
  <c r="C65" i="117"/>
  <c r="L64" i="117"/>
  <c r="K64" i="117"/>
  <c r="J64" i="117"/>
  <c r="I64" i="117"/>
  <c r="H64" i="117"/>
  <c r="G64" i="117"/>
  <c r="F64" i="117"/>
  <c r="E64" i="117"/>
  <c r="D64" i="117"/>
  <c r="C64" i="117"/>
  <c r="L63" i="117"/>
  <c r="K63" i="117"/>
  <c r="J63" i="117"/>
  <c r="I63" i="117"/>
  <c r="H63" i="117"/>
  <c r="G63" i="117"/>
  <c r="F63" i="117"/>
  <c r="E63" i="117"/>
  <c r="D63" i="117"/>
  <c r="C63" i="117"/>
  <c r="L62" i="117"/>
  <c r="K62" i="117"/>
  <c r="J62" i="117"/>
  <c r="I62" i="117"/>
  <c r="H62" i="117"/>
  <c r="G62" i="117"/>
  <c r="F62" i="117"/>
  <c r="E62" i="117"/>
  <c r="D62" i="117"/>
  <c r="C62" i="117"/>
  <c r="L61" i="117"/>
  <c r="K61" i="117"/>
  <c r="J61" i="117"/>
  <c r="I61" i="117"/>
  <c r="H61" i="117"/>
  <c r="G61" i="117"/>
  <c r="F61" i="117"/>
  <c r="E61" i="117"/>
  <c r="D61" i="117"/>
  <c r="C61" i="117"/>
  <c r="L60" i="117"/>
  <c r="K60" i="117"/>
  <c r="J60" i="117"/>
  <c r="I60" i="117"/>
  <c r="H60" i="117"/>
  <c r="G60" i="117"/>
  <c r="F60" i="117"/>
  <c r="E60" i="117"/>
  <c r="D60" i="117"/>
  <c r="C60" i="117"/>
  <c r="L59" i="117"/>
  <c r="K59" i="117"/>
  <c r="J59" i="117"/>
  <c r="I59" i="117"/>
  <c r="H59" i="117"/>
  <c r="G59" i="117"/>
  <c r="F59" i="117"/>
  <c r="E59" i="117"/>
  <c r="D59" i="117"/>
  <c r="C59" i="117"/>
  <c r="L58" i="117"/>
  <c r="K58" i="117"/>
  <c r="J58" i="117"/>
  <c r="I58" i="117"/>
  <c r="H58" i="117"/>
  <c r="G58" i="117"/>
  <c r="F58" i="117"/>
  <c r="E58" i="117"/>
  <c r="D58" i="117"/>
  <c r="C58" i="117"/>
  <c r="L57" i="117"/>
  <c r="K57" i="117"/>
  <c r="J57" i="117"/>
  <c r="I57" i="117"/>
  <c r="H57" i="117"/>
  <c r="G57" i="117"/>
  <c r="F57" i="117"/>
  <c r="E57" i="117"/>
  <c r="D57" i="117"/>
  <c r="C57" i="117"/>
  <c r="L56" i="117"/>
  <c r="K56" i="117"/>
  <c r="J56" i="117"/>
  <c r="I56" i="117"/>
  <c r="H56" i="117"/>
  <c r="G56" i="117"/>
  <c r="F56" i="117"/>
  <c r="E56" i="117"/>
  <c r="D56" i="117"/>
  <c r="C56" i="117"/>
  <c r="L55" i="117"/>
  <c r="K55" i="117"/>
  <c r="J55" i="117"/>
  <c r="I55" i="117"/>
  <c r="H55" i="117"/>
  <c r="G55" i="117"/>
  <c r="F55" i="117"/>
  <c r="E55" i="117"/>
  <c r="D55" i="117"/>
  <c r="C55" i="117"/>
  <c r="L54" i="117"/>
  <c r="K54" i="117"/>
  <c r="J54" i="117"/>
  <c r="I54" i="117"/>
  <c r="H54" i="117"/>
  <c r="G54" i="117"/>
  <c r="F54" i="117"/>
  <c r="E54" i="117"/>
  <c r="D54" i="117"/>
  <c r="C54" i="117"/>
  <c r="L53" i="117"/>
  <c r="K53" i="117"/>
  <c r="J53" i="117"/>
  <c r="I53" i="117"/>
  <c r="H53" i="117"/>
  <c r="G53" i="117"/>
  <c r="F53" i="117"/>
  <c r="E53" i="117"/>
  <c r="D53" i="117"/>
  <c r="C53" i="117"/>
  <c r="L52" i="117"/>
  <c r="K52" i="117"/>
  <c r="J52" i="117"/>
  <c r="I52" i="117"/>
  <c r="H52" i="117"/>
  <c r="G52" i="117"/>
  <c r="F52" i="117"/>
  <c r="E52" i="117"/>
  <c r="D52" i="117"/>
  <c r="C52" i="117"/>
  <c r="L51" i="117"/>
  <c r="K51" i="117"/>
  <c r="J51" i="117"/>
  <c r="I51" i="117"/>
  <c r="H51" i="117"/>
  <c r="G51" i="117"/>
  <c r="F51" i="117"/>
  <c r="E51" i="117"/>
  <c r="D51" i="117"/>
  <c r="C51" i="117"/>
  <c r="L50" i="117"/>
  <c r="K50" i="117"/>
  <c r="J50" i="117"/>
  <c r="I50" i="117"/>
  <c r="H50" i="117"/>
  <c r="G50" i="117"/>
  <c r="F50" i="117"/>
  <c r="E50" i="117"/>
  <c r="D50" i="117"/>
  <c r="C50" i="117"/>
  <c r="L49" i="117"/>
  <c r="K49" i="117"/>
  <c r="J49" i="117"/>
  <c r="I49" i="117"/>
  <c r="H49" i="117"/>
  <c r="G49" i="117"/>
  <c r="F49" i="117"/>
  <c r="E49" i="117"/>
  <c r="D49" i="117"/>
  <c r="C49" i="117"/>
  <c r="L48" i="117"/>
  <c r="K48" i="117"/>
  <c r="J48" i="117"/>
  <c r="I48" i="117"/>
  <c r="H48" i="117"/>
  <c r="G48" i="117"/>
  <c r="F48" i="117"/>
  <c r="E48" i="117"/>
  <c r="D48" i="117"/>
  <c r="C48" i="117"/>
  <c r="L47" i="117"/>
  <c r="K47" i="117"/>
  <c r="J47" i="117"/>
  <c r="I47" i="117"/>
  <c r="H47" i="117"/>
  <c r="G47" i="117"/>
  <c r="F47" i="117"/>
  <c r="E47" i="117"/>
  <c r="D47" i="117"/>
  <c r="C47" i="117"/>
  <c r="L46" i="117"/>
  <c r="K46" i="117"/>
  <c r="J46" i="117"/>
  <c r="I46" i="117"/>
  <c r="H46" i="117"/>
  <c r="G46" i="117"/>
  <c r="F46" i="117"/>
  <c r="E46" i="117"/>
  <c r="D46" i="117"/>
  <c r="C46" i="117"/>
  <c r="L45" i="117"/>
  <c r="K45" i="117"/>
  <c r="J45" i="117"/>
  <c r="I45" i="117"/>
  <c r="H45" i="117"/>
  <c r="G45" i="117"/>
  <c r="F45" i="117"/>
  <c r="E45" i="117"/>
  <c r="D45" i="117"/>
  <c r="C45" i="117"/>
  <c r="L44" i="117"/>
  <c r="K44" i="117"/>
  <c r="J44" i="117"/>
  <c r="I44" i="117"/>
  <c r="H44" i="117"/>
  <c r="G44" i="117"/>
  <c r="F44" i="117"/>
  <c r="E44" i="117"/>
  <c r="D44" i="117"/>
  <c r="C44" i="117"/>
  <c r="L43" i="117"/>
  <c r="K43" i="117"/>
  <c r="J43" i="117"/>
  <c r="I43" i="117"/>
  <c r="H43" i="117"/>
  <c r="G43" i="117"/>
  <c r="F43" i="117"/>
  <c r="E43" i="117"/>
  <c r="D43" i="117"/>
  <c r="C43" i="117"/>
  <c r="L42" i="117"/>
  <c r="K42" i="117"/>
  <c r="J42" i="117"/>
  <c r="I42" i="117"/>
  <c r="H42" i="117"/>
  <c r="G42" i="117"/>
  <c r="F42" i="117"/>
  <c r="E42" i="117"/>
  <c r="D42" i="117"/>
  <c r="C42" i="117"/>
  <c r="L41" i="117"/>
  <c r="K41" i="117"/>
  <c r="J41" i="117"/>
  <c r="I41" i="117"/>
  <c r="H41" i="117"/>
  <c r="G41" i="117"/>
  <c r="F41" i="117"/>
  <c r="E41" i="117"/>
  <c r="D41" i="117"/>
  <c r="C41" i="117"/>
  <c r="L40" i="117"/>
  <c r="K40" i="117"/>
  <c r="J40" i="117"/>
  <c r="I40" i="117"/>
  <c r="H40" i="117"/>
  <c r="G40" i="117"/>
  <c r="F40" i="117"/>
  <c r="E40" i="117"/>
  <c r="D40" i="117"/>
  <c r="C40" i="117"/>
  <c r="L39" i="117"/>
  <c r="K39" i="117"/>
  <c r="J39" i="117"/>
  <c r="I39" i="117"/>
  <c r="H39" i="117"/>
  <c r="G39" i="117"/>
  <c r="F39" i="117"/>
  <c r="E39" i="117"/>
  <c r="D39" i="117"/>
  <c r="C39" i="117"/>
  <c r="L38" i="117"/>
  <c r="K38" i="117"/>
  <c r="J38" i="117"/>
  <c r="I38" i="117"/>
  <c r="H38" i="117"/>
  <c r="G38" i="117"/>
  <c r="F38" i="117"/>
  <c r="E38" i="117"/>
  <c r="D38" i="117"/>
  <c r="C38" i="117"/>
  <c r="L37" i="117"/>
  <c r="K37" i="117"/>
  <c r="J37" i="117"/>
  <c r="I37" i="117"/>
  <c r="H37" i="117"/>
  <c r="G37" i="117"/>
  <c r="F37" i="117"/>
  <c r="E37" i="117"/>
  <c r="D37" i="117"/>
  <c r="C37" i="117"/>
  <c r="L36" i="117"/>
  <c r="K36" i="117"/>
  <c r="J36" i="117"/>
  <c r="I36" i="117"/>
  <c r="H36" i="117"/>
  <c r="G36" i="117"/>
  <c r="F36" i="117"/>
  <c r="E36" i="117"/>
  <c r="D36" i="117"/>
  <c r="C36" i="117"/>
  <c r="L35" i="117"/>
  <c r="K35" i="117"/>
  <c r="J35" i="117"/>
  <c r="I35" i="117"/>
  <c r="H35" i="117"/>
  <c r="G35" i="117"/>
  <c r="F35" i="117"/>
  <c r="E35" i="117"/>
  <c r="D35" i="117"/>
  <c r="C35" i="117"/>
  <c r="L34" i="117"/>
  <c r="K34" i="117"/>
  <c r="J34" i="117"/>
  <c r="I34" i="117"/>
  <c r="H34" i="117"/>
  <c r="G34" i="117"/>
  <c r="F34" i="117"/>
  <c r="E34" i="117"/>
  <c r="D34" i="117"/>
  <c r="C34" i="117"/>
  <c r="L33" i="117"/>
  <c r="K33" i="117"/>
  <c r="J33" i="117"/>
  <c r="I33" i="117"/>
  <c r="H33" i="117"/>
  <c r="G33" i="117"/>
  <c r="F33" i="117"/>
  <c r="E33" i="117"/>
  <c r="D33" i="117"/>
  <c r="C33" i="117"/>
  <c r="L32" i="117"/>
  <c r="K32" i="117"/>
  <c r="J32" i="117"/>
  <c r="I32" i="117"/>
  <c r="H32" i="117"/>
  <c r="G32" i="117"/>
  <c r="F32" i="117"/>
  <c r="E32" i="117"/>
  <c r="D32" i="117"/>
  <c r="C32" i="117"/>
  <c r="L31" i="117"/>
  <c r="K31" i="117"/>
  <c r="J31" i="117"/>
  <c r="I31" i="117"/>
  <c r="H31" i="117"/>
  <c r="G31" i="117"/>
  <c r="F31" i="117"/>
  <c r="E31" i="117"/>
  <c r="D31" i="117"/>
  <c r="C31" i="117"/>
  <c r="L30" i="117"/>
  <c r="K30" i="117"/>
  <c r="J30" i="117"/>
  <c r="I30" i="117"/>
  <c r="H30" i="117"/>
  <c r="G30" i="117"/>
  <c r="F30" i="117"/>
  <c r="E30" i="117"/>
  <c r="D30" i="117"/>
  <c r="C30" i="117"/>
  <c r="L29" i="117"/>
  <c r="K29" i="117"/>
  <c r="J29" i="117"/>
  <c r="I29" i="117"/>
  <c r="H29" i="117"/>
  <c r="G29" i="117"/>
  <c r="F29" i="117"/>
  <c r="E29" i="117"/>
  <c r="D29" i="117"/>
  <c r="C29" i="117"/>
  <c r="L28" i="117"/>
  <c r="K28" i="117"/>
  <c r="J28" i="117"/>
  <c r="I28" i="117"/>
  <c r="H28" i="117"/>
  <c r="G28" i="117"/>
  <c r="F28" i="117"/>
  <c r="E28" i="117"/>
  <c r="D28" i="117"/>
  <c r="C28" i="117"/>
  <c r="L27" i="117"/>
  <c r="K27" i="117"/>
  <c r="J27" i="117"/>
  <c r="I27" i="117"/>
  <c r="H27" i="117"/>
  <c r="G27" i="117"/>
  <c r="F27" i="117"/>
  <c r="E27" i="117"/>
  <c r="D27" i="117"/>
  <c r="C27" i="117"/>
  <c r="L26" i="117"/>
  <c r="K26" i="117"/>
  <c r="J26" i="117"/>
  <c r="I26" i="117"/>
  <c r="H26" i="117"/>
  <c r="G26" i="117"/>
  <c r="F26" i="117"/>
  <c r="E26" i="117"/>
  <c r="D26" i="117"/>
  <c r="C26" i="117"/>
  <c r="L25" i="117"/>
  <c r="K25" i="117"/>
  <c r="J25" i="117"/>
  <c r="I25" i="117"/>
  <c r="H25" i="117"/>
  <c r="G25" i="117"/>
  <c r="F25" i="117"/>
  <c r="E25" i="117"/>
  <c r="D25" i="117"/>
  <c r="C25" i="117"/>
  <c r="L24" i="117"/>
  <c r="K24" i="117"/>
  <c r="J24" i="117"/>
  <c r="I24" i="117"/>
  <c r="H24" i="117"/>
  <c r="G24" i="117"/>
  <c r="F24" i="117"/>
  <c r="E24" i="117"/>
  <c r="D24" i="117"/>
  <c r="C24" i="117"/>
  <c r="L23" i="117"/>
  <c r="K23" i="117"/>
  <c r="J23" i="117"/>
  <c r="I23" i="117"/>
  <c r="H23" i="117"/>
  <c r="G23" i="117"/>
  <c r="F23" i="117"/>
  <c r="E23" i="117"/>
  <c r="D23" i="117"/>
  <c r="C23" i="117"/>
  <c r="L22" i="117"/>
  <c r="K22" i="117"/>
  <c r="J22" i="117"/>
  <c r="I22" i="117"/>
  <c r="H22" i="117"/>
  <c r="G22" i="117"/>
  <c r="F22" i="117"/>
  <c r="E22" i="117"/>
  <c r="D22" i="117"/>
  <c r="C22" i="117"/>
  <c r="L21" i="117"/>
  <c r="K21" i="117"/>
  <c r="J21" i="117"/>
  <c r="I21" i="117"/>
  <c r="H21" i="117"/>
  <c r="G21" i="117"/>
  <c r="F21" i="117"/>
  <c r="E21" i="117"/>
  <c r="D21" i="117"/>
  <c r="C21" i="117"/>
  <c r="L20" i="117"/>
  <c r="K20" i="117"/>
  <c r="J20" i="117"/>
  <c r="I20" i="117"/>
  <c r="H20" i="117"/>
  <c r="G20" i="117"/>
  <c r="F20" i="117"/>
  <c r="E20" i="117"/>
  <c r="D20" i="117"/>
  <c r="C20" i="117"/>
  <c r="L19" i="117"/>
  <c r="K19" i="117"/>
  <c r="J19" i="117"/>
  <c r="I19" i="117"/>
  <c r="H19" i="117"/>
  <c r="G19" i="117"/>
  <c r="F19" i="117"/>
  <c r="E19" i="117"/>
  <c r="D19" i="117"/>
  <c r="C19" i="117"/>
  <c r="L18" i="117"/>
  <c r="K18" i="117"/>
  <c r="J18" i="117"/>
  <c r="I18" i="117"/>
  <c r="H18" i="117"/>
  <c r="G18" i="117"/>
  <c r="F18" i="117"/>
  <c r="E18" i="117"/>
  <c r="D18" i="117"/>
  <c r="C18" i="117"/>
  <c r="L17" i="117"/>
  <c r="K17" i="117"/>
  <c r="J17" i="117"/>
  <c r="I17" i="117"/>
  <c r="H17" i="117"/>
  <c r="G17" i="117"/>
  <c r="F17" i="117"/>
  <c r="E17" i="117"/>
  <c r="D17" i="117"/>
  <c r="C17" i="117"/>
  <c r="L16" i="117"/>
  <c r="K16" i="117"/>
  <c r="J16" i="117"/>
  <c r="I16" i="117"/>
  <c r="H16" i="117"/>
  <c r="G16" i="117"/>
  <c r="F16" i="117"/>
  <c r="E16" i="117"/>
  <c r="D16" i="117"/>
  <c r="C16" i="117"/>
  <c r="L15" i="117"/>
  <c r="K15" i="117"/>
  <c r="J15" i="117"/>
  <c r="I15" i="117"/>
  <c r="H15" i="117"/>
  <c r="G15" i="117"/>
  <c r="F15" i="117"/>
  <c r="E15" i="117"/>
  <c r="D15" i="117"/>
  <c r="C15" i="117"/>
  <c r="L14" i="117"/>
  <c r="K14" i="117"/>
  <c r="J14" i="117"/>
  <c r="I14" i="117"/>
  <c r="H14" i="117"/>
  <c r="G14" i="117"/>
  <c r="F14" i="117"/>
  <c r="E14" i="117"/>
  <c r="D14" i="117"/>
  <c r="C14" i="117"/>
  <c r="L13" i="117"/>
  <c r="K13" i="117"/>
  <c r="J13" i="117"/>
  <c r="I13" i="117"/>
  <c r="H13" i="117"/>
  <c r="G13" i="117"/>
  <c r="F13" i="117"/>
  <c r="E13" i="117"/>
  <c r="D13" i="117"/>
  <c r="C13" i="117"/>
  <c r="L12" i="117"/>
  <c r="K12" i="117"/>
  <c r="J12" i="117"/>
  <c r="I12" i="117"/>
  <c r="H12" i="117"/>
  <c r="G12" i="117"/>
  <c r="F12" i="117"/>
  <c r="E12" i="117"/>
  <c r="D12" i="117"/>
  <c r="C12" i="117"/>
  <c r="L11" i="117"/>
  <c r="K11" i="117"/>
  <c r="J11" i="117"/>
  <c r="I11" i="117"/>
  <c r="H11" i="117"/>
  <c r="G11" i="117"/>
  <c r="F11" i="117"/>
  <c r="E11" i="117"/>
  <c r="D11" i="117"/>
  <c r="C11" i="117"/>
  <c r="L10" i="117"/>
  <c r="K10" i="117"/>
  <c r="J10" i="117"/>
  <c r="I10" i="117"/>
  <c r="H10" i="117"/>
  <c r="G10" i="117"/>
  <c r="F10" i="117"/>
  <c r="E10" i="117"/>
  <c r="D10" i="117"/>
  <c r="C10" i="117"/>
  <c r="L9" i="117"/>
  <c r="K9" i="117"/>
  <c r="J9" i="117"/>
  <c r="I9" i="117"/>
  <c r="H9" i="117"/>
  <c r="G9" i="117"/>
  <c r="F9" i="117"/>
  <c r="E9" i="117"/>
  <c r="D9" i="117"/>
  <c r="C9" i="117"/>
  <c r="L8" i="117"/>
  <c r="K8" i="117"/>
  <c r="J8" i="117"/>
  <c r="I8" i="117"/>
  <c r="H8" i="117"/>
  <c r="G8" i="117"/>
  <c r="F8" i="117"/>
  <c r="E8" i="117"/>
  <c r="D8" i="117"/>
  <c r="C8" i="117"/>
  <c r="L7" i="117"/>
  <c r="K7" i="117"/>
  <c r="J7" i="117"/>
  <c r="I7" i="117"/>
  <c r="H7" i="117"/>
  <c r="G7" i="117"/>
  <c r="F7" i="117"/>
  <c r="E7" i="117"/>
  <c r="D7" i="117"/>
  <c r="C7" i="117"/>
  <c r="L6" i="117"/>
  <c r="K6" i="117"/>
  <c r="J6" i="117"/>
  <c r="I6" i="117"/>
  <c r="H6" i="117"/>
  <c r="G6" i="117"/>
  <c r="F6" i="117"/>
  <c r="E6" i="117"/>
  <c r="D6" i="117"/>
  <c r="C6" i="117"/>
  <c r="L5" i="117"/>
  <c r="K5" i="117"/>
  <c r="J5" i="117"/>
  <c r="I5" i="117"/>
  <c r="H5" i="117"/>
  <c r="G5" i="117"/>
  <c r="F5" i="117"/>
  <c r="E5" i="117"/>
  <c r="D5" i="117"/>
  <c r="C5" i="117"/>
  <c r="L4" i="117"/>
  <c r="K4" i="117"/>
  <c r="J4" i="117"/>
  <c r="I4" i="117"/>
  <c r="H4" i="117"/>
  <c r="G4" i="117"/>
  <c r="F4" i="117"/>
  <c r="E4" i="117"/>
  <c r="D4" i="117"/>
  <c r="C4" i="117"/>
  <c r="L3" i="117"/>
  <c r="K3" i="117"/>
  <c r="J3" i="117"/>
  <c r="I3" i="117"/>
  <c r="H3" i="117"/>
  <c r="G3" i="117"/>
  <c r="F3" i="117"/>
  <c r="E3" i="117"/>
  <c r="D3" i="117"/>
  <c r="C3" i="117"/>
  <c r="L2" i="117"/>
  <c r="K2" i="117"/>
  <c r="J2" i="117"/>
  <c r="I2" i="117"/>
  <c r="H2" i="117"/>
  <c r="G2" i="117"/>
  <c r="F2" i="117"/>
  <c r="E2" i="117"/>
  <c r="D2" i="117"/>
  <c r="C2" i="117"/>
  <c r="L101" i="116"/>
  <c r="K101" i="116"/>
  <c r="J101" i="116"/>
  <c r="I101" i="116"/>
  <c r="H101" i="116"/>
  <c r="G101" i="116"/>
  <c r="F101" i="116"/>
  <c r="E101" i="116"/>
  <c r="D101" i="116"/>
  <c r="C101" i="116"/>
  <c r="L100" i="116"/>
  <c r="K100" i="116"/>
  <c r="J100" i="116"/>
  <c r="I100" i="116"/>
  <c r="H100" i="116"/>
  <c r="G100" i="116"/>
  <c r="F100" i="116"/>
  <c r="E100" i="116"/>
  <c r="D100" i="116"/>
  <c r="C100" i="116"/>
  <c r="L99" i="116"/>
  <c r="K99" i="116"/>
  <c r="J99" i="116"/>
  <c r="I99" i="116"/>
  <c r="H99" i="116"/>
  <c r="G99" i="116"/>
  <c r="F99" i="116"/>
  <c r="E99" i="116"/>
  <c r="D99" i="116"/>
  <c r="C99" i="116"/>
  <c r="L98" i="116"/>
  <c r="K98" i="116"/>
  <c r="J98" i="116"/>
  <c r="I98" i="116"/>
  <c r="H98" i="116"/>
  <c r="G98" i="116"/>
  <c r="F98" i="116"/>
  <c r="E98" i="116"/>
  <c r="D98" i="116"/>
  <c r="C98" i="116"/>
  <c r="L97" i="116"/>
  <c r="K97" i="116"/>
  <c r="J97" i="116"/>
  <c r="I97" i="116"/>
  <c r="H97" i="116"/>
  <c r="G97" i="116"/>
  <c r="F97" i="116"/>
  <c r="E97" i="116"/>
  <c r="D97" i="116"/>
  <c r="C97" i="116"/>
  <c r="L96" i="116"/>
  <c r="K96" i="116"/>
  <c r="J96" i="116"/>
  <c r="I96" i="116"/>
  <c r="H96" i="116"/>
  <c r="G96" i="116"/>
  <c r="F96" i="116"/>
  <c r="E96" i="116"/>
  <c r="D96" i="116"/>
  <c r="C96" i="116"/>
  <c r="L95" i="116"/>
  <c r="K95" i="116"/>
  <c r="J95" i="116"/>
  <c r="I95" i="116"/>
  <c r="H95" i="116"/>
  <c r="G95" i="116"/>
  <c r="F95" i="116"/>
  <c r="E95" i="116"/>
  <c r="D95" i="116"/>
  <c r="C95" i="116"/>
  <c r="L94" i="116"/>
  <c r="K94" i="116"/>
  <c r="J94" i="116"/>
  <c r="I94" i="116"/>
  <c r="H94" i="116"/>
  <c r="G94" i="116"/>
  <c r="F94" i="116"/>
  <c r="E94" i="116"/>
  <c r="D94" i="116"/>
  <c r="C94" i="116"/>
  <c r="L93" i="116"/>
  <c r="K93" i="116"/>
  <c r="J93" i="116"/>
  <c r="I93" i="116"/>
  <c r="H93" i="116"/>
  <c r="G93" i="116"/>
  <c r="F93" i="116"/>
  <c r="E93" i="116"/>
  <c r="D93" i="116"/>
  <c r="C93" i="116"/>
  <c r="L92" i="116"/>
  <c r="K92" i="116"/>
  <c r="J92" i="116"/>
  <c r="I92" i="116"/>
  <c r="H92" i="116"/>
  <c r="G92" i="116"/>
  <c r="F92" i="116"/>
  <c r="E92" i="116"/>
  <c r="D92" i="116"/>
  <c r="C92" i="116"/>
  <c r="L91" i="116"/>
  <c r="K91" i="116"/>
  <c r="J91" i="116"/>
  <c r="I91" i="116"/>
  <c r="H91" i="116"/>
  <c r="G91" i="116"/>
  <c r="F91" i="116"/>
  <c r="E91" i="116"/>
  <c r="D91" i="116"/>
  <c r="C91" i="116"/>
  <c r="L90" i="116"/>
  <c r="K90" i="116"/>
  <c r="J90" i="116"/>
  <c r="I90" i="116"/>
  <c r="H90" i="116"/>
  <c r="G90" i="116"/>
  <c r="F90" i="116"/>
  <c r="E90" i="116"/>
  <c r="D90" i="116"/>
  <c r="C90" i="116"/>
  <c r="L89" i="116"/>
  <c r="K89" i="116"/>
  <c r="J89" i="116"/>
  <c r="I89" i="116"/>
  <c r="H89" i="116"/>
  <c r="G89" i="116"/>
  <c r="F89" i="116"/>
  <c r="E89" i="116"/>
  <c r="D89" i="116"/>
  <c r="C89" i="116"/>
  <c r="L88" i="116"/>
  <c r="K88" i="116"/>
  <c r="J88" i="116"/>
  <c r="I88" i="116"/>
  <c r="H88" i="116"/>
  <c r="G88" i="116"/>
  <c r="F88" i="116"/>
  <c r="E88" i="116"/>
  <c r="D88" i="116"/>
  <c r="C88" i="116"/>
  <c r="L87" i="116"/>
  <c r="K87" i="116"/>
  <c r="J87" i="116"/>
  <c r="I87" i="116"/>
  <c r="H87" i="116"/>
  <c r="G87" i="116"/>
  <c r="F87" i="116"/>
  <c r="E87" i="116"/>
  <c r="D87" i="116"/>
  <c r="C87" i="116"/>
  <c r="L86" i="116"/>
  <c r="K86" i="116"/>
  <c r="J86" i="116"/>
  <c r="I86" i="116"/>
  <c r="H86" i="116"/>
  <c r="G86" i="116"/>
  <c r="F86" i="116"/>
  <c r="E86" i="116"/>
  <c r="D86" i="116"/>
  <c r="C86" i="116"/>
  <c r="L85" i="116"/>
  <c r="K85" i="116"/>
  <c r="J85" i="116"/>
  <c r="I85" i="116"/>
  <c r="H85" i="116"/>
  <c r="G85" i="116"/>
  <c r="F85" i="116"/>
  <c r="E85" i="116"/>
  <c r="D85" i="116"/>
  <c r="C85" i="116"/>
  <c r="L84" i="116"/>
  <c r="K84" i="116"/>
  <c r="J84" i="116"/>
  <c r="I84" i="116"/>
  <c r="H84" i="116"/>
  <c r="G84" i="116"/>
  <c r="F84" i="116"/>
  <c r="E84" i="116"/>
  <c r="D84" i="116"/>
  <c r="C84" i="116"/>
  <c r="L83" i="116"/>
  <c r="K83" i="116"/>
  <c r="J83" i="116"/>
  <c r="I83" i="116"/>
  <c r="H83" i="116"/>
  <c r="G83" i="116"/>
  <c r="F83" i="116"/>
  <c r="E83" i="116"/>
  <c r="D83" i="116"/>
  <c r="C83" i="116"/>
  <c r="L82" i="116"/>
  <c r="K82" i="116"/>
  <c r="J82" i="116"/>
  <c r="I82" i="116"/>
  <c r="H82" i="116"/>
  <c r="G82" i="116"/>
  <c r="F82" i="116"/>
  <c r="E82" i="116"/>
  <c r="D82" i="116"/>
  <c r="C82" i="116"/>
  <c r="L81" i="116"/>
  <c r="K81" i="116"/>
  <c r="J81" i="116"/>
  <c r="I81" i="116"/>
  <c r="H81" i="116"/>
  <c r="G81" i="116"/>
  <c r="F81" i="116"/>
  <c r="E81" i="116"/>
  <c r="D81" i="116"/>
  <c r="C81" i="116"/>
  <c r="L80" i="116"/>
  <c r="K80" i="116"/>
  <c r="J80" i="116"/>
  <c r="I80" i="116"/>
  <c r="H80" i="116"/>
  <c r="G80" i="116"/>
  <c r="F80" i="116"/>
  <c r="E80" i="116"/>
  <c r="D80" i="116"/>
  <c r="C80" i="116"/>
  <c r="L79" i="116"/>
  <c r="K79" i="116"/>
  <c r="J79" i="116"/>
  <c r="I79" i="116"/>
  <c r="H79" i="116"/>
  <c r="G79" i="116"/>
  <c r="F79" i="116"/>
  <c r="E79" i="116"/>
  <c r="D79" i="116"/>
  <c r="C79" i="116"/>
  <c r="L78" i="116"/>
  <c r="K78" i="116"/>
  <c r="J78" i="116"/>
  <c r="I78" i="116"/>
  <c r="H78" i="116"/>
  <c r="G78" i="116"/>
  <c r="F78" i="116"/>
  <c r="E78" i="116"/>
  <c r="D78" i="116"/>
  <c r="C78" i="116"/>
  <c r="L77" i="116"/>
  <c r="K77" i="116"/>
  <c r="J77" i="116"/>
  <c r="I77" i="116"/>
  <c r="H77" i="116"/>
  <c r="G77" i="116"/>
  <c r="F77" i="116"/>
  <c r="E77" i="116"/>
  <c r="D77" i="116"/>
  <c r="C77" i="116"/>
  <c r="L76" i="116"/>
  <c r="K76" i="116"/>
  <c r="J76" i="116"/>
  <c r="I76" i="116"/>
  <c r="H76" i="116"/>
  <c r="G76" i="116"/>
  <c r="F76" i="116"/>
  <c r="E76" i="116"/>
  <c r="D76" i="116"/>
  <c r="C76" i="116"/>
  <c r="L75" i="116"/>
  <c r="K75" i="116"/>
  <c r="J75" i="116"/>
  <c r="I75" i="116"/>
  <c r="H75" i="116"/>
  <c r="G75" i="116"/>
  <c r="F75" i="116"/>
  <c r="E75" i="116"/>
  <c r="D75" i="116"/>
  <c r="C75" i="116"/>
  <c r="L74" i="116"/>
  <c r="K74" i="116"/>
  <c r="J74" i="116"/>
  <c r="I74" i="116"/>
  <c r="H74" i="116"/>
  <c r="G74" i="116"/>
  <c r="F74" i="116"/>
  <c r="E74" i="116"/>
  <c r="D74" i="116"/>
  <c r="C74" i="116"/>
  <c r="L73" i="116"/>
  <c r="K73" i="116"/>
  <c r="J73" i="116"/>
  <c r="I73" i="116"/>
  <c r="H73" i="116"/>
  <c r="G73" i="116"/>
  <c r="F73" i="116"/>
  <c r="E73" i="116"/>
  <c r="D73" i="116"/>
  <c r="C73" i="116"/>
  <c r="L72" i="116"/>
  <c r="K72" i="116"/>
  <c r="J72" i="116"/>
  <c r="I72" i="116"/>
  <c r="H72" i="116"/>
  <c r="G72" i="116"/>
  <c r="F72" i="116"/>
  <c r="E72" i="116"/>
  <c r="D72" i="116"/>
  <c r="C72" i="116"/>
  <c r="L71" i="116"/>
  <c r="K71" i="116"/>
  <c r="J71" i="116"/>
  <c r="I71" i="116"/>
  <c r="H71" i="116"/>
  <c r="G71" i="116"/>
  <c r="F71" i="116"/>
  <c r="E71" i="116"/>
  <c r="D71" i="116"/>
  <c r="C71" i="116"/>
  <c r="L70" i="116"/>
  <c r="K70" i="116"/>
  <c r="J70" i="116"/>
  <c r="I70" i="116"/>
  <c r="H70" i="116"/>
  <c r="G70" i="116"/>
  <c r="F70" i="116"/>
  <c r="E70" i="116"/>
  <c r="D70" i="116"/>
  <c r="C70" i="116"/>
  <c r="L69" i="116"/>
  <c r="K69" i="116"/>
  <c r="J69" i="116"/>
  <c r="I69" i="116"/>
  <c r="H69" i="116"/>
  <c r="G69" i="116"/>
  <c r="F69" i="116"/>
  <c r="E69" i="116"/>
  <c r="D69" i="116"/>
  <c r="C69" i="116"/>
  <c r="L68" i="116"/>
  <c r="K68" i="116"/>
  <c r="J68" i="116"/>
  <c r="I68" i="116"/>
  <c r="H68" i="116"/>
  <c r="G68" i="116"/>
  <c r="F68" i="116"/>
  <c r="E68" i="116"/>
  <c r="D68" i="116"/>
  <c r="C68" i="116"/>
  <c r="L67" i="116"/>
  <c r="K67" i="116"/>
  <c r="J67" i="116"/>
  <c r="I67" i="116"/>
  <c r="H67" i="116"/>
  <c r="G67" i="116"/>
  <c r="F67" i="116"/>
  <c r="E67" i="116"/>
  <c r="D67" i="116"/>
  <c r="C67" i="116"/>
  <c r="L66" i="116"/>
  <c r="K66" i="116"/>
  <c r="J66" i="116"/>
  <c r="I66" i="116"/>
  <c r="H66" i="116"/>
  <c r="G66" i="116"/>
  <c r="F66" i="116"/>
  <c r="E66" i="116"/>
  <c r="D66" i="116"/>
  <c r="C66" i="116"/>
  <c r="L65" i="116"/>
  <c r="K65" i="116"/>
  <c r="J65" i="116"/>
  <c r="I65" i="116"/>
  <c r="H65" i="116"/>
  <c r="G65" i="116"/>
  <c r="F65" i="116"/>
  <c r="E65" i="116"/>
  <c r="D65" i="116"/>
  <c r="C65" i="116"/>
  <c r="L64" i="116"/>
  <c r="K64" i="116"/>
  <c r="J64" i="116"/>
  <c r="I64" i="116"/>
  <c r="H64" i="116"/>
  <c r="G64" i="116"/>
  <c r="F64" i="116"/>
  <c r="E64" i="116"/>
  <c r="D64" i="116"/>
  <c r="C64" i="116"/>
  <c r="L63" i="116"/>
  <c r="K63" i="116"/>
  <c r="J63" i="116"/>
  <c r="I63" i="116"/>
  <c r="H63" i="116"/>
  <c r="G63" i="116"/>
  <c r="F63" i="116"/>
  <c r="E63" i="116"/>
  <c r="D63" i="116"/>
  <c r="C63" i="116"/>
  <c r="L62" i="116"/>
  <c r="K62" i="116"/>
  <c r="J62" i="116"/>
  <c r="I62" i="116"/>
  <c r="H62" i="116"/>
  <c r="G62" i="116"/>
  <c r="F62" i="116"/>
  <c r="E62" i="116"/>
  <c r="D62" i="116"/>
  <c r="C62" i="116"/>
  <c r="L61" i="116"/>
  <c r="K61" i="116"/>
  <c r="J61" i="116"/>
  <c r="I61" i="116"/>
  <c r="H61" i="116"/>
  <c r="G61" i="116"/>
  <c r="F61" i="116"/>
  <c r="E61" i="116"/>
  <c r="D61" i="116"/>
  <c r="C61" i="116"/>
  <c r="L60" i="116"/>
  <c r="K60" i="116"/>
  <c r="J60" i="116"/>
  <c r="I60" i="116"/>
  <c r="H60" i="116"/>
  <c r="G60" i="116"/>
  <c r="F60" i="116"/>
  <c r="E60" i="116"/>
  <c r="D60" i="116"/>
  <c r="C60" i="116"/>
  <c r="L59" i="116"/>
  <c r="K59" i="116"/>
  <c r="J59" i="116"/>
  <c r="I59" i="116"/>
  <c r="H59" i="116"/>
  <c r="G59" i="116"/>
  <c r="F59" i="116"/>
  <c r="E59" i="116"/>
  <c r="D59" i="116"/>
  <c r="C59" i="116"/>
  <c r="L58" i="116"/>
  <c r="K58" i="116"/>
  <c r="J58" i="116"/>
  <c r="I58" i="116"/>
  <c r="H58" i="116"/>
  <c r="G58" i="116"/>
  <c r="F58" i="116"/>
  <c r="E58" i="116"/>
  <c r="D58" i="116"/>
  <c r="C58" i="116"/>
  <c r="L57" i="116"/>
  <c r="K57" i="116"/>
  <c r="J57" i="116"/>
  <c r="I57" i="116"/>
  <c r="H57" i="116"/>
  <c r="G57" i="116"/>
  <c r="F57" i="116"/>
  <c r="E57" i="116"/>
  <c r="D57" i="116"/>
  <c r="C57" i="116"/>
  <c r="L56" i="116"/>
  <c r="K56" i="116"/>
  <c r="J56" i="116"/>
  <c r="I56" i="116"/>
  <c r="H56" i="116"/>
  <c r="G56" i="116"/>
  <c r="F56" i="116"/>
  <c r="E56" i="116"/>
  <c r="D56" i="116"/>
  <c r="C56" i="116"/>
  <c r="L55" i="116"/>
  <c r="K55" i="116"/>
  <c r="J55" i="116"/>
  <c r="I55" i="116"/>
  <c r="H55" i="116"/>
  <c r="G55" i="116"/>
  <c r="F55" i="116"/>
  <c r="E55" i="116"/>
  <c r="D55" i="116"/>
  <c r="C55" i="116"/>
  <c r="L54" i="116"/>
  <c r="K54" i="116"/>
  <c r="J54" i="116"/>
  <c r="I54" i="116"/>
  <c r="H54" i="116"/>
  <c r="G54" i="116"/>
  <c r="F54" i="116"/>
  <c r="E54" i="116"/>
  <c r="D54" i="116"/>
  <c r="C54" i="116"/>
  <c r="L53" i="116"/>
  <c r="K53" i="116"/>
  <c r="J53" i="116"/>
  <c r="I53" i="116"/>
  <c r="H53" i="116"/>
  <c r="G53" i="116"/>
  <c r="F53" i="116"/>
  <c r="E53" i="116"/>
  <c r="D53" i="116"/>
  <c r="C53" i="116"/>
  <c r="L52" i="116"/>
  <c r="K52" i="116"/>
  <c r="J52" i="116"/>
  <c r="I52" i="116"/>
  <c r="H52" i="116"/>
  <c r="G52" i="116"/>
  <c r="F52" i="116"/>
  <c r="E52" i="116"/>
  <c r="D52" i="116"/>
  <c r="C52" i="116"/>
  <c r="L51" i="116"/>
  <c r="K51" i="116"/>
  <c r="J51" i="116"/>
  <c r="I51" i="116"/>
  <c r="H51" i="116"/>
  <c r="G51" i="116"/>
  <c r="F51" i="116"/>
  <c r="E51" i="116"/>
  <c r="D51" i="116"/>
  <c r="C51" i="116"/>
  <c r="L50" i="116"/>
  <c r="K50" i="116"/>
  <c r="J50" i="116"/>
  <c r="I50" i="116"/>
  <c r="H50" i="116"/>
  <c r="G50" i="116"/>
  <c r="F50" i="116"/>
  <c r="E50" i="116"/>
  <c r="D50" i="116"/>
  <c r="C50" i="116"/>
  <c r="L49" i="116"/>
  <c r="K49" i="116"/>
  <c r="J49" i="116"/>
  <c r="I49" i="116"/>
  <c r="H49" i="116"/>
  <c r="G49" i="116"/>
  <c r="F49" i="116"/>
  <c r="E49" i="116"/>
  <c r="D49" i="116"/>
  <c r="C49" i="116"/>
  <c r="L48" i="116"/>
  <c r="K48" i="116"/>
  <c r="J48" i="116"/>
  <c r="I48" i="116"/>
  <c r="H48" i="116"/>
  <c r="G48" i="116"/>
  <c r="F48" i="116"/>
  <c r="E48" i="116"/>
  <c r="D48" i="116"/>
  <c r="C48" i="116"/>
  <c r="L47" i="116"/>
  <c r="K47" i="116"/>
  <c r="J47" i="116"/>
  <c r="I47" i="116"/>
  <c r="H47" i="116"/>
  <c r="G47" i="116"/>
  <c r="F47" i="116"/>
  <c r="E47" i="116"/>
  <c r="D47" i="116"/>
  <c r="C47" i="116"/>
  <c r="L46" i="116"/>
  <c r="K46" i="116"/>
  <c r="J46" i="116"/>
  <c r="I46" i="116"/>
  <c r="H46" i="116"/>
  <c r="G46" i="116"/>
  <c r="F46" i="116"/>
  <c r="E46" i="116"/>
  <c r="D46" i="116"/>
  <c r="C46" i="116"/>
  <c r="L45" i="116"/>
  <c r="K45" i="116"/>
  <c r="J45" i="116"/>
  <c r="I45" i="116"/>
  <c r="H45" i="116"/>
  <c r="G45" i="116"/>
  <c r="F45" i="116"/>
  <c r="E45" i="116"/>
  <c r="D45" i="116"/>
  <c r="C45" i="116"/>
  <c r="L44" i="116"/>
  <c r="K44" i="116"/>
  <c r="J44" i="116"/>
  <c r="I44" i="116"/>
  <c r="H44" i="116"/>
  <c r="G44" i="116"/>
  <c r="F44" i="116"/>
  <c r="E44" i="116"/>
  <c r="D44" i="116"/>
  <c r="C44" i="116"/>
  <c r="L43" i="116"/>
  <c r="K43" i="116"/>
  <c r="J43" i="116"/>
  <c r="I43" i="116"/>
  <c r="H43" i="116"/>
  <c r="G43" i="116"/>
  <c r="F43" i="116"/>
  <c r="E43" i="116"/>
  <c r="D43" i="116"/>
  <c r="C43" i="116"/>
  <c r="L42" i="116"/>
  <c r="K42" i="116"/>
  <c r="J42" i="116"/>
  <c r="I42" i="116"/>
  <c r="H42" i="116"/>
  <c r="G42" i="116"/>
  <c r="F42" i="116"/>
  <c r="E42" i="116"/>
  <c r="D42" i="116"/>
  <c r="C42" i="116"/>
  <c r="L41" i="116"/>
  <c r="K41" i="116"/>
  <c r="J41" i="116"/>
  <c r="I41" i="116"/>
  <c r="H41" i="116"/>
  <c r="G41" i="116"/>
  <c r="F41" i="116"/>
  <c r="E41" i="116"/>
  <c r="D41" i="116"/>
  <c r="C41" i="116"/>
  <c r="L40" i="116"/>
  <c r="K40" i="116"/>
  <c r="J40" i="116"/>
  <c r="I40" i="116"/>
  <c r="H40" i="116"/>
  <c r="G40" i="116"/>
  <c r="F40" i="116"/>
  <c r="E40" i="116"/>
  <c r="D40" i="116"/>
  <c r="C40" i="116"/>
  <c r="L39" i="116"/>
  <c r="K39" i="116"/>
  <c r="J39" i="116"/>
  <c r="I39" i="116"/>
  <c r="H39" i="116"/>
  <c r="G39" i="116"/>
  <c r="F39" i="116"/>
  <c r="E39" i="116"/>
  <c r="D39" i="116"/>
  <c r="C39" i="116"/>
  <c r="L38" i="116"/>
  <c r="K38" i="116"/>
  <c r="J38" i="116"/>
  <c r="I38" i="116"/>
  <c r="H38" i="116"/>
  <c r="G38" i="116"/>
  <c r="F38" i="116"/>
  <c r="E38" i="116"/>
  <c r="D38" i="116"/>
  <c r="C38" i="116"/>
  <c r="L37" i="116"/>
  <c r="K37" i="116"/>
  <c r="J37" i="116"/>
  <c r="I37" i="116"/>
  <c r="H37" i="116"/>
  <c r="G37" i="116"/>
  <c r="F37" i="116"/>
  <c r="E37" i="116"/>
  <c r="D37" i="116"/>
  <c r="C37" i="116"/>
  <c r="L36" i="116"/>
  <c r="K36" i="116"/>
  <c r="J36" i="116"/>
  <c r="I36" i="116"/>
  <c r="H36" i="116"/>
  <c r="G36" i="116"/>
  <c r="F36" i="116"/>
  <c r="E36" i="116"/>
  <c r="D36" i="116"/>
  <c r="C36" i="116"/>
  <c r="L35" i="116"/>
  <c r="K35" i="116"/>
  <c r="J35" i="116"/>
  <c r="I35" i="116"/>
  <c r="H35" i="116"/>
  <c r="G35" i="116"/>
  <c r="F35" i="116"/>
  <c r="E35" i="116"/>
  <c r="D35" i="116"/>
  <c r="C35" i="116"/>
  <c r="L34" i="116"/>
  <c r="K34" i="116"/>
  <c r="J34" i="116"/>
  <c r="I34" i="116"/>
  <c r="H34" i="116"/>
  <c r="G34" i="116"/>
  <c r="F34" i="116"/>
  <c r="E34" i="116"/>
  <c r="D34" i="116"/>
  <c r="C34" i="116"/>
  <c r="L33" i="116"/>
  <c r="K33" i="116"/>
  <c r="J33" i="116"/>
  <c r="I33" i="116"/>
  <c r="H33" i="116"/>
  <c r="G33" i="116"/>
  <c r="F33" i="116"/>
  <c r="E33" i="116"/>
  <c r="D33" i="116"/>
  <c r="C33" i="116"/>
  <c r="L32" i="116"/>
  <c r="K32" i="116"/>
  <c r="J32" i="116"/>
  <c r="I32" i="116"/>
  <c r="H32" i="116"/>
  <c r="G32" i="116"/>
  <c r="F32" i="116"/>
  <c r="E32" i="116"/>
  <c r="D32" i="116"/>
  <c r="C32" i="116"/>
  <c r="L31" i="116"/>
  <c r="K31" i="116"/>
  <c r="J31" i="116"/>
  <c r="I31" i="116"/>
  <c r="H31" i="116"/>
  <c r="G31" i="116"/>
  <c r="F31" i="116"/>
  <c r="E31" i="116"/>
  <c r="D31" i="116"/>
  <c r="C31" i="116"/>
  <c r="L30" i="116"/>
  <c r="K30" i="116"/>
  <c r="J30" i="116"/>
  <c r="I30" i="116"/>
  <c r="H30" i="116"/>
  <c r="G30" i="116"/>
  <c r="F30" i="116"/>
  <c r="E30" i="116"/>
  <c r="D30" i="116"/>
  <c r="C30" i="116"/>
  <c r="L29" i="116"/>
  <c r="K29" i="116"/>
  <c r="J29" i="116"/>
  <c r="I29" i="116"/>
  <c r="H29" i="116"/>
  <c r="G29" i="116"/>
  <c r="F29" i="116"/>
  <c r="E29" i="116"/>
  <c r="D29" i="116"/>
  <c r="C29" i="116"/>
  <c r="L28" i="116"/>
  <c r="K28" i="116"/>
  <c r="J28" i="116"/>
  <c r="I28" i="116"/>
  <c r="H28" i="116"/>
  <c r="G28" i="116"/>
  <c r="F28" i="116"/>
  <c r="E28" i="116"/>
  <c r="D28" i="116"/>
  <c r="C28" i="116"/>
  <c r="L27" i="116"/>
  <c r="K27" i="116"/>
  <c r="J27" i="116"/>
  <c r="I27" i="116"/>
  <c r="H27" i="116"/>
  <c r="G27" i="116"/>
  <c r="F27" i="116"/>
  <c r="E27" i="116"/>
  <c r="D27" i="116"/>
  <c r="C27" i="116"/>
  <c r="L26" i="116"/>
  <c r="K26" i="116"/>
  <c r="J26" i="116"/>
  <c r="I26" i="116"/>
  <c r="H26" i="116"/>
  <c r="G26" i="116"/>
  <c r="F26" i="116"/>
  <c r="E26" i="116"/>
  <c r="D26" i="116"/>
  <c r="C26" i="116"/>
  <c r="L25" i="116"/>
  <c r="K25" i="116"/>
  <c r="J25" i="116"/>
  <c r="I25" i="116"/>
  <c r="H25" i="116"/>
  <c r="G25" i="116"/>
  <c r="F25" i="116"/>
  <c r="E25" i="116"/>
  <c r="D25" i="116"/>
  <c r="C25" i="116"/>
  <c r="L24" i="116"/>
  <c r="K24" i="116"/>
  <c r="J24" i="116"/>
  <c r="I24" i="116"/>
  <c r="H24" i="116"/>
  <c r="G24" i="116"/>
  <c r="F24" i="116"/>
  <c r="E24" i="116"/>
  <c r="D24" i="116"/>
  <c r="C24" i="116"/>
  <c r="L23" i="116"/>
  <c r="K23" i="116"/>
  <c r="J23" i="116"/>
  <c r="I23" i="116"/>
  <c r="H23" i="116"/>
  <c r="G23" i="116"/>
  <c r="F23" i="116"/>
  <c r="E23" i="116"/>
  <c r="D23" i="116"/>
  <c r="C23" i="116"/>
  <c r="L22" i="116"/>
  <c r="K22" i="116"/>
  <c r="J22" i="116"/>
  <c r="I22" i="116"/>
  <c r="H22" i="116"/>
  <c r="G22" i="116"/>
  <c r="F22" i="116"/>
  <c r="E22" i="116"/>
  <c r="D22" i="116"/>
  <c r="C22" i="116"/>
  <c r="L21" i="116"/>
  <c r="K21" i="116"/>
  <c r="J21" i="116"/>
  <c r="I21" i="116"/>
  <c r="H21" i="116"/>
  <c r="G21" i="116"/>
  <c r="F21" i="116"/>
  <c r="E21" i="116"/>
  <c r="D21" i="116"/>
  <c r="C21" i="116"/>
  <c r="L20" i="116"/>
  <c r="K20" i="116"/>
  <c r="J20" i="116"/>
  <c r="I20" i="116"/>
  <c r="H20" i="116"/>
  <c r="G20" i="116"/>
  <c r="F20" i="116"/>
  <c r="E20" i="116"/>
  <c r="D20" i="116"/>
  <c r="C20" i="116"/>
  <c r="L19" i="116"/>
  <c r="K19" i="116"/>
  <c r="J19" i="116"/>
  <c r="I19" i="116"/>
  <c r="H19" i="116"/>
  <c r="G19" i="116"/>
  <c r="F19" i="116"/>
  <c r="E19" i="116"/>
  <c r="D19" i="116"/>
  <c r="C19" i="116"/>
  <c r="L18" i="116"/>
  <c r="K18" i="116"/>
  <c r="J18" i="116"/>
  <c r="I18" i="116"/>
  <c r="H18" i="116"/>
  <c r="G18" i="116"/>
  <c r="F18" i="116"/>
  <c r="E18" i="116"/>
  <c r="D18" i="116"/>
  <c r="C18" i="116"/>
  <c r="L17" i="116"/>
  <c r="K17" i="116"/>
  <c r="J17" i="116"/>
  <c r="I17" i="116"/>
  <c r="H17" i="116"/>
  <c r="G17" i="116"/>
  <c r="F17" i="116"/>
  <c r="E17" i="116"/>
  <c r="D17" i="116"/>
  <c r="C17" i="116"/>
  <c r="L16" i="116"/>
  <c r="K16" i="116"/>
  <c r="J16" i="116"/>
  <c r="I16" i="116"/>
  <c r="H16" i="116"/>
  <c r="G16" i="116"/>
  <c r="F16" i="116"/>
  <c r="E16" i="116"/>
  <c r="D16" i="116"/>
  <c r="C16" i="116"/>
  <c r="L15" i="116"/>
  <c r="K15" i="116"/>
  <c r="J15" i="116"/>
  <c r="I15" i="116"/>
  <c r="H15" i="116"/>
  <c r="G15" i="116"/>
  <c r="F15" i="116"/>
  <c r="E15" i="116"/>
  <c r="D15" i="116"/>
  <c r="C15" i="116"/>
  <c r="L14" i="116"/>
  <c r="K14" i="116"/>
  <c r="J14" i="116"/>
  <c r="I14" i="116"/>
  <c r="H14" i="116"/>
  <c r="G14" i="116"/>
  <c r="F14" i="116"/>
  <c r="E14" i="116"/>
  <c r="D14" i="116"/>
  <c r="C14" i="116"/>
  <c r="L13" i="116"/>
  <c r="K13" i="116"/>
  <c r="J13" i="116"/>
  <c r="I13" i="116"/>
  <c r="H13" i="116"/>
  <c r="G13" i="116"/>
  <c r="F13" i="116"/>
  <c r="E13" i="116"/>
  <c r="D13" i="116"/>
  <c r="C13" i="116"/>
  <c r="L12" i="116"/>
  <c r="K12" i="116"/>
  <c r="J12" i="116"/>
  <c r="I12" i="116"/>
  <c r="H12" i="116"/>
  <c r="G12" i="116"/>
  <c r="F12" i="116"/>
  <c r="E12" i="116"/>
  <c r="D12" i="116"/>
  <c r="C12" i="116"/>
  <c r="L11" i="116"/>
  <c r="K11" i="116"/>
  <c r="J11" i="116"/>
  <c r="I11" i="116"/>
  <c r="H11" i="116"/>
  <c r="G11" i="116"/>
  <c r="F11" i="116"/>
  <c r="E11" i="116"/>
  <c r="D11" i="116"/>
  <c r="C11" i="116"/>
  <c r="L10" i="116"/>
  <c r="K10" i="116"/>
  <c r="J10" i="116"/>
  <c r="I10" i="116"/>
  <c r="H10" i="116"/>
  <c r="G10" i="116"/>
  <c r="F10" i="116"/>
  <c r="E10" i="116"/>
  <c r="D10" i="116"/>
  <c r="C10" i="116"/>
  <c r="L9" i="116"/>
  <c r="K9" i="116"/>
  <c r="J9" i="116"/>
  <c r="I9" i="116"/>
  <c r="H9" i="116"/>
  <c r="G9" i="116"/>
  <c r="F9" i="116"/>
  <c r="E9" i="116"/>
  <c r="D9" i="116"/>
  <c r="C9" i="116"/>
  <c r="L8" i="116"/>
  <c r="K8" i="116"/>
  <c r="J8" i="116"/>
  <c r="I8" i="116"/>
  <c r="H8" i="116"/>
  <c r="G8" i="116"/>
  <c r="F8" i="116"/>
  <c r="E8" i="116"/>
  <c r="D8" i="116"/>
  <c r="C8" i="116"/>
  <c r="L7" i="116"/>
  <c r="K7" i="116"/>
  <c r="J7" i="116"/>
  <c r="I7" i="116"/>
  <c r="H7" i="116"/>
  <c r="G7" i="116"/>
  <c r="F7" i="116"/>
  <c r="E7" i="116"/>
  <c r="D7" i="116"/>
  <c r="C7" i="116"/>
  <c r="L6" i="116"/>
  <c r="K6" i="116"/>
  <c r="J6" i="116"/>
  <c r="I6" i="116"/>
  <c r="H6" i="116"/>
  <c r="G6" i="116"/>
  <c r="F6" i="116"/>
  <c r="E6" i="116"/>
  <c r="D6" i="116"/>
  <c r="C6" i="116"/>
  <c r="L5" i="116"/>
  <c r="K5" i="116"/>
  <c r="J5" i="116"/>
  <c r="I5" i="116"/>
  <c r="H5" i="116"/>
  <c r="G5" i="116"/>
  <c r="F5" i="116"/>
  <c r="E5" i="116"/>
  <c r="D5" i="116"/>
  <c r="C5" i="116"/>
  <c r="L4" i="116"/>
  <c r="K4" i="116"/>
  <c r="J4" i="116"/>
  <c r="I4" i="116"/>
  <c r="H4" i="116"/>
  <c r="G4" i="116"/>
  <c r="F4" i="116"/>
  <c r="E4" i="116"/>
  <c r="D4" i="116"/>
  <c r="C4" i="116"/>
  <c r="L3" i="116"/>
  <c r="K3" i="116"/>
  <c r="J3" i="116"/>
  <c r="I3" i="116"/>
  <c r="H3" i="116"/>
  <c r="G3" i="116"/>
  <c r="F3" i="116"/>
  <c r="E3" i="116"/>
  <c r="D3" i="116"/>
  <c r="C3" i="116"/>
  <c r="L2" i="116"/>
  <c r="K2" i="116"/>
  <c r="J2" i="116"/>
  <c r="I2" i="116"/>
  <c r="H2" i="116"/>
  <c r="G2" i="116"/>
  <c r="F2" i="116"/>
  <c r="E2" i="116"/>
  <c r="D2" i="116"/>
  <c r="C2" i="116"/>
  <c r="L101" i="115"/>
  <c r="K101" i="115"/>
  <c r="J101" i="115"/>
  <c r="I101" i="115"/>
  <c r="H101" i="115"/>
  <c r="G101" i="115"/>
  <c r="F101" i="115"/>
  <c r="E101" i="115"/>
  <c r="D101" i="115"/>
  <c r="C101" i="115"/>
  <c r="L100" i="115"/>
  <c r="K100" i="115"/>
  <c r="J100" i="115"/>
  <c r="I100" i="115"/>
  <c r="H100" i="115"/>
  <c r="G100" i="115"/>
  <c r="F100" i="115"/>
  <c r="E100" i="115"/>
  <c r="D100" i="115"/>
  <c r="C100" i="115"/>
  <c r="L99" i="115"/>
  <c r="K99" i="115"/>
  <c r="J99" i="115"/>
  <c r="I99" i="115"/>
  <c r="H99" i="115"/>
  <c r="G99" i="115"/>
  <c r="F99" i="115"/>
  <c r="E99" i="115"/>
  <c r="D99" i="115"/>
  <c r="C99" i="115"/>
  <c r="L98" i="115"/>
  <c r="K98" i="115"/>
  <c r="J98" i="115"/>
  <c r="I98" i="115"/>
  <c r="H98" i="115"/>
  <c r="G98" i="115"/>
  <c r="F98" i="115"/>
  <c r="E98" i="115"/>
  <c r="D98" i="115"/>
  <c r="C98" i="115"/>
  <c r="L97" i="115"/>
  <c r="K97" i="115"/>
  <c r="J97" i="115"/>
  <c r="I97" i="115"/>
  <c r="H97" i="115"/>
  <c r="G97" i="115"/>
  <c r="F97" i="115"/>
  <c r="E97" i="115"/>
  <c r="D97" i="115"/>
  <c r="C97" i="115"/>
  <c r="L96" i="115"/>
  <c r="K96" i="115"/>
  <c r="J96" i="115"/>
  <c r="I96" i="115"/>
  <c r="H96" i="115"/>
  <c r="G96" i="115"/>
  <c r="F96" i="115"/>
  <c r="E96" i="115"/>
  <c r="D96" i="115"/>
  <c r="C96" i="115"/>
  <c r="L95" i="115"/>
  <c r="K95" i="115"/>
  <c r="J95" i="115"/>
  <c r="I95" i="115"/>
  <c r="H95" i="115"/>
  <c r="G95" i="115"/>
  <c r="F95" i="115"/>
  <c r="E95" i="115"/>
  <c r="D95" i="115"/>
  <c r="C95" i="115"/>
  <c r="L94" i="115"/>
  <c r="K94" i="115"/>
  <c r="J94" i="115"/>
  <c r="I94" i="115"/>
  <c r="H94" i="115"/>
  <c r="G94" i="115"/>
  <c r="F94" i="115"/>
  <c r="E94" i="115"/>
  <c r="D94" i="115"/>
  <c r="C94" i="115"/>
  <c r="L93" i="115"/>
  <c r="K93" i="115"/>
  <c r="J93" i="115"/>
  <c r="I93" i="115"/>
  <c r="H93" i="115"/>
  <c r="G93" i="115"/>
  <c r="F93" i="115"/>
  <c r="E93" i="115"/>
  <c r="D93" i="115"/>
  <c r="C93" i="115"/>
  <c r="L92" i="115"/>
  <c r="K92" i="115"/>
  <c r="J92" i="115"/>
  <c r="I92" i="115"/>
  <c r="H92" i="115"/>
  <c r="G92" i="115"/>
  <c r="F92" i="115"/>
  <c r="E92" i="115"/>
  <c r="D92" i="115"/>
  <c r="C92" i="115"/>
  <c r="L91" i="115"/>
  <c r="K91" i="115"/>
  <c r="J91" i="115"/>
  <c r="I91" i="115"/>
  <c r="H91" i="115"/>
  <c r="G91" i="115"/>
  <c r="F91" i="115"/>
  <c r="E91" i="115"/>
  <c r="D91" i="115"/>
  <c r="C91" i="115"/>
  <c r="L90" i="115"/>
  <c r="K90" i="115"/>
  <c r="J90" i="115"/>
  <c r="I90" i="115"/>
  <c r="H90" i="115"/>
  <c r="G90" i="115"/>
  <c r="F90" i="115"/>
  <c r="E90" i="115"/>
  <c r="D90" i="115"/>
  <c r="C90" i="115"/>
  <c r="L89" i="115"/>
  <c r="K89" i="115"/>
  <c r="J89" i="115"/>
  <c r="I89" i="115"/>
  <c r="H89" i="115"/>
  <c r="G89" i="115"/>
  <c r="F89" i="115"/>
  <c r="E89" i="115"/>
  <c r="D89" i="115"/>
  <c r="C89" i="115"/>
  <c r="L88" i="115"/>
  <c r="K88" i="115"/>
  <c r="J88" i="115"/>
  <c r="I88" i="115"/>
  <c r="H88" i="115"/>
  <c r="G88" i="115"/>
  <c r="F88" i="115"/>
  <c r="E88" i="115"/>
  <c r="D88" i="115"/>
  <c r="C88" i="115"/>
  <c r="L87" i="115"/>
  <c r="K87" i="115"/>
  <c r="J87" i="115"/>
  <c r="I87" i="115"/>
  <c r="H87" i="115"/>
  <c r="G87" i="115"/>
  <c r="F87" i="115"/>
  <c r="E87" i="115"/>
  <c r="D87" i="115"/>
  <c r="C87" i="115"/>
  <c r="L86" i="115"/>
  <c r="K86" i="115"/>
  <c r="J86" i="115"/>
  <c r="I86" i="115"/>
  <c r="H86" i="115"/>
  <c r="G86" i="115"/>
  <c r="F86" i="115"/>
  <c r="E86" i="115"/>
  <c r="D86" i="115"/>
  <c r="C86" i="115"/>
  <c r="L85" i="115"/>
  <c r="K85" i="115"/>
  <c r="J85" i="115"/>
  <c r="I85" i="115"/>
  <c r="H85" i="115"/>
  <c r="G85" i="115"/>
  <c r="F85" i="115"/>
  <c r="E85" i="115"/>
  <c r="D85" i="115"/>
  <c r="C85" i="115"/>
  <c r="L84" i="115"/>
  <c r="K84" i="115"/>
  <c r="J84" i="115"/>
  <c r="I84" i="115"/>
  <c r="H84" i="115"/>
  <c r="G84" i="115"/>
  <c r="F84" i="115"/>
  <c r="E84" i="115"/>
  <c r="D84" i="115"/>
  <c r="C84" i="115"/>
  <c r="L83" i="115"/>
  <c r="K83" i="115"/>
  <c r="J83" i="115"/>
  <c r="I83" i="115"/>
  <c r="H83" i="115"/>
  <c r="G83" i="115"/>
  <c r="F83" i="115"/>
  <c r="E83" i="115"/>
  <c r="D83" i="115"/>
  <c r="C83" i="115"/>
  <c r="L82" i="115"/>
  <c r="K82" i="115"/>
  <c r="J82" i="115"/>
  <c r="I82" i="115"/>
  <c r="H82" i="115"/>
  <c r="G82" i="115"/>
  <c r="F82" i="115"/>
  <c r="E82" i="115"/>
  <c r="D82" i="115"/>
  <c r="C82" i="115"/>
  <c r="L81" i="115"/>
  <c r="K81" i="115"/>
  <c r="J81" i="115"/>
  <c r="I81" i="115"/>
  <c r="H81" i="115"/>
  <c r="G81" i="115"/>
  <c r="F81" i="115"/>
  <c r="E81" i="115"/>
  <c r="D81" i="115"/>
  <c r="C81" i="115"/>
  <c r="L80" i="115"/>
  <c r="K80" i="115"/>
  <c r="J80" i="115"/>
  <c r="I80" i="115"/>
  <c r="H80" i="115"/>
  <c r="G80" i="115"/>
  <c r="F80" i="115"/>
  <c r="E80" i="115"/>
  <c r="D80" i="115"/>
  <c r="C80" i="115"/>
  <c r="L79" i="115"/>
  <c r="K79" i="115"/>
  <c r="J79" i="115"/>
  <c r="I79" i="115"/>
  <c r="H79" i="115"/>
  <c r="G79" i="115"/>
  <c r="F79" i="115"/>
  <c r="E79" i="115"/>
  <c r="D79" i="115"/>
  <c r="C79" i="115"/>
  <c r="L78" i="115"/>
  <c r="K78" i="115"/>
  <c r="J78" i="115"/>
  <c r="I78" i="115"/>
  <c r="H78" i="115"/>
  <c r="G78" i="115"/>
  <c r="F78" i="115"/>
  <c r="E78" i="115"/>
  <c r="D78" i="115"/>
  <c r="C78" i="115"/>
  <c r="L77" i="115"/>
  <c r="K77" i="115"/>
  <c r="J77" i="115"/>
  <c r="I77" i="115"/>
  <c r="H77" i="115"/>
  <c r="G77" i="115"/>
  <c r="F77" i="115"/>
  <c r="E77" i="115"/>
  <c r="D77" i="115"/>
  <c r="C77" i="115"/>
  <c r="L76" i="115"/>
  <c r="K76" i="115"/>
  <c r="J76" i="115"/>
  <c r="I76" i="115"/>
  <c r="H76" i="115"/>
  <c r="G76" i="115"/>
  <c r="F76" i="115"/>
  <c r="E76" i="115"/>
  <c r="D76" i="115"/>
  <c r="C76" i="115"/>
  <c r="L75" i="115"/>
  <c r="K75" i="115"/>
  <c r="J75" i="115"/>
  <c r="I75" i="115"/>
  <c r="H75" i="115"/>
  <c r="G75" i="115"/>
  <c r="F75" i="115"/>
  <c r="E75" i="115"/>
  <c r="D75" i="115"/>
  <c r="C75" i="115"/>
  <c r="L74" i="115"/>
  <c r="K74" i="115"/>
  <c r="J74" i="115"/>
  <c r="I74" i="115"/>
  <c r="H74" i="115"/>
  <c r="G74" i="115"/>
  <c r="F74" i="115"/>
  <c r="E74" i="115"/>
  <c r="D74" i="115"/>
  <c r="C74" i="115"/>
  <c r="L73" i="115"/>
  <c r="K73" i="115"/>
  <c r="J73" i="115"/>
  <c r="I73" i="115"/>
  <c r="H73" i="115"/>
  <c r="G73" i="115"/>
  <c r="F73" i="115"/>
  <c r="E73" i="115"/>
  <c r="D73" i="115"/>
  <c r="C73" i="115"/>
  <c r="L72" i="115"/>
  <c r="K72" i="115"/>
  <c r="J72" i="115"/>
  <c r="I72" i="115"/>
  <c r="H72" i="115"/>
  <c r="G72" i="115"/>
  <c r="F72" i="115"/>
  <c r="E72" i="115"/>
  <c r="D72" i="115"/>
  <c r="C72" i="115"/>
  <c r="L71" i="115"/>
  <c r="K71" i="115"/>
  <c r="J71" i="115"/>
  <c r="I71" i="115"/>
  <c r="H71" i="115"/>
  <c r="G71" i="115"/>
  <c r="F71" i="115"/>
  <c r="E71" i="115"/>
  <c r="D71" i="115"/>
  <c r="C71" i="115"/>
  <c r="L70" i="115"/>
  <c r="K70" i="115"/>
  <c r="J70" i="115"/>
  <c r="I70" i="115"/>
  <c r="H70" i="115"/>
  <c r="G70" i="115"/>
  <c r="F70" i="115"/>
  <c r="E70" i="115"/>
  <c r="D70" i="115"/>
  <c r="C70" i="115"/>
  <c r="L69" i="115"/>
  <c r="K69" i="115"/>
  <c r="J69" i="115"/>
  <c r="I69" i="115"/>
  <c r="H69" i="115"/>
  <c r="G69" i="115"/>
  <c r="F69" i="115"/>
  <c r="E69" i="115"/>
  <c r="D69" i="115"/>
  <c r="C69" i="115"/>
  <c r="L68" i="115"/>
  <c r="K68" i="115"/>
  <c r="J68" i="115"/>
  <c r="I68" i="115"/>
  <c r="H68" i="115"/>
  <c r="G68" i="115"/>
  <c r="F68" i="115"/>
  <c r="E68" i="115"/>
  <c r="D68" i="115"/>
  <c r="C68" i="115"/>
  <c r="L67" i="115"/>
  <c r="K67" i="115"/>
  <c r="J67" i="115"/>
  <c r="I67" i="115"/>
  <c r="H67" i="115"/>
  <c r="G67" i="115"/>
  <c r="F67" i="115"/>
  <c r="E67" i="115"/>
  <c r="D67" i="115"/>
  <c r="C67" i="115"/>
  <c r="L66" i="115"/>
  <c r="K66" i="115"/>
  <c r="J66" i="115"/>
  <c r="I66" i="115"/>
  <c r="H66" i="115"/>
  <c r="G66" i="115"/>
  <c r="F66" i="115"/>
  <c r="E66" i="115"/>
  <c r="D66" i="115"/>
  <c r="C66" i="115"/>
  <c r="L65" i="115"/>
  <c r="K65" i="115"/>
  <c r="J65" i="115"/>
  <c r="I65" i="115"/>
  <c r="H65" i="115"/>
  <c r="G65" i="115"/>
  <c r="F65" i="115"/>
  <c r="E65" i="115"/>
  <c r="D65" i="115"/>
  <c r="C65" i="115"/>
  <c r="L64" i="115"/>
  <c r="K64" i="115"/>
  <c r="J64" i="115"/>
  <c r="I64" i="115"/>
  <c r="H64" i="115"/>
  <c r="G64" i="115"/>
  <c r="F64" i="115"/>
  <c r="E64" i="115"/>
  <c r="D64" i="115"/>
  <c r="C64" i="115"/>
  <c r="L63" i="115"/>
  <c r="K63" i="115"/>
  <c r="J63" i="115"/>
  <c r="I63" i="115"/>
  <c r="H63" i="115"/>
  <c r="G63" i="115"/>
  <c r="F63" i="115"/>
  <c r="E63" i="115"/>
  <c r="D63" i="115"/>
  <c r="C63" i="115"/>
  <c r="L62" i="115"/>
  <c r="K62" i="115"/>
  <c r="J62" i="115"/>
  <c r="I62" i="115"/>
  <c r="H62" i="115"/>
  <c r="G62" i="115"/>
  <c r="F62" i="115"/>
  <c r="E62" i="115"/>
  <c r="D62" i="115"/>
  <c r="C62" i="115"/>
  <c r="L61" i="115"/>
  <c r="K61" i="115"/>
  <c r="J61" i="115"/>
  <c r="I61" i="115"/>
  <c r="H61" i="115"/>
  <c r="G61" i="115"/>
  <c r="F61" i="115"/>
  <c r="E61" i="115"/>
  <c r="D61" i="115"/>
  <c r="C61" i="115"/>
  <c r="L60" i="115"/>
  <c r="K60" i="115"/>
  <c r="J60" i="115"/>
  <c r="I60" i="115"/>
  <c r="H60" i="115"/>
  <c r="G60" i="115"/>
  <c r="F60" i="115"/>
  <c r="E60" i="115"/>
  <c r="D60" i="115"/>
  <c r="C60" i="115"/>
  <c r="L59" i="115"/>
  <c r="K59" i="115"/>
  <c r="J59" i="115"/>
  <c r="I59" i="115"/>
  <c r="H59" i="115"/>
  <c r="G59" i="115"/>
  <c r="F59" i="115"/>
  <c r="E59" i="115"/>
  <c r="D59" i="115"/>
  <c r="C59" i="115"/>
  <c r="L58" i="115"/>
  <c r="K58" i="115"/>
  <c r="J58" i="115"/>
  <c r="I58" i="115"/>
  <c r="H58" i="115"/>
  <c r="G58" i="115"/>
  <c r="F58" i="115"/>
  <c r="E58" i="115"/>
  <c r="D58" i="115"/>
  <c r="C58" i="115"/>
  <c r="L57" i="115"/>
  <c r="K57" i="115"/>
  <c r="J57" i="115"/>
  <c r="I57" i="115"/>
  <c r="H57" i="115"/>
  <c r="G57" i="115"/>
  <c r="F57" i="115"/>
  <c r="E57" i="115"/>
  <c r="D57" i="115"/>
  <c r="C57" i="115"/>
  <c r="L56" i="115"/>
  <c r="K56" i="115"/>
  <c r="J56" i="115"/>
  <c r="I56" i="115"/>
  <c r="H56" i="115"/>
  <c r="G56" i="115"/>
  <c r="F56" i="115"/>
  <c r="E56" i="115"/>
  <c r="D56" i="115"/>
  <c r="C56" i="115"/>
  <c r="L55" i="115"/>
  <c r="K55" i="115"/>
  <c r="J55" i="115"/>
  <c r="I55" i="115"/>
  <c r="H55" i="115"/>
  <c r="G55" i="115"/>
  <c r="F55" i="115"/>
  <c r="E55" i="115"/>
  <c r="D55" i="115"/>
  <c r="C55" i="115"/>
  <c r="L54" i="115"/>
  <c r="K54" i="115"/>
  <c r="J54" i="115"/>
  <c r="I54" i="115"/>
  <c r="H54" i="115"/>
  <c r="G54" i="115"/>
  <c r="F54" i="115"/>
  <c r="E54" i="115"/>
  <c r="D54" i="115"/>
  <c r="C54" i="115"/>
  <c r="L53" i="115"/>
  <c r="K53" i="115"/>
  <c r="J53" i="115"/>
  <c r="I53" i="115"/>
  <c r="H53" i="115"/>
  <c r="G53" i="115"/>
  <c r="F53" i="115"/>
  <c r="E53" i="115"/>
  <c r="D53" i="115"/>
  <c r="C53" i="115"/>
  <c r="L52" i="115"/>
  <c r="K52" i="115"/>
  <c r="J52" i="115"/>
  <c r="I52" i="115"/>
  <c r="H52" i="115"/>
  <c r="G52" i="115"/>
  <c r="F52" i="115"/>
  <c r="E52" i="115"/>
  <c r="D52" i="115"/>
  <c r="C52" i="115"/>
  <c r="L51" i="115"/>
  <c r="K51" i="115"/>
  <c r="J51" i="115"/>
  <c r="I51" i="115"/>
  <c r="H51" i="115"/>
  <c r="G51" i="115"/>
  <c r="F51" i="115"/>
  <c r="E51" i="115"/>
  <c r="D51" i="115"/>
  <c r="C51" i="115"/>
  <c r="L50" i="115"/>
  <c r="K50" i="115"/>
  <c r="J50" i="115"/>
  <c r="I50" i="115"/>
  <c r="H50" i="115"/>
  <c r="G50" i="115"/>
  <c r="F50" i="115"/>
  <c r="E50" i="115"/>
  <c r="D50" i="115"/>
  <c r="C50" i="115"/>
  <c r="L49" i="115"/>
  <c r="K49" i="115"/>
  <c r="J49" i="115"/>
  <c r="I49" i="115"/>
  <c r="H49" i="115"/>
  <c r="G49" i="115"/>
  <c r="F49" i="115"/>
  <c r="E49" i="115"/>
  <c r="D49" i="115"/>
  <c r="C49" i="115"/>
  <c r="L48" i="115"/>
  <c r="K48" i="115"/>
  <c r="J48" i="115"/>
  <c r="I48" i="115"/>
  <c r="H48" i="115"/>
  <c r="G48" i="115"/>
  <c r="F48" i="115"/>
  <c r="E48" i="115"/>
  <c r="D48" i="115"/>
  <c r="C48" i="115"/>
  <c r="L47" i="115"/>
  <c r="K47" i="115"/>
  <c r="J47" i="115"/>
  <c r="I47" i="115"/>
  <c r="H47" i="115"/>
  <c r="G47" i="115"/>
  <c r="F47" i="115"/>
  <c r="E47" i="115"/>
  <c r="D47" i="115"/>
  <c r="C47" i="115"/>
  <c r="L46" i="115"/>
  <c r="K46" i="115"/>
  <c r="J46" i="115"/>
  <c r="I46" i="115"/>
  <c r="H46" i="115"/>
  <c r="G46" i="115"/>
  <c r="F46" i="115"/>
  <c r="E46" i="115"/>
  <c r="D46" i="115"/>
  <c r="C46" i="115"/>
  <c r="L45" i="115"/>
  <c r="K45" i="115"/>
  <c r="J45" i="115"/>
  <c r="I45" i="115"/>
  <c r="H45" i="115"/>
  <c r="G45" i="115"/>
  <c r="F45" i="115"/>
  <c r="E45" i="115"/>
  <c r="D45" i="115"/>
  <c r="C45" i="115"/>
  <c r="L44" i="115"/>
  <c r="K44" i="115"/>
  <c r="J44" i="115"/>
  <c r="I44" i="115"/>
  <c r="H44" i="115"/>
  <c r="G44" i="115"/>
  <c r="F44" i="115"/>
  <c r="E44" i="115"/>
  <c r="D44" i="115"/>
  <c r="C44" i="115"/>
  <c r="L43" i="115"/>
  <c r="K43" i="115"/>
  <c r="J43" i="115"/>
  <c r="I43" i="115"/>
  <c r="H43" i="115"/>
  <c r="G43" i="115"/>
  <c r="F43" i="115"/>
  <c r="E43" i="115"/>
  <c r="D43" i="115"/>
  <c r="C43" i="115"/>
  <c r="L42" i="115"/>
  <c r="K42" i="115"/>
  <c r="J42" i="115"/>
  <c r="I42" i="115"/>
  <c r="H42" i="115"/>
  <c r="G42" i="115"/>
  <c r="F42" i="115"/>
  <c r="E42" i="115"/>
  <c r="D42" i="115"/>
  <c r="C42" i="115"/>
  <c r="L41" i="115"/>
  <c r="K41" i="115"/>
  <c r="J41" i="115"/>
  <c r="I41" i="115"/>
  <c r="H41" i="115"/>
  <c r="G41" i="115"/>
  <c r="F41" i="115"/>
  <c r="E41" i="115"/>
  <c r="D41" i="115"/>
  <c r="C41" i="115"/>
  <c r="L40" i="115"/>
  <c r="K40" i="115"/>
  <c r="J40" i="115"/>
  <c r="I40" i="115"/>
  <c r="H40" i="115"/>
  <c r="G40" i="115"/>
  <c r="F40" i="115"/>
  <c r="E40" i="115"/>
  <c r="D40" i="115"/>
  <c r="C40" i="115"/>
  <c r="L39" i="115"/>
  <c r="K39" i="115"/>
  <c r="J39" i="115"/>
  <c r="I39" i="115"/>
  <c r="H39" i="115"/>
  <c r="G39" i="115"/>
  <c r="F39" i="115"/>
  <c r="E39" i="115"/>
  <c r="D39" i="115"/>
  <c r="C39" i="115"/>
  <c r="L38" i="115"/>
  <c r="K38" i="115"/>
  <c r="J38" i="115"/>
  <c r="I38" i="115"/>
  <c r="H38" i="115"/>
  <c r="G38" i="115"/>
  <c r="F38" i="115"/>
  <c r="E38" i="115"/>
  <c r="D38" i="115"/>
  <c r="C38" i="115"/>
  <c r="L37" i="115"/>
  <c r="K37" i="115"/>
  <c r="J37" i="115"/>
  <c r="I37" i="115"/>
  <c r="H37" i="115"/>
  <c r="G37" i="115"/>
  <c r="F37" i="115"/>
  <c r="E37" i="115"/>
  <c r="D37" i="115"/>
  <c r="C37" i="115"/>
  <c r="L36" i="115"/>
  <c r="K36" i="115"/>
  <c r="J36" i="115"/>
  <c r="I36" i="115"/>
  <c r="H36" i="115"/>
  <c r="G36" i="115"/>
  <c r="F36" i="115"/>
  <c r="E36" i="115"/>
  <c r="D36" i="115"/>
  <c r="C36" i="115"/>
  <c r="L35" i="115"/>
  <c r="K35" i="115"/>
  <c r="J35" i="115"/>
  <c r="I35" i="115"/>
  <c r="H35" i="115"/>
  <c r="G35" i="115"/>
  <c r="F35" i="115"/>
  <c r="E35" i="115"/>
  <c r="D35" i="115"/>
  <c r="C35" i="115"/>
  <c r="L34" i="115"/>
  <c r="K34" i="115"/>
  <c r="J34" i="115"/>
  <c r="I34" i="115"/>
  <c r="H34" i="115"/>
  <c r="G34" i="115"/>
  <c r="F34" i="115"/>
  <c r="E34" i="115"/>
  <c r="D34" i="115"/>
  <c r="C34" i="115"/>
  <c r="L33" i="115"/>
  <c r="K33" i="115"/>
  <c r="J33" i="115"/>
  <c r="I33" i="115"/>
  <c r="H33" i="115"/>
  <c r="G33" i="115"/>
  <c r="F33" i="115"/>
  <c r="E33" i="115"/>
  <c r="D33" i="115"/>
  <c r="C33" i="115"/>
  <c r="L32" i="115"/>
  <c r="K32" i="115"/>
  <c r="J32" i="115"/>
  <c r="I32" i="115"/>
  <c r="H32" i="115"/>
  <c r="G32" i="115"/>
  <c r="F32" i="115"/>
  <c r="E32" i="115"/>
  <c r="D32" i="115"/>
  <c r="C32" i="115"/>
  <c r="L31" i="115"/>
  <c r="K31" i="115"/>
  <c r="J31" i="115"/>
  <c r="I31" i="115"/>
  <c r="H31" i="115"/>
  <c r="G31" i="115"/>
  <c r="F31" i="115"/>
  <c r="E31" i="115"/>
  <c r="D31" i="115"/>
  <c r="C31" i="115"/>
  <c r="L30" i="115"/>
  <c r="K30" i="115"/>
  <c r="J30" i="115"/>
  <c r="I30" i="115"/>
  <c r="H30" i="115"/>
  <c r="G30" i="115"/>
  <c r="F30" i="115"/>
  <c r="E30" i="115"/>
  <c r="D30" i="115"/>
  <c r="C30" i="115"/>
  <c r="L29" i="115"/>
  <c r="K29" i="115"/>
  <c r="J29" i="115"/>
  <c r="I29" i="115"/>
  <c r="H29" i="115"/>
  <c r="G29" i="115"/>
  <c r="F29" i="115"/>
  <c r="E29" i="115"/>
  <c r="D29" i="115"/>
  <c r="C29" i="115"/>
  <c r="L28" i="115"/>
  <c r="K28" i="115"/>
  <c r="J28" i="115"/>
  <c r="I28" i="115"/>
  <c r="H28" i="115"/>
  <c r="G28" i="115"/>
  <c r="F28" i="115"/>
  <c r="E28" i="115"/>
  <c r="D28" i="115"/>
  <c r="C28" i="115"/>
  <c r="L27" i="115"/>
  <c r="K27" i="115"/>
  <c r="J27" i="115"/>
  <c r="I27" i="115"/>
  <c r="H27" i="115"/>
  <c r="G27" i="115"/>
  <c r="F27" i="115"/>
  <c r="E27" i="115"/>
  <c r="D27" i="115"/>
  <c r="C27" i="115"/>
  <c r="L26" i="115"/>
  <c r="K26" i="115"/>
  <c r="J26" i="115"/>
  <c r="I26" i="115"/>
  <c r="H26" i="115"/>
  <c r="G26" i="115"/>
  <c r="F26" i="115"/>
  <c r="E26" i="115"/>
  <c r="D26" i="115"/>
  <c r="C26" i="115"/>
  <c r="L25" i="115"/>
  <c r="K25" i="115"/>
  <c r="J25" i="115"/>
  <c r="I25" i="115"/>
  <c r="H25" i="115"/>
  <c r="G25" i="115"/>
  <c r="F25" i="115"/>
  <c r="E25" i="115"/>
  <c r="D25" i="115"/>
  <c r="C25" i="115"/>
  <c r="L24" i="115"/>
  <c r="K24" i="115"/>
  <c r="J24" i="115"/>
  <c r="I24" i="115"/>
  <c r="H24" i="115"/>
  <c r="G24" i="115"/>
  <c r="F24" i="115"/>
  <c r="E24" i="115"/>
  <c r="D24" i="115"/>
  <c r="C24" i="115"/>
  <c r="L23" i="115"/>
  <c r="K23" i="115"/>
  <c r="J23" i="115"/>
  <c r="I23" i="115"/>
  <c r="H23" i="115"/>
  <c r="G23" i="115"/>
  <c r="F23" i="115"/>
  <c r="E23" i="115"/>
  <c r="D23" i="115"/>
  <c r="C23" i="115"/>
  <c r="L22" i="115"/>
  <c r="K22" i="115"/>
  <c r="J22" i="115"/>
  <c r="I22" i="115"/>
  <c r="H22" i="115"/>
  <c r="G22" i="115"/>
  <c r="F22" i="115"/>
  <c r="E22" i="115"/>
  <c r="D22" i="115"/>
  <c r="C22" i="115"/>
  <c r="L21" i="115"/>
  <c r="K21" i="115"/>
  <c r="J21" i="115"/>
  <c r="I21" i="115"/>
  <c r="H21" i="115"/>
  <c r="G21" i="115"/>
  <c r="F21" i="115"/>
  <c r="E21" i="115"/>
  <c r="D21" i="115"/>
  <c r="C21" i="115"/>
  <c r="L20" i="115"/>
  <c r="K20" i="115"/>
  <c r="J20" i="115"/>
  <c r="I20" i="115"/>
  <c r="H20" i="115"/>
  <c r="G20" i="115"/>
  <c r="F20" i="115"/>
  <c r="E20" i="115"/>
  <c r="D20" i="115"/>
  <c r="C20" i="115"/>
  <c r="L19" i="115"/>
  <c r="K19" i="115"/>
  <c r="J19" i="115"/>
  <c r="I19" i="115"/>
  <c r="H19" i="115"/>
  <c r="G19" i="115"/>
  <c r="F19" i="115"/>
  <c r="E19" i="115"/>
  <c r="D19" i="115"/>
  <c r="C19" i="115"/>
  <c r="L18" i="115"/>
  <c r="K18" i="115"/>
  <c r="J18" i="115"/>
  <c r="I18" i="115"/>
  <c r="H18" i="115"/>
  <c r="G18" i="115"/>
  <c r="F18" i="115"/>
  <c r="E18" i="115"/>
  <c r="D18" i="115"/>
  <c r="C18" i="115"/>
  <c r="L17" i="115"/>
  <c r="K17" i="115"/>
  <c r="J17" i="115"/>
  <c r="I17" i="115"/>
  <c r="H17" i="115"/>
  <c r="G17" i="115"/>
  <c r="F17" i="115"/>
  <c r="E17" i="115"/>
  <c r="D17" i="115"/>
  <c r="C17" i="115"/>
  <c r="L16" i="115"/>
  <c r="K16" i="115"/>
  <c r="J16" i="115"/>
  <c r="I16" i="115"/>
  <c r="H16" i="115"/>
  <c r="G16" i="115"/>
  <c r="F16" i="115"/>
  <c r="E16" i="115"/>
  <c r="D16" i="115"/>
  <c r="C16" i="115"/>
  <c r="L15" i="115"/>
  <c r="K15" i="115"/>
  <c r="J15" i="115"/>
  <c r="I15" i="115"/>
  <c r="H15" i="115"/>
  <c r="G15" i="115"/>
  <c r="F15" i="115"/>
  <c r="E15" i="115"/>
  <c r="D15" i="115"/>
  <c r="C15" i="115"/>
  <c r="L14" i="115"/>
  <c r="K14" i="115"/>
  <c r="J14" i="115"/>
  <c r="I14" i="115"/>
  <c r="H14" i="115"/>
  <c r="G14" i="115"/>
  <c r="F14" i="115"/>
  <c r="E14" i="115"/>
  <c r="D14" i="115"/>
  <c r="C14" i="115"/>
  <c r="L13" i="115"/>
  <c r="K13" i="115"/>
  <c r="J13" i="115"/>
  <c r="I13" i="115"/>
  <c r="H13" i="115"/>
  <c r="G13" i="115"/>
  <c r="F13" i="115"/>
  <c r="E13" i="115"/>
  <c r="D13" i="115"/>
  <c r="C13" i="115"/>
  <c r="L12" i="115"/>
  <c r="K12" i="115"/>
  <c r="J12" i="115"/>
  <c r="I12" i="115"/>
  <c r="H12" i="115"/>
  <c r="G12" i="115"/>
  <c r="F12" i="115"/>
  <c r="E12" i="115"/>
  <c r="D12" i="115"/>
  <c r="C12" i="115"/>
  <c r="L11" i="115"/>
  <c r="K11" i="115"/>
  <c r="J11" i="115"/>
  <c r="I11" i="115"/>
  <c r="H11" i="115"/>
  <c r="G11" i="115"/>
  <c r="F11" i="115"/>
  <c r="E11" i="115"/>
  <c r="D11" i="115"/>
  <c r="C11" i="115"/>
  <c r="L10" i="115"/>
  <c r="K10" i="115"/>
  <c r="J10" i="115"/>
  <c r="I10" i="115"/>
  <c r="H10" i="115"/>
  <c r="G10" i="115"/>
  <c r="F10" i="115"/>
  <c r="E10" i="115"/>
  <c r="D10" i="115"/>
  <c r="C10" i="115"/>
  <c r="L9" i="115"/>
  <c r="K9" i="115"/>
  <c r="J9" i="115"/>
  <c r="I9" i="115"/>
  <c r="H9" i="115"/>
  <c r="G9" i="115"/>
  <c r="F9" i="115"/>
  <c r="E9" i="115"/>
  <c r="D9" i="115"/>
  <c r="C9" i="115"/>
  <c r="L8" i="115"/>
  <c r="K8" i="115"/>
  <c r="J8" i="115"/>
  <c r="I8" i="115"/>
  <c r="H8" i="115"/>
  <c r="G8" i="115"/>
  <c r="F8" i="115"/>
  <c r="E8" i="115"/>
  <c r="D8" i="115"/>
  <c r="C8" i="115"/>
  <c r="L7" i="115"/>
  <c r="K7" i="115"/>
  <c r="J7" i="115"/>
  <c r="I7" i="115"/>
  <c r="H7" i="115"/>
  <c r="G7" i="115"/>
  <c r="F7" i="115"/>
  <c r="E7" i="115"/>
  <c r="D7" i="115"/>
  <c r="C7" i="115"/>
  <c r="L6" i="115"/>
  <c r="K6" i="115"/>
  <c r="J6" i="115"/>
  <c r="I6" i="115"/>
  <c r="H6" i="115"/>
  <c r="G6" i="115"/>
  <c r="F6" i="115"/>
  <c r="E6" i="115"/>
  <c r="D6" i="115"/>
  <c r="C6" i="115"/>
  <c r="L5" i="115"/>
  <c r="K5" i="115"/>
  <c r="J5" i="115"/>
  <c r="I5" i="115"/>
  <c r="H5" i="115"/>
  <c r="G5" i="115"/>
  <c r="F5" i="115"/>
  <c r="E5" i="115"/>
  <c r="D5" i="115"/>
  <c r="C5" i="115"/>
  <c r="L4" i="115"/>
  <c r="K4" i="115"/>
  <c r="J4" i="115"/>
  <c r="I4" i="115"/>
  <c r="H4" i="115"/>
  <c r="G4" i="115"/>
  <c r="F4" i="115"/>
  <c r="E4" i="115"/>
  <c r="D4" i="115"/>
  <c r="C4" i="115"/>
  <c r="L3" i="115"/>
  <c r="K3" i="115"/>
  <c r="J3" i="115"/>
  <c r="I3" i="115"/>
  <c r="H3" i="115"/>
  <c r="G3" i="115"/>
  <c r="F3" i="115"/>
  <c r="E3" i="115"/>
  <c r="D3" i="115"/>
  <c r="C3" i="115"/>
  <c r="L2" i="115"/>
  <c r="K2" i="115"/>
  <c r="J2" i="115"/>
  <c r="I2" i="115"/>
  <c r="H2" i="115"/>
  <c r="G2" i="115"/>
  <c r="F2" i="115"/>
  <c r="E2" i="115"/>
  <c r="D2" i="115"/>
  <c r="C2" i="115"/>
  <c r="L101" i="114"/>
  <c r="K101" i="114"/>
  <c r="J101" i="114"/>
  <c r="I101" i="114"/>
  <c r="H101" i="114"/>
  <c r="G101" i="114"/>
  <c r="F101" i="114"/>
  <c r="E101" i="114"/>
  <c r="D101" i="114"/>
  <c r="C101" i="114"/>
  <c r="L100" i="114"/>
  <c r="K100" i="114"/>
  <c r="J100" i="114"/>
  <c r="I100" i="114"/>
  <c r="H100" i="114"/>
  <c r="G100" i="114"/>
  <c r="F100" i="114"/>
  <c r="E100" i="114"/>
  <c r="D100" i="114"/>
  <c r="C100" i="114"/>
  <c r="L99" i="114"/>
  <c r="K99" i="114"/>
  <c r="J99" i="114"/>
  <c r="I99" i="114"/>
  <c r="H99" i="114"/>
  <c r="G99" i="114"/>
  <c r="F99" i="114"/>
  <c r="E99" i="114"/>
  <c r="D99" i="114"/>
  <c r="C99" i="114"/>
  <c r="L98" i="114"/>
  <c r="K98" i="114"/>
  <c r="J98" i="114"/>
  <c r="I98" i="114"/>
  <c r="H98" i="114"/>
  <c r="G98" i="114"/>
  <c r="F98" i="114"/>
  <c r="E98" i="114"/>
  <c r="D98" i="114"/>
  <c r="C98" i="114"/>
  <c r="L97" i="114"/>
  <c r="K97" i="114"/>
  <c r="J97" i="114"/>
  <c r="I97" i="114"/>
  <c r="H97" i="114"/>
  <c r="G97" i="114"/>
  <c r="F97" i="114"/>
  <c r="E97" i="114"/>
  <c r="D97" i="114"/>
  <c r="C97" i="114"/>
  <c r="L96" i="114"/>
  <c r="K96" i="114"/>
  <c r="J96" i="114"/>
  <c r="I96" i="114"/>
  <c r="H96" i="114"/>
  <c r="G96" i="114"/>
  <c r="F96" i="114"/>
  <c r="E96" i="114"/>
  <c r="D96" i="114"/>
  <c r="C96" i="114"/>
  <c r="L95" i="114"/>
  <c r="K95" i="114"/>
  <c r="J95" i="114"/>
  <c r="I95" i="114"/>
  <c r="H95" i="114"/>
  <c r="G95" i="114"/>
  <c r="F95" i="114"/>
  <c r="E95" i="114"/>
  <c r="D95" i="114"/>
  <c r="C95" i="114"/>
  <c r="L94" i="114"/>
  <c r="K94" i="114"/>
  <c r="J94" i="114"/>
  <c r="I94" i="114"/>
  <c r="H94" i="114"/>
  <c r="G94" i="114"/>
  <c r="F94" i="114"/>
  <c r="E94" i="114"/>
  <c r="D94" i="114"/>
  <c r="C94" i="114"/>
  <c r="L93" i="114"/>
  <c r="K93" i="114"/>
  <c r="J93" i="114"/>
  <c r="I93" i="114"/>
  <c r="H93" i="114"/>
  <c r="G93" i="114"/>
  <c r="F93" i="114"/>
  <c r="E93" i="114"/>
  <c r="D93" i="114"/>
  <c r="C93" i="114"/>
  <c r="L92" i="114"/>
  <c r="K92" i="114"/>
  <c r="J92" i="114"/>
  <c r="I92" i="114"/>
  <c r="H92" i="114"/>
  <c r="G92" i="114"/>
  <c r="F92" i="114"/>
  <c r="E92" i="114"/>
  <c r="D92" i="114"/>
  <c r="C92" i="114"/>
  <c r="L91" i="114"/>
  <c r="K91" i="114"/>
  <c r="J91" i="114"/>
  <c r="I91" i="114"/>
  <c r="H91" i="114"/>
  <c r="G91" i="114"/>
  <c r="F91" i="114"/>
  <c r="E91" i="114"/>
  <c r="D91" i="114"/>
  <c r="C91" i="114"/>
  <c r="L90" i="114"/>
  <c r="K90" i="114"/>
  <c r="J90" i="114"/>
  <c r="I90" i="114"/>
  <c r="H90" i="114"/>
  <c r="G90" i="114"/>
  <c r="F90" i="114"/>
  <c r="E90" i="114"/>
  <c r="D90" i="114"/>
  <c r="C90" i="114"/>
  <c r="L89" i="114"/>
  <c r="K89" i="114"/>
  <c r="J89" i="114"/>
  <c r="I89" i="114"/>
  <c r="H89" i="114"/>
  <c r="G89" i="114"/>
  <c r="F89" i="114"/>
  <c r="E89" i="114"/>
  <c r="D89" i="114"/>
  <c r="C89" i="114"/>
  <c r="L88" i="114"/>
  <c r="K88" i="114"/>
  <c r="J88" i="114"/>
  <c r="I88" i="114"/>
  <c r="H88" i="114"/>
  <c r="G88" i="114"/>
  <c r="F88" i="114"/>
  <c r="E88" i="114"/>
  <c r="D88" i="114"/>
  <c r="C88" i="114"/>
  <c r="L87" i="114"/>
  <c r="K87" i="114"/>
  <c r="J87" i="114"/>
  <c r="I87" i="114"/>
  <c r="H87" i="114"/>
  <c r="G87" i="114"/>
  <c r="F87" i="114"/>
  <c r="E87" i="114"/>
  <c r="D87" i="114"/>
  <c r="C87" i="114"/>
  <c r="L86" i="114"/>
  <c r="K86" i="114"/>
  <c r="J86" i="114"/>
  <c r="I86" i="114"/>
  <c r="H86" i="114"/>
  <c r="G86" i="114"/>
  <c r="F86" i="114"/>
  <c r="E86" i="114"/>
  <c r="D86" i="114"/>
  <c r="C86" i="114"/>
  <c r="L85" i="114"/>
  <c r="K85" i="114"/>
  <c r="J85" i="114"/>
  <c r="I85" i="114"/>
  <c r="H85" i="114"/>
  <c r="G85" i="114"/>
  <c r="F85" i="114"/>
  <c r="E85" i="114"/>
  <c r="D85" i="114"/>
  <c r="C85" i="114"/>
  <c r="L84" i="114"/>
  <c r="K84" i="114"/>
  <c r="J84" i="114"/>
  <c r="I84" i="114"/>
  <c r="H84" i="114"/>
  <c r="G84" i="114"/>
  <c r="F84" i="114"/>
  <c r="E84" i="114"/>
  <c r="D84" i="114"/>
  <c r="C84" i="114"/>
  <c r="L83" i="114"/>
  <c r="K83" i="114"/>
  <c r="J83" i="114"/>
  <c r="I83" i="114"/>
  <c r="H83" i="114"/>
  <c r="G83" i="114"/>
  <c r="F83" i="114"/>
  <c r="E83" i="114"/>
  <c r="D83" i="114"/>
  <c r="C83" i="114"/>
  <c r="L82" i="114"/>
  <c r="K82" i="114"/>
  <c r="J82" i="114"/>
  <c r="I82" i="114"/>
  <c r="H82" i="114"/>
  <c r="G82" i="114"/>
  <c r="F82" i="114"/>
  <c r="E82" i="114"/>
  <c r="D82" i="114"/>
  <c r="C82" i="114"/>
  <c r="L81" i="114"/>
  <c r="K81" i="114"/>
  <c r="J81" i="114"/>
  <c r="I81" i="114"/>
  <c r="H81" i="114"/>
  <c r="G81" i="114"/>
  <c r="F81" i="114"/>
  <c r="E81" i="114"/>
  <c r="D81" i="114"/>
  <c r="C81" i="114"/>
  <c r="L80" i="114"/>
  <c r="K80" i="114"/>
  <c r="J80" i="114"/>
  <c r="I80" i="114"/>
  <c r="H80" i="114"/>
  <c r="G80" i="114"/>
  <c r="F80" i="114"/>
  <c r="E80" i="114"/>
  <c r="D80" i="114"/>
  <c r="C80" i="114"/>
  <c r="L79" i="114"/>
  <c r="K79" i="114"/>
  <c r="J79" i="114"/>
  <c r="I79" i="114"/>
  <c r="H79" i="114"/>
  <c r="G79" i="114"/>
  <c r="F79" i="114"/>
  <c r="E79" i="114"/>
  <c r="D79" i="114"/>
  <c r="C79" i="114"/>
  <c r="L78" i="114"/>
  <c r="K78" i="114"/>
  <c r="J78" i="114"/>
  <c r="I78" i="114"/>
  <c r="H78" i="114"/>
  <c r="G78" i="114"/>
  <c r="F78" i="114"/>
  <c r="E78" i="114"/>
  <c r="D78" i="114"/>
  <c r="C78" i="114"/>
  <c r="L77" i="114"/>
  <c r="K77" i="114"/>
  <c r="J77" i="114"/>
  <c r="I77" i="114"/>
  <c r="H77" i="114"/>
  <c r="G77" i="114"/>
  <c r="F77" i="114"/>
  <c r="E77" i="114"/>
  <c r="D77" i="114"/>
  <c r="C77" i="114"/>
  <c r="L76" i="114"/>
  <c r="K76" i="114"/>
  <c r="J76" i="114"/>
  <c r="I76" i="114"/>
  <c r="H76" i="114"/>
  <c r="G76" i="114"/>
  <c r="F76" i="114"/>
  <c r="E76" i="114"/>
  <c r="D76" i="114"/>
  <c r="C76" i="114"/>
  <c r="L75" i="114"/>
  <c r="K75" i="114"/>
  <c r="J75" i="114"/>
  <c r="I75" i="114"/>
  <c r="H75" i="114"/>
  <c r="G75" i="114"/>
  <c r="F75" i="114"/>
  <c r="E75" i="114"/>
  <c r="D75" i="114"/>
  <c r="C75" i="114"/>
  <c r="L74" i="114"/>
  <c r="K74" i="114"/>
  <c r="J74" i="114"/>
  <c r="I74" i="114"/>
  <c r="H74" i="114"/>
  <c r="G74" i="114"/>
  <c r="F74" i="114"/>
  <c r="E74" i="114"/>
  <c r="D74" i="114"/>
  <c r="C74" i="114"/>
  <c r="L73" i="114"/>
  <c r="K73" i="114"/>
  <c r="J73" i="114"/>
  <c r="I73" i="114"/>
  <c r="H73" i="114"/>
  <c r="G73" i="114"/>
  <c r="F73" i="114"/>
  <c r="E73" i="114"/>
  <c r="D73" i="114"/>
  <c r="C73" i="114"/>
  <c r="L72" i="114"/>
  <c r="K72" i="114"/>
  <c r="J72" i="114"/>
  <c r="I72" i="114"/>
  <c r="H72" i="114"/>
  <c r="G72" i="114"/>
  <c r="F72" i="114"/>
  <c r="E72" i="114"/>
  <c r="D72" i="114"/>
  <c r="C72" i="114"/>
  <c r="L71" i="114"/>
  <c r="K71" i="114"/>
  <c r="J71" i="114"/>
  <c r="I71" i="114"/>
  <c r="H71" i="114"/>
  <c r="G71" i="114"/>
  <c r="F71" i="114"/>
  <c r="E71" i="114"/>
  <c r="D71" i="114"/>
  <c r="C71" i="114"/>
  <c r="L70" i="114"/>
  <c r="K70" i="114"/>
  <c r="J70" i="114"/>
  <c r="I70" i="114"/>
  <c r="H70" i="114"/>
  <c r="G70" i="114"/>
  <c r="F70" i="114"/>
  <c r="E70" i="114"/>
  <c r="D70" i="114"/>
  <c r="C70" i="114"/>
  <c r="L69" i="114"/>
  <c r="K69" i="114"/>
  <c r="J69" i="114"/>
  <c r="I69" i="114"/>
  <c r="H69" i="114"/>
  <c r="G69" i="114"/>
  <c r="F69" i="114"/>
  <c r="E69" i="114"/>
  <c r="D69" i="114"/>
  <c r="C69" i="114"/>
  <c r="L68" i="114"/>
  <c r="K68" i="114"/>
  <c r="J68" i="114"/>
  <c r="I68" i="114"/>
  <c r="H68" i="114"/>
  <c r="G68" i="114"/>
  <c r="F68" i="114"/>
  <c r="E68" i="114"/>
  <c r="D68" i="114"/>
  <c r="C68" i="114"/>
  <c r="L67" i="114"/>
  <c r="K67" i="114"/>
  <c r="J67" i="114"/>
  <c r="I67" i="114"/>
  <c r="H67" i="114"/>
  <c r="G67" i="114"/>
  <c r="F67" i="114"/>
  <c r="E67" i="114"/>
  <c r="D67" i="114"/>
  <c r="C67" i="114"/>
  <c r="L66" i="114"/>
  <c r="K66" i="114"/>
  <c r="J66" i="114"/>
  <c r="I66" i="114"/>
  <c r="H66" i="114"/>
  <c r="G66" i="114"/>
  <c r="F66" i="114"/>
  <c r="E66" i="114"/>
  <c r="D66" i="114"/>
  <c r="C66" i="114"/>
  <c r="L65" i="114"/>
  <c r="K65" i="114"/>
  <c r="J65" i="114"/>
  <c r="I65" i="114"/>
  <c r="H65" i="114"/>
  <c r="G65" i="114"/>
  <c r="F65" i="114"/>
  <c r="E65" i="114"/>
  <c r="D65" i="114"/>
  <c r="C65" i="114"/>
  <c r="L64" i="114"/>
  <c r="K64" i="114"/>
  <c r="J64" i="114"/>
  <c r="I64" i="114"/>
  <c r="H64" i="114"/>
  <c r="G64" i="114"/>
  <c r="F64" i="114"/>
  <c r="E64" i="114"/>
  <c r="D64" i="114"/>
  <c r="C64" i="114"/>
  <c r="L63" i="114"/>
  <c r="K63" i="114"/>
  <c r="J63" i="114"/>
  <c r="I63" i="114"/>
  <c r="H63" i="114"/>
  <c r="G63" i="114"/>
  <c r="F63" i="114"/>
  <c r="E63" i="114"/>
  <c r="D63" i="114"/>
  <c r="C63" i="114"/>
  <c r="L62" i="114"/>
  <c r="K62" i="114"/>
  <c r="J62" i="114"/>
  <c r="I62" i="114"/>
  <c r="H62" i="114"/>
  <c r="G62" i="114"/>
  <c r="F62" i="114"/>
  <c r="E62" i="114"/>
  <c r="D62" i="114"/>
  <c r="C62" i="114"/>
  <c r="L61" i="114"/>
  <c r="K61" i="114"/>
  <c r="J61" i="114"/>
  <c r="I61" i="114"/>
  <c r="H61" i="114"/>
  <c r="G61" i="114"/>
  <c r="F61" i="114"/>
  <c r="E61" i="114"/>
  <c r="D61" i="114"/>
  <c r="C61" i="114"/>
  <c r="L60" i="114"/>
  <c r="K60" i="114"/>
  <c r="J60" i="114"/>
  <c r="I60" i="114"/>
  <c r="H60" i="114"/>
  <c r="G60" i="114"/>
  <c r="F60" i="114"/>
  <c r="E60" i="114"/>
  <c r="D60" i="114"/>
  <c r="C60" i="114"/>
  <c r="L59" i="114"/>
  <c r="K59" i="114"/>
  <c r="J59" i="114"/>
  <c r="I59" i="114"/>
  <c r="H59" i="114"/>
  <c r="G59" i="114"/>
  <c r="F59" i="114"/>
  <c r="E59" i="114"/>
  <c r="D59" i="114"/>
  <c r="C59" i="114"/>
  <c r="L58" i="114"/>
  <c r="K58" i="114"/>
  <c r="J58" i="114"/>
  <c r="I58" i="114"/>
  <c r="H58" i="114"/>
  <c r="G58" i="114"/>
  <c r="F58" i="114"/>
  <c r="E58" i="114"/>
  <c r="D58" i="114"/>
  <c r="C58" i="114"/>
  <c r="L57" i="114"/>
  <c r="K57" i="114"/>
  <c r="J57" i="114"/>
  <c r="I57" i="114"/>
  <c r="H57" i="114"/>
  <c r="G57" i="114"/>
  <c r="F57" i="114"/>
  <c r="E57" i="114"/>
  <c r="D57" i="114"/>
  <c r="C57" i="114"/>
  <c r="L56" i="114"/>
  <c r="K56" i="114"/>
  <c r="J56" i="114"/>
  <c r="I56" i="114"/>
  <c r="H56" i="114"/>
  <c r="G56" i="114"/>
  <c r="F56" i="114"/>
  <c r="E56" i="114"/>
  <c r="D56" i="114"/>
  <c r="C56" i="114"/>
  <c r="L55" i="114"/>
  <c r="K55" i="114"/>
  <c r="J55" i="114"/>
  <c r="I55" i="114"/>
  <c r="H55" i="114"/>
  <c r="G55" i="114"/>
  <c r="F55" i="114"/>
  <c r="E55" i="114"/>
  <c r="D55" i="114"/>
  <c r="C55" i="114"/>
  <c r="L54" i="114"/>
  <c r="K54" i="114"/>
  <c r="J54" i="114"/>
  <c r="I54" i="114"/>
  <c r="H54" i="114"/>
  <c r="G54" i="114"/>
  <c r="F54" i="114"/>
  <c r="E54" i="114"/>
  <c r="D54" i="114"/>
  <c r="C54" i="114"/>
  <c r="L53" i="114"/>
  <c r="K53" i="114"/>
  <c r="J53" i="114"/>
  <c r="I53" i="114"/>
  <c r="H53" i="114"/>
  <c r="G53" i="114"/>
  <c r="F53" i="114"/>
  <c r="E53" i="114"/>
  <c r="D53" i="114"/>
  <c r="C53" i="114"/>
  <c r="L52" i="114"/>
  <c r="K52" i="114"/>
  <c r="J52" i="114"/>
  <c r="I52" i="114"/>
  <c r="H52" i="114"/>
  <c r="G52" i="114"/>
  <c r="F52" i="114"/>
  <c r="E52" i="114"/>
  <c r="D52" i="114"/>
  <c r="C52" i="114"/>
  <c r="L51" i="114"/>
  <c r="K51" i="114"/>
  <c r="J51" i="114"/>
  <c r="I51" i="114"/>
  <c r="H51" i="114"/>
  <c r="G51" i="114"/>
  <c r="F51" i="114"/>
  <c r="E51" i="114"/>
  <c r="D51" i="114"/>
  <c r="C51" i="114"/>
  <c r="L50" i="114"/>
  <c r="K50" i="114"/>
  <c r="J50" i="114"/>
  <c r="I50" i="114"/>
  <c r="H50" i="114"/>
  <c r="G50" i="114"/>
  <c r="F50" i="114"/>
  <c r="E50" i="114"/>
  <c r="D50" i="114"/>
  <c r="C50" i="114"/>
  <c r="L49" i="114"/>
  <c r="K49" i="114"/>
  <c r="J49" i="114"/>
  <c r="I49" i="114"/>
  <c r="H49" i="114"/>
  <c r="G49" i="114"/>
  <c r="F49" i="114"/>
  <c r="E49" i="114"/>
  <c r="D49" i="114"/>
  <c r="C49" i="114"/>
  <c r="L48" i="114"/>
  <c r="K48" i="114"/>
  <c r="J48" i="114"/>
  <c r="I48" i="114"/>
  <c r="H48" i="114"/>
  <c r="G48" i="114"/>
  <c r="F48" i="114"/>
  <c r="E48" i="114"/>
  <c r="D48" i="114"/>
  <c r="C48" i="114"/>
  <c r="L47" i="114"/>
  <c r="K47" i="114"/>
  <c r="J47" i="114"/>
  <c r="I47" i="114"/>
  <c r="H47" i="114"/>
  <c r="G47" i="114"/>
  <c r="F47" i="114"/>
  <c r="E47" i="114"/>
  <c r="D47" i="114"/>
  <c r="C47" i="114"/>
  <c r="L46" i="114"/>
  <c r="K46" i="114"/>
  <c r="J46" i="114"/>
  <c r="I46" i="114"/>
  <c r="H46" i="114"/>
  <c r="G46" i="114"/>
  <c r="F46" i="114"/>
  <c r="E46" i="114"/>
  <c r="D46" i="114"/>
  <c r="C46" i="114"/>
  <c r="L45" i="114"/>
  <c r="K45" i="114"/>
  <c r="J45" i="114"/>
  <c r="I45" i="114"/>
  <c r="H45" i="114"/>
  <c r="G45" i="114"/>
  <c r="F45" i="114"/>
  <c r="E45" i="114"/>
  <c r="D45" i="114"/>
  <c r="C45" i="114"/>
  <c r="L44" i="114"/>
  <c r="K44" i="114"/>
  <c r="J44" i="114"/>
  <c r="I44" i="114"/>
  <c r="H44" i="114"/>
  <c r="G44" i="114"/>
  <c r="F44" i="114"/>
  <c r="E44" i="114"/>
  <c r="D44" i="114"/>
  <c r="C44" i="114"/>
  <c r="L43" i="114"/>
  <c r="K43" i="114"/>
  <c r="J43" i="114"/>
  <c r="I43" i="114"/>
  <c r="H43" i="114"/>
  <c r="G43" i="114"/>
  <c r="F43" i="114"/>
  <c r="E43" i="114"/>
  <c r="D43" i="114"/>
  <c r="C43" i="114"/>
  <c r="L42" i="114"/>
  <c r="K42" i="114"/>
  <c r="J42" i="114"/>
  <c r="I42" i="114"/>
  <c r="H42" i="114"/>
  <c r="G42" i="114"/>
  <c r="F42" i="114"/>
  <c r="E42" i="114"/>
  <c r="D42" i="114"/>
  <c r="C42" i="114"/>
  <c r="L41" i="114"/>
  <c r="K41" i="114"/>
  <c r="J41" i="114"/>
  <c r="I41" i="114"/>
  <c r="H41" i="114"/>
  <c r="G41" i="114"/>
  <c r="F41" i="114"/>
  <c r="E41" i="114"/>
  <c r="D41" i="114"/>
  <c r="C41" i="114"/>
  <c r="L40" i="114"/>
  <c r="K40" i="114"/>
  <c r="J40" i="114"/>
  <c r="I40" i="114"/>
  <c r="H40" i="114"/>
  <c r="G40" i="114"/>
  <c r="F40" i="114"/>
  <c r="E40" i="114"/>
  <c r="D40" i="114"/>
  <c r="C40" i="114"/>
  <c r="L39" i="114"/>
  <c r="K39" i="114"/>
  <c r="J39" i="114"/>
  <c r="I39" i="114"/>
  <c r="H39" i="114"/>
  <c r="G39" i="114"/>
  <c r="F39" i="114"/>
  <c r="E39" i="114"/>
  <c r="D39" i="114"/>
  <c r="C39" i="114"/>
  <c r="L38" i="114"/>
  <c r="K38" i="114"/>
  <c r="J38" i="114"/>
  <c r="I38" i="114"/>
  <c r="H38" i="114"/>
  <c r="G38" i="114"/>
  <c r="F38" i="114"/>
  <c r="E38" i="114"/>
  <c r="D38" i="114"/>
  <c r="C38" i="114"/>
  <c r="L37" i="114"/>
  <c r="K37" i="114"/>
  <c r="J37" i="114"/>
  <c r="I37" i="114"/>
  <c r="H37" i="114"/>
  <c r="G37" i="114"/>
  <c r="F37" i="114"/>
  <c r="E37" i="114"/>
  <c r="D37" i="114"/>
  <c r="C37" i="114"/>
  <c r="L36" i="114"/>
  <c r="K36" i="114"/>
  <c r="J36" i="114"/>
  <c r="I36" i="114"/>
  <c r="H36" i="114"/>
  <c r="G36" i="114"/>
  <c r="F36" i="114"/>
  <c r="E36" i="114"/>
  <c r="D36" i="114"/>
  <c r="C36" i="114"/>
  <c r="L35" i="114"/>
  <c r="K35" i="114"/>
  <c r="J35" i="114"/>
  <c r="I35" i="114"/>
  <c r="H35" i="114"/>
  <c r="G35" i="114"/>
  <c r="F35" i="114"/>
  <c r="E35" i="114"/>
  <c r="D35" i="114"/>
  <c r="C35" i="114"/>
  <c r="L34" i="114"/>
  <c r="K34" i="114"/>
  <c r="J34" i="114"/>
  <c r="I34" i="114"/>
  <c r="H34" i="114"/>
  <c r="G34" i="114"/>
  <c r="F34" i="114"/>
  <c r="E34" i="114"/>
  <c r="D34" i="114"/>
  <c r="C34" i="114"/>
  <c r="L33" i="114"/>
  <c r="K33" i="114"/>
  <c r="J33" i="114"/>
  <c r="I33" i="114"/>
  <c r="H33" i="114"/>
  <c r="G33" i="114"/>
  <c r="F33" i="114"/>
  <c r="E33" i="114"/>
  <c r="D33" i="114"/>
  <c r="C33" i="114"/>
  <c r="L32" i="114"/>
  <c r="K32" i="114"/>
  <c r="J32" i="114"/>
  <c r="I32" i="114"/>
  <c r="H32" i="114"/>
  <c r="G32" i="114"/>
  <c r="F32" i="114"/>
  <c r="E32" i="114"/>
  <c r="D32" i="114"/>
  <c r="C32" i="114"/>
  <c r="L31" i="114"/>
  <c r="K31" i="114"/>
  <c r="J31" i="114"/>
  <c r="I31" i="114"/>
  <c r="H31" i="114"/>
  <c r="G31" i="114"/>
  <c r="F31" i="114"/>
  <c r="E31" i="114"/>
  <c r="D31" i="114"/>
  <c r="C31" i="114"/>
  <c r="L30" i="114"/>
  <c r="K30" i="114"/>
  <c r="J30" i="114"/>
  <c r="I30" i="114"/>
  <c r="H30" i="114"/>
  <c r="G30" i="114"/>
  <c r="F30" i="114"/>
  <c r="E30" i="114"/>
  <c r="D30" i="114"/>
  <c r="C30" i="114"/>
  <c r="L29" i="114"/>
  <c r="K29" i="114"/>
  <c r="J29" i="114"/>
  <c r="I29" i="114"/>
  <c r="H29" i="114"/>
  <c r="G29" i="114"/>
  <c r="F29" i="114"/>
  <c r="E29" i="114"/>
  <c r="D29" i="114"/>
  <c r="C29" i="114"/>
  <c r="L28" i="114"/>
  <c r="K28" i="114"/>
  <c r="J28" i="114"/>
  <c r="I28" i="114"/>
  <c r="H28" i="114"/>
  <c r="G28" i="114"/>
  <c r="F28" i="114"/>
  <c r="E28" i="114"/>
  <c r="D28" i="114"/>
  <c r="C28" i="114"/>
  <c r="L27" i="114"/>
  <c r="K27" i="114"/>
  <c r="J27" i="114"/>
  <c r="I27" i="114"/>
  <c r="H27" i="114"/>
  <c r="G27" i="114"/>
  <c r="F27" i="114"/>
  <c r="E27" i="114"/>
  <c r="D27" i="114"/>
  <c r="C27" i="114"/>
  <c r="L26" i="114"/>
  <c r="K26" i="114"/>
  <c r="J26" i="114"/>
  <c r="I26" i="114"/>
  <c r="H26" i="114"/>
  <c r="G26" i="114"/>
  <c r="F26" i="114"/>
  <c r="E26" i="114"/>
  <c r="D26" i="114"/>
  <c r="C26" i="114"/>
  <c r="L25" i="114"/>
  <c r="K25" i="114"/>
  <c r="J25" i="114"/>
  <c r="I25" i="114"/>
  <c r="H25" i="114"/>
  <c r="G25" i="114"/>
  <c r="F25" i="114"/>
  <c r="E25" i="114"/>
  <c r="D25" i="114"/>
  <c r="C25" i="114"/>
  <c r="L24" i="114"/>
  <c r="K24" i="114"/>
  <c r="J24" i="114"/>
  <c r="I24" i="114"/>
  <c r="H24" i="114"/>
  <c r="G24" i="114"/>
  <c r="F24" i="114"/>
  <c r="E24" i="114"/>
  <c r="D24" i="114"/>
  <c r="C24" i="114"/>
  <c r="L23" i="114"/>
  <c r="K23" i="114"/>
  <c r="J23" i="114"/>
  <c r="I23" i="114"/>
  <c r="H23" i="114"/>
  <c r="G23" i="114"/>
  <c r="F23" i="114"/>
  <c r="E23" i="114"/>
  <c r="D23" i="114"/>
  <c r="C23" i="114"/>
  <c r="L22" i="114"/>
  <c r="K22" i="114"/>
  <c r="J22" i="114"/>
  <c r="I22" i="114"/>
  <c r="H22" i="114"/>
  <c r="G22" i="114"/>
  <c r="F22" i="114"/>
  <c r="E22" i="114"/>
  <c r="D22" i="114"/>
  <c r="C22" i="114"/>
  <c r="L21" i="114"/>
  <c r="K21" i="114"/>
  <c r="J21" i="114"/>
  <c r="I21" i="114"/>
  <c r="H21" i="114"/>
  <c r="G21" i="114"/>
  <c r="F21" i="114"/>
  <c r="E21" i="114"/>
  <c r="D21" i="114"/>
  <c r="C21" i="114"/>
  <c r="L20" i="114"/>
  <c r="K20" i="114"/>
  <c r="J20" i="114"/>
  <c r="I20" i="114"/>
  <c r="H20" i="114"/>
  <c r="G20" i="114"/>
  <c r="F20" i="114"/>
  <c r="E20" i="114"/>
  <c r="D20" i="114"/>
  <c r="C20" i="114"/>
  <c r="L19" i="114"/>
  <c r="K19" i="114"/>
  <c r="J19" i="114"/>
  <c r="I19" i="114"/>
  <c r="H19" i="114"/>
  <c r="G19" i="114"/>
  <c r="F19" i="114"/>
  <c r="E19" i="114"/>
  <c r="D19" i="114"/>
  <c r="C19" i="114"/>
  <c r="L18" i="114"/>
  <c r="K18" i="114"/>
  <c r="J18" i="114"/>
  <c r="I18" i="114"/>
  <c r="H18" i="114"/>
  <c r="G18" i="114"/>
  <c r="F18" i="114"/>
  <c r="E18" i="114"/>
  <c r="D18" i="114"/>
  <c r="C18" i="114"/>
  <c r="L17" i="114"/>
  <c r="K17" i="114"/>
  <c r="J17" i="114"/>
  <c r="I17" i="114"/>
  <c r="H17" i="114"/>
  <c r="G17" i="114"/>
  <c r="F17" i="114"/>
  <c r="E17" i="114"/>
  <c r="D17" i="114"/>
  <c r="C17" i="114"/>
  <c r="L16" i="114"/>
  <c r="K16" i="114"/>
  <c r="J16" i="114"/>
  <c r="I16" i="114"/>
  <c r="H16" i="114"/>
  <c r="G16" i="114"/>
  <c r="F16" i="114"/>
  <c r="E16" i="114"/>
  <c r="D16" i="114"/>
  <c r="C16" i="114"/>
  <c r="L15" i="114"/>
  <c r="K15" i="114"/>
  <c r="J15" i="114"/>
  <c r="I15" i="114"/>
  <c r="H15" i="114"/>
  <c r="G15" i="114"/>
  <c r="F15" i="114"/>
  <c r="E15" i="114"/>
  <c r="D15" i="114"/>
  <c r="C15" i="114"/>
  <c r="L14" i="114"/>
  <c r="K14" i="114"/>
  <c r="J14" i="114"/>
  <c r="I14" i="114"/>
  <c r="H14" i="114"/>
  <c r="G14" i="114"/>
  <c r="F14" i="114"/>
  <c r="E14" i="114"/>
  <c r="D14" i="114"/>
  <c r="C14" i="114"/>
  <c r="L13" i="114"/>
  <c r="K13" i="114"/>
  <c r="J13" i="114"/>
  <c r="I13" i="114"/>
  <c r="H13" i="114"/>
  <c r="G13" i="114"/>
  <c r="F13" i="114"/>
  <c r="E13" i="114"/>
  <c r="D13" i="114"/>
  <c r="C13" i="114"/>
  <c r="L12" i="114"/>
  <c r="K12" i="114"/>
  <c r="J12" i="114"/>
  <c r="I12" i="114"/>
  <c r="H12" i="114"/>
  <c r="G12" i="114"/>
  <c r="F12" i="114"/>
  <c r="E12" i="114"/>
  <c r="D12" i="114"/>
  <c r="C12" i="114"/>
  <c r="L11" i="114"/>
  <c r="K11" i="114"/>
  <c r="J11" i="114"/>
  <c r="I11" i="114"/>
  <c r="H11" i="114"/>
  <c r="G11" i="114"/>
  <c r="F11" i="114"/>
  <c r="E11" i="114"/>
  <c r="D11" i="114"/>
  <c r="C11" i="114"/>
  <c r="L10" i="114"/>
  <c r="K10" i="114"/>
  <c r="J10" i="114"/>
  <c r="I10" i="114"/>
  <c r="H10" i="114"/>
  <c r="G10" i="114"/>
  <c r="F10" i="114"/>
  <c r="E10" i="114"/>
  <c r="D10" i="114"/>
  <c r="C10" i="114"/>
  <c r="L9" i="114"/>
  <c r="K9" i="114"/>
  <c r="J9" i="114"/>
  <c r="I9" i="114"/>
  <c r="H9" i="114"/>
  <c r="G9" i="114"/>
  <c r="F9" i="114"/>
  <c r="E9" i="114"/>
  <c r="D9" i="114"/>
  <c r="C9" i="114"/>
  <c r="L8" i="114"/>
  <c r="K8" i="114"/>
  <c r="J8" i="114"/>
  <c r="I8" i="114"/>
  <c r="H8" i="114"/>
  <c r="G8" i="114"/>
  <c r="F8" i="114"/>
  <c r="E8" i="114"/>
  <c r="D8" i="114"/>
  <c r="C8" i="114"/>
  <c r="L7" i="114"/>
  <c r="K7" i="114"/>
  <c r="J7" i="114"/>
  <c r="I7" i="114"/>
  <c r="H7" i="114"/>
  <c r="G7" i="114"/>
  <c r="F7" i="114"/>
  <c r="E7" i="114"/>
  <c r="D7" i="114"/>
  <c r="C7" i="114"/>
  <c r="L6" i="114"/>
  <c r="K6" i="114"/>
  <c r="J6" i="114"/>
  <c r="I6" i="114"/>
  <c r="H6" i="114"/>
  <c r="G6" i="114"/>
  <c r="F6" i="114"/>
  <c r="E6" i="114"/>
  <c r="D6" i="114"/>
  <c r="C6" i="114"/>
  <c r="L5" i="114"/>
  <c r="K5" i="114"/>
  <c r="J5" i="114"/>
  <c r="I5" i="114"/>
  <c r="H5" i="114"/>
  <c r="G5" i="114"/>
  <c r="F5" i="114"/>
  <c r="E5" i="114"/>
  <c r="D5" i="114"/>
  <c r="C5" i="114"/>
  <c r="L4" i="114"/>
  <c r="K4" i="114"/>
  <c r="J4" i="114"/>
  <c r="I4" i="114"/>
  <c r="H4" i="114"/>
  <c r="G4" i="114"/>
  <c r="F4" i="114"/>
  <c r="E4" i="114"/>
  <c r="D4" i="114"/>
  <c r="C4" i="114"/>
  <c r="L3" i="114"/>
  <c r="K3" i="114"/>
  <c r="J3" i="114"/>
  <c r="I3" i="114"/>
  <c r="H3" i="114"/>
  <c r="G3" i="114"/>
  <c r="F3" i="114"/>
  <c r="E3" i="114"/>
  <c r="D3" i="114"/>
  <c r="C3" i="114"/>
  <c r="L2" i="114"/>
  <c r="K2" i="114"/>
  <c r="J2" i="114"/>
  <c r="I2" i="114"/>
  <c r="H2" i="114"/>
  <c r="G2" i="114"/>
  <c r="F2" i="114"/>
  <c r="E2" i="114"/>
  <c r="D2" i="114"/>
  <c r="C2" i="114"/>
  <c r="L101" i="113"/>
  <c r="K101" i="113"/>
  <c r="J101" i="113"/>
  <c r="I101" i="113"/>
  <c r="H101" i="113"/>
  <c r="G101" i="113"/>
  <c r="F101" i="113"/>
  <c r="E101" i="113"/>
  <c r="D101" i="113"/>
  <c r="C101" i="113"/>
  <c r="L100" i="113"/>
  <c r="K100" i="113"/>
  <c r="J100" i="113"/>
  <c r="I100" i="113"/>
  <c r="H100" i="113"/>
  <c r="G100" i="113"/>
  <c r="F100" i="113"/>
  <c r="E100" i="113"/>
  <c r="D100" i="113"/>
  <c r="C100" i="113"/>
  <c r="L99" i="113"/>
  <c r="K99" i="113"/>
  <c r="J99" i="113"/>
  <c r="I99" i="113"/>
  <c r="H99" i="113"/>
  <c r="G99" i="113"/>
  <c r="F99" i="113"/>
  <c r="E99" i="113"/>
  <c r="D99" i="113"/>
  <c r="C99" i="113"/>
  <c r="L98" i="113"/>
  <c r="K98" i="113"/>
  <c r="J98" i="113"/>
  <c r="I98" i="113"/>
  <c r="H98" i="113"/>
  <c r="G98" i="113"/>
  <c r="F98" i="113"/>
  <c r="E98" i="113"/>
  <c r="D98" i="113"/>
  <c r="C98" i="113"/>
  <c r="L97" i="113"/>
  <c r="K97" i="113"/>
  <c r="J97" i="113"/>
  <c r="I97" i="113"/>
  <c r="H97" i="113"/>
  <c r="G97" i="113"/>
  <c r="F97" i="113"/>
  <c r="E97" i="113"/>
  <c r="D97" i="113"/>
  <c r="C97" i="113"/>
  <c r="L96" i="113"/>
  <c r="K96" i="113"/>
  <c r="J96" i="113"/>
  <c r="I96" i="113"/>
  <c r="H96" i="113"/>
  <c r="G96" i="113"/>
  <c r="F96" i="113"/>
  <c r="E96" i="113"/>
  <c r="D96" i="113"/>
  <c r="C96" i="113"/>
  <c r="L95" i="113"/>
  <c r="K95" i="113"/>
  <c r="J95" i="113"/>
  <c r="I95" i="113"/>
  <c r="H95" i="113"/>
  <c r="G95" i="113"/>
  <c r="F95" i="113"/>
  <c r="E95" i="113"/>
  <c r="D95" i="113"/>
  <c r="C95" i="113"/>
  <c r="L94" i="113"/>
  <c r="K94" i="113"/>
  <c r="J94" i="113"/>
  <c r="I94" i="113"/>
  <c r="H94" i="113"/>
  <c r="G94" i="113"/>
  <c r="F94" i="113"/>
  <c r="E94" i="113"/>
  <c r="D94" i="113"/>
  <c r="C94" i="113"/>
  <c r="L93" i="113"/>
  <c r="K93" i="113"/>
  <c r="J93" i="113"/>
  <c r="I93" i="113"/>
  <c r="H93" i="113"/>
  <c r="G93" i="113"/>
  <c r="F93" i="113"/>
  <c r="E93" i="113"/>
  <c r="D93" i="113"/>
  <c r="C93" i="113"/>
  <c r="L92" i="113"/>
  <c r="K92" i="113"/>
  <c r="J92" i="113"/>
  <c r="I92" i="113"/>
  <c r="H92" i="113"/>
  <c r="G92" i="113"/>
  <c r="F92" i="113"/>
  <c r="E92" i="113"/>
  <c r="D92" i="113"/>
  <c r="C92" i="113"/>
  <c r="L91" i="113"/>
  <c r="K91" i="113"/>
  <c r="J91" i="113"/>
  <c r="I91" i="113"/>
  <c r="H91" i="113"/>
  <c r="G91" i="113"/>
  <c r="F91" i="113"/>
  <c r="E91" i="113"/>
  <c r="D91" i="113"/>
  <c r="C91" i="113"/>
  <c r="L90" i="113"/>
  <c r="K90" i="113"/>
  <c r="J90" i="113"/>
  <c r="I90" i="113"/>
  <c r="H90" i="113"/>
  <c r="G90" i="113"/>
  <c r="F90" i="113"/>
  <c r="E90" i="113"/>
  <c r="D90" i="113"/>
  <c r="C90" i="113"/>
  <c r="L89" i="113"/>
  <c r="K89" i="113"/>
  <c r="J89" i="113"/>
  <c r="I89" i="113"/>
  <c r="H89" i="113"/>
  <c r="G89" i="113"/>
  <c r="F89" i="113"/>
  <c r="E89" i="113"/>
  <c r="D89" i="113"/>
  <c r="C89" i="113"/>
  <c r="L88" i="113"/>
  <c r="K88" i="113"/>
  <c r="J88" i="113"/>
  <c r="I88" i="113"/>
  <c r="H88" i="113"/>
  <c r="G88" i="113"/>
  <c r="F88" i="113"/>
  <c r="E88" i="113"/>
  <c r="D88" i="113"/>
  <c r="C88" i="113"/>
  <c r="L87" i="113"/>
  <c r="K87" i="113"/>
  <c r="J87" i="113"/>
  <c r="I87" i="113"/>
  <c r="H87" i="113"/>
  <c r="G87" i="113"/>
  <c r="F87" i="113"/>
  <c r="E87" i="113"/>
  <c r="D87" i="113"/>
  <c r="C87" i="113"/>
  <c r="L86" i="113"/>
  <c r="K86" i="113"/>
  <c r="J86" i="113"/>
  <c r="I86" i="113"/>
  <c r="H86" i="113"/>
  <c r="G86" i="113"/>
  <c r="F86" i="113"/>
  <c r="E86" i="113"/>
  <c r="D86" i="113"/>
  <c r="C86" i="113"/>
  <c r="L85" i="113"/>
  <c r="K85" i="113"/>
  <c r="J85" i="113"/>
  <c r="I85" i="113"/>
  <c r="H85" i="113"/>
  <c r="G85" i="113"/>
  <c r="F85" i="113"/>
  <c r="E85" i="113"/>
  <c r="D85" i="113"/>
  <c r="C85" i="113"/>
  <c r="L84" i="113"/>
  <c r="K84" i="113"/>
  <c r="J84" i="113"/>
  <c r="I84" i="113"/>
  <c r="H84" i="113"/>
  <c r="G84" i="113"/>
  <c r="F84" i="113"/>
  <c r="E84" i="113"/>
  <c r="D84" i="113"/>
  <c r="C84" i="113"/>
  <c r="L83" i="113"/>
  <c r="K83" i="113"/>
  <c r="J83" i="113"/>
  <c r="I83" i="113"/>
  <c r="H83" i="113"/>
  <c r="G83" i="113"/>
  <c r="F83" i="113"/>
  <c r="E83" i="113"/>
  <c r="D83" i="113"/>
  <c r="C83" i="113"/>
  <c r="L82" i="113"/>
  <c r="K82" i="113"/>
  <c r="J82" i="113"/>
  <c r="I82" i="113"/>
  <c r="H82" i="113"/>
  <c r="G82" i="113"/>
  <c r="F82" i="113"/>
  <c r="E82" i="113"/>
  <c r="D82" i="113"/>
  <c r="C82" i="113"/>
  <c r="L81" i="113"/>
  <c r="K81" i="113"/>
  <c r="J81" i="113"/>
  <c r="I81" i="113"/>
  <c r="H81" i="113"/>
  <c r="G81" i="113"/>
  <c r="F81" i="113"/>
  <c r="E81" i="113"/>
  <c r="D81" i="113"/>
  <c r="C81" i="113"/>
  <c r="L80" i="113"/>
  <c r="K80" i="113"/>
  <c r="J80" i="113"/>
  <c r="I80" i="113"/>
  <c r="H80" i="113"/>
  <c r="G80" i="113"/>
  <c r="F80" i="113"/>
  <c r="E80" i="113"/>
  <c r="D80" i="113"/>
  <c r="C80" i="113"/>
  <c r="L79" i="113"/>
  <c r="K79" i="113"/>
  <c r="J79" i="113"/>
  <c r="I79" i="113"/>
  <c r="H79" i="113"/>
  <c r="G79" i="113"/>
  <c r="F79" i="113"/>
  <c r="E79" i="113"/>
  <c r="D79" i="113"/>
  <c r="C79" i="113"/>
  <c r="L78" i="113"/>
  <c r="K78" i="113"/>
  <c r="J78" i="113"/>
  <c r="I78" i="113"/>
  <c r="H78" i="113"/>
  <c r="G78" i="113"/>
  <c r="F78" i="113"/>
  <c r="E78" i="113"/>
  <c r="D78" i="113"/>
  <c r="C78" i="113"/>
  <c r="L77" i="113"/>
  <c r="K77" i="113"/>
  <c r="J77" i="113"/>
  <c r="I77" i="113"/>
  <c r="H77" i="113"/>
  <c r="G77" i="113"/>
  <c r="F77" i="113"/>
  <c r="E77" i="113"/>
  <c r="D77" i="113"/>
  <c r="C77" i="113"/>
  <c r="L76" i="113"/>
  <c r="K76" i="113"/>
  <c r="J76" i="113"/>
  <c r="I76" i="113"/>
  <c r="H76" i="113"/>
  <c r="G76" i="113"/>
  <c r="F76" i="113"/>
  <c r="E76" i="113"/>
  <c r="D76" i="113"/>
  <c r="C76" i="113"/>
  <c r="L75" i="113"/>
  <c r="K75" i="113"/>
  <c r="J75" i="113"/>
  <c r="I75" i="113"/>
  <c r="H75" i="113"/>
  <c r="G75" i="113"/>
  <c r="F75" i="113"/>
  <c r="E75" i="113"/>
  <c r="D75" i="113"/>
  <c r="C75" i="113"/>
  <c r="L74" i="113"/>
  <c r="K74" i="113"/>
  <c r="J74" i="113"/>
  <c r="I74" i="113"/>
  <c r="H74" i="113"/>
  <c r="G74" i="113"/>
  <c r="F74" i="113"/>
  <c r="E74" i="113"/>
  <c r="D74" i="113"/>
  <c r="C74" i="113"/>
  <c r="L73" i="113"/>
  <c r="K73" i="113"/>
  <c r="J73" i="113"/>
  <c r="I73" i="113"/>
  <c r="H73" i="113"/>
  <c r="G73" i="113"/>
  <c r="F73" i="113"/>
  <c r="E73" i="113"/>
  <c r="D73" i="113"/>
  <c r="C73" i="113"/>
  <c r="L72" i="113"/>
  <c r="K72" i="113"/>
  <c r="J72" i="113"/>
  <c r="I72" i="113"/>
  <c r="H72" i="113"/>
  <c r="G72" i="113"/>
  <c r="F72" i="113"/>
  <c r="E72" i="113"/>
  <c r="D72" i="113"/>
  <c r="C72" i="113"/>
  <c r="L71" i="113"/>
  <c r="K71" i="113"/>
  <c r="J71" i="113"/>
  <c r="I71" i="113"/>
  <c r="H71" i="113"/>
  <c r="G71" i="113"/>
  <c r="F71" i="113"/>
  <c r="E71" i="113"/>
  <c r="D71" i="113"/>
  <c r="C71" i="113"/>
  <c r="L70" i="113"/>
  <c r="K70" i="113"/>
  <c r="J70" i="113"/>
  <c r="I70" i="113"/>
  <c r="H70" i="113"/>
  <c r="G70" i="113"/>
  <c r="F70" i="113"/>
  <c r="E70" i="113"/>
  <c r="D70" i="113"/>
  <c r="C70" i="113"/>
  <c r="L69" i="113"/>
  <c r="K69" i="113"/>
  <c r="J69" i="113"/>
  <c r="I69" i="113"/>
  <c r="H69" i="113"/>
  <c r="G69" i="113"/>
  <c r="F69" i="113"/>
  <c r="E69" i="113"/>
  <c r="D69" i="113"/>
  <c r="C69" i="113"/>
  <c r="L68" i="113"/>
  <c r="K68" i="113"/>
  <c r="J68" i="113"/>
  <c r="I68" i="113"/>
  <c r="H68" i="113"/>
  <c r="G68" i="113"/>
  <c r="F68" i="113"/>
  <c r="E68" i="113"/>
  <c r="D68" i="113"/>
  <c r="C68" i="113"/>
  <c r="L67" i="113"/>
  <c r="K67" i="113"/>
  <c r="J67" i="113"/>
  <c r="I67" i="113"/>
  <c r="H67" i="113"/>
  <c r="G67" i="113"/>
  <c r="F67" i="113"/>
  <c r="E67" i="113"/>
  <c r="D67" i="113"/>
  <c r="C67" i="113"/>
  <c r="L66" i="113"/>
  <c r="K66" i="113"/>
  <c r="J66" i="113"/>
  <c r="I66" i="113"/>
  <c r="H66" i="113"/>
  <c r="G66" i="113"/>
  <c r="F66" i="113"/>
  <c r="E66" i="113"/>
  <c r="D66" i="113"/>
  <c r="C66" i="113"/>
  <c r="L65" i="113"/>
  <c r="K65" i="113"/>
  <c r="J65" i="113"/>
  <c r="I65" i="113"/>
  <c r="H65" i="113"/>
  <c r="G65" i="113"/>
  <c r="F65" i="113"/>
  <c r="E65" i="113"/>
  <c r="D65" i="113"/>
  <c r="C65" i="113"/>
  <c r="L64" i="113"/>
  <c r="K64" i="113"/>
  <c r="J64" i="113"/>
  <c r="I64" i="113"/>
  <c r="H64" i="113"/>
  <c r="G64" i="113"/>
  <c r="F64" i="113"/>
  <c r="E64" i="113"/>
  <c r="D64" i="113"/>
  <c r="C64" i="113"/>
  <c r="L63" i="113"/>
  <c r="K63" i="113"/>
  <c r="J63" i="113"/>
  <c r="I63" i="113"/>
  <c r="H63" i="113"/>
  <c r="G63" i="113"/>
  <c r="F63" i="113"/>
  <c r="E63" i="113"/>
  <c r="D63" i="113"/>
  <c r="C63" i="113"/>
  <c r="L62" i="113"/>
  <c r="K62" i="113"/>
  <c r="J62" i="113"/>
  <c r="I62" i="113"/>
  <c r="H62" i="113"/>
  <c r="G62" i="113"/>
  <c r="F62" i="113"/>
  <c r="E62" i="113"/>
  <c r="D62" i="113"/>
  <c r="C62" i="113"/>
  <c r="L61" i="113"/>
  <c r="K61" i="113"/>
  <c r="J61" i="113"/>
  <c r="I61" i="113"/>
  <c r="H61" i="113"/>
  <c r="G61" i="113"/>
  <c r="F61" i="113"/>
  <c r="E61" i="113"/>
  <c r="D61" i="113"/>
  <c r="C61" i="113"/>
  <c r="L60" i="113"/>
  <c r="K60" i="113"/>
  <c r="J60" i="113"/>
  <c r="I60" i="113"/>
  <c r="H60" i="113"/>
  <c r="G60" i="113"/>
  <c r="F60" i="113"/>
  <c r="E60" i="113"/>
  <c r="D60" i="113"/>
  <c r="C60" i="113"/>
  <c r="L59" i="113"/>
  <c r="K59" i="113"/>
  <c r="J59" i="113"/>
  <c r="I59" i="113"/>
  <c r="H59" i="113"/>
  <c r="G59" i="113"/>
  <c r="F59" i="113"/>
  <c r="E59" i="113"/>
  <c r="D59" i="113"/>
  <c r="C59" i="113"/>
  <c r="L58" i="113"/>
  <c r="K58" i="113"/>
  <c r="J58" i="113"/>
  <c r="I58" i="113"/>
  <c r="H58" i="113"/>
  <c r="G58" i="113"/>
  <c r="F58" i="113"/>
  <c r="E58" i="113"/>
  <c r="D58" i="113"/>
  <c r="C58" i="113"/>
  <c r="L57" i="113"/>
  <c r="K57" i="113"/>
  <c r="J57" i="113"/>
  <c r="I57" i="113"/>
  <c r="H57" i="113"/>
  <c r="G57" i="113"/>
  <c r="F57" i="113"/>
  <c r="E57" i="113"/>
  <c r="D57" i="113"/>
  <c r="C57" i="113"/>
  <c r="L56" i="113"/>
  <c r="K56" i="113"/>
  <c r="J56" i="113"/>
  <c r="I56" i="113"/>
  <c r="H56" i="113"/>
  <c r="G56" i="113"/>
  <c r="F56" i="113"/>
  <c r="E56" i="113"/>
  <c r="D56" i="113"/>
  <c r="C56" i="113"/>
  <c r="L55" i="113"/>
  <c r="K55" i="113"/>
  <c r="J55" i="113"/>
  <c r="I55" i="113"/>
  <c r="H55" i="113"/>
  <c r="G55" i="113"/>
  <c r="F55" i="113"/>
  <c r="E55" i="113"/>
  <c r="D55" i="113"/>
  <c r="C55" i="113"/>
  <c r="L54" i="113"/>
  <c r="K54" i="113"/>
  <c r="J54" i="113"/>
  <c r="I54" i="113"/>
  <c r="H54" i="113"/>
  <c r="G54" i="113"/>
  <c r="F54" i="113"/>
  <c r="E54" i="113"/>
  <c r="D54" i="113"/>
  <c r="C54" i="113"/>
  <c r="L53" i="113"/>
  <c r="K53" i="113"/>
  <c r="J53" i="113"/>
  <c r="I53" i="113"/>
  <c r="H53" i="113"/>
  <c r="G53" i="113"/>
  <c r="F53" i="113"/>
  <c r="E53" i="113"/>
  <c r="D53" i="113"/>
  <c r="C53" i="113"/>
  <c r="L52" i="113"/>
  <c r="K52" i="113"/>
  <c r="J52" i="113"/>
  <c r="I52" i="113"/>
  <c r="H52" i="113"/>
  <c r="G52" i="113"/>
  <c r="F52" i="113"/>
  <c r="E52" i="113"/>
  <c r="D52" i="113"/>
  <c r="C52" i="113"/>
  <c r="L51" i="113"/>
  <c r="K51" i="113"/>
  <c r="J51" i="113"/>
  <c r="I51" i="113"/>
  <c r="H51" i="113"/>
  <c r="G51" i="113"/>
  <c r="F51" i="113"/>
  <c r="E51" i="113"/>
  <c r="D51" i="113"/>
  <c r="C51" i="113"/>
  <c r="L50" i="113"/>
  <c r="K50" i="113"/>
  <c r="J50" i="113"/>
  <c r="I50" i="113"/>
  <c r="H50" i="113"/>
  <c r="G50" i="113"/>
  <c r="F50" i="113"/>
  <c r="E50" i="113"/>
  <c r="D50" i="113"/>
  <c r="C50" i="113"/>
  <c r="L49" i="113"/>
  <c r="K49" i="113"/>
  <c r="J49" i="113"/>
  <c r="I49" i="113"/>
  <c r="H49" i="113"/>
  <c r="G49" i="113"/>
  <c r="F49" i="113"/>
  <c r="E49" i="113"/>
  <c r="D49" i="113"/>
  <c r="C49" i="113"/>
  <c r="L48" i="113"/>
  <c r="K48" i="113"/>
  <c r="J48" i="113"/>
  <c r="I48" i="113"/>
  <c r="H48" i="113"/>
  <c r="G48" i="113"/>
  <c r="F48" i="113"/>
  <c r="E48" i="113"/>
  <c r="D48" i="113"/>
  <c r="C48" i="113"/>
  <c r="L47" i="113"/>
  <c r="K47" i="113"/>
  <c r="J47" i="113"/>
  <c r="I47" i="113"/>
  <c r="H47" i="113"/>
  <c r="G47" i="113"/>
  <c r="F47" i="113"/>
  <c r="E47" i="113"/>
  <c r="D47" i="113"/>
  <c r="C47" i="113"/>
  <c r="L46" i="113"/>
  <c r="K46" i="113"/>
  <c r="J46" i="113"/>
  <c r="I46" i="113"/>
  <c r="H46" i="113"/>
  <c r="G46" i="113"/>
  <c r="F46" i="113"/>
  <c r="E46" i="113"/>
  <c r="D46" i="113"/>
  <c r="C46" i="113"/>
  <c r="L45" i="113"/>
  <c r="K45" i="113"/>
  <c r="J45" i="113"/>
  <c r="I45" i="113"/>
  <c r="H45" i="113"/>
  <c r="G45" i="113"/>
  <c r="F45" i="113"/>
  <c r="E45" i="113"/>
  <c r="D45" i="113"/>
  <c r="C45" i="113"/>
  <c r="L44" i="113"/>
  <c r="K44" i="113"/>
  <c r="J44" i="113"/>
  <c r="I44" i="113"/>
  <c r="H44" i="113"/>
  <c r="G44" i="113"/>
  <c r="F44" i="113"/>
  <c r="E44" i="113"/>
  <c r="D44" i="113"/>
  <c r="C44" i="113"/>
  <c r="L43" i="113"/>
  <c r="K43" i="113"/>
  <c r="J43" i="113"/>
  <c r="I43" i="113"/>
  <c r="H43" i="113"/>
  <c r="G43" i="113"/>
  <c r="F43" i="113"/>
  <c r="E43" i="113"/>
  <c r="D43" i="113"/>
  <c r="C43" i="113"/>
  <c r="L42" i="113"/>
  <c r="K42" i="113"/>
  <c r="J42" i="113"/>
  <c r="I42" i="113"/>
  <c r="H42" i="113"/>
  <c r="G42" i="113"/>
  <c r="F42" i="113"/>
  <c r="E42" i="113"/>
  <c r="D42" i="113"/>
  <c r="C42" i="113"/>
  <c r="L41" i="113"/>
  <c r="K41" i="113"/>
  <c r="J41" i="113"/>
  <c r="I41" i="113"/>
  <c r="H41" i="113"/>
  <c r="G41" i="113"/>
  <c r="F41" i="113"/>
  <c r="E41" i="113"/>
  <c r="D41" i="113"/>
  <c r="C41" i="113"/>
  <c r="L40" i="113"/>
  <c r="K40" i="113"/>
  <c r="J40" i="113"/>
  <c r="I40" i="113"/>
  <c r="H40" i="113"/>
  <c r="G40" i="113"/>
  <c r="F40" i="113"/>
  <c r="E40" i="113"/>
  <c r="D40" i="113"/>
  <c r="C40" i="113"/>
  <c r="L39" i="113"/>
  <c r="K39" i="113"/>
  <c r="J39" i="113"/>
  <c r="I39" i="113"/>
  <c r="H39" i="113"/>
  <c r="G39" i="113"/>
  <c r="F39" i="113"/>
  <c r="E39" i="113"/>
  <c r="D39" i="113"/>
  <c r="C39" i="113"/>
  <c r="L38" i="113"/>
  <c r="K38" i="113"/>
  <c r="J38" i="113"/>
  <c r="I38" i="113"/>
  <c r="H38" i="113"/>
  <c r="G38" i="113"/>
  <c r="F38" i="113"/>
  <c r="E38" i="113"/>
  <c r="D38" i="113"/>
  <c r="C38" i="113"/>
  <c r="L37" i="113"/>
  <c r="K37" i="113"/>
  <c r="J37" i="113"/>
  <c r="I37" i="113"/>
  <c r="H37" i="113"/>
  <c r="G37" i="113"/>
  <c r="F37" i="113"/>
  <c r="E37" i="113"/>
  <c r="D37" i="113"/>
  <c r="C37" i="113"/>
  <c r="L36" i="113"/>
  <c r="K36" i="113"/>
  <c r="J36" i="113"/>
  <c r="I36" i="113"/>
  <c r="H36" i="113"/>
  <c r="G36" i="113"/>
  <c r="F36" i="113"/>
  <c r="E36" i="113"/>
  <c r="D36" i="113"/>
  <c r="C36" i="113"/>
  <c r="L35" i="113"/>
  <c r="K35" i="113"/>
  <c r="J35" i="113"/>
  <c r="I35" i="113"/>
  <c r="H35" i="113"/>
  <c r="G35" i="113"/>
  <c r="F35" i="113"/>
  <c r="E35" i="113"/>
  <c r="D35" i="113"/>
  <c r="C35" i="113"/>
  <c r="L34" i="113"/>
  <c r="K34" i="113"/>
  <c r="J34" i="113"/>
  <c r="I34" i="113"/>
  <c r="H34" i="113"/>
  <c r="G34" i="113"/>
  <c r="F34" i="113"/>
  <c r="E34" i="113"/>
  <c r="D34" i="113"/>
  <c r="C34" i="113"/>
  <c r="L33" i="113"/>
  <c r="K33" i="113"/>
  <c r="J33" i="113"/>
  <c r="I33" i="113"/>
  <c r="H33" i="113"/>
  <c r="G33" i="113"/>
  <c r="F33" i="113"/>
  <c r="E33" i="113"/>
  <c r="D33" i="113"/>
  <c r="C33" i="113"/>
  <c r="L32" i="113"/>
  <c r="K32" i="113"/>
  <c r="J32" i="113"/>
  <c r="I32" i="113"/>
  <c r="H32" i="113"/>
  <c r="G32" i="113"/>
  <c r="F32" i="113"/>
  <c r="E32" i="113"/>
  <c r="D32" i="113"/>
  <c r="C32" i="113"/>
  <c r="L31" i="113"/>
  <c r="K31" i="113"/>
  <c r="J31" i="113"/>
  <c r="I31" i="113"/>
  <c r="H31" i="113"/>
  <c r="G31" i="113"/>
  <c r="F31" i="113"/>
  <c r="E31" i="113"/>
  <c r="D31" i="113"/>
  <c r="C31" i="113"/>
  <c r="L30" i="113"/>
  <c r="K30" i="113"/>
  <c r="J30" i="113"/>
  <c r="I30" i="113"/>
  <c r="H30" i="113"/>
  <c r="G30" i="113"/>
  <c r="F30" i="113"/>
  <c r="E30" i="113"/>
  <c r="D30" i="113"/>
  <c r="C30" i="113"/>
  <c r="L29" i="113"/>
  <c r="K29" i="113"/>
  <c r="J29" i="113"/>
  <c r="I29" i="113"/>
  <c r="H29" i="113"/>
  <c r="G29" i="113"/>
  <c r="F29" i="113"/>
  <c r="E29" i="113"/>
  <c r="D29" i="113"/>
  <c r="C29" i="113"/>
  <c r="L28" i="113"/>
  <c r="K28" i="113"/>
  <c r="J28" i="113"/>
  <c r="I28" i="113"/>
  <c r="H28" i="113"/>
  <c r="G28" i="113"/>
  <c r="F28" i="113"/>
  <c r="E28" i="113"/>
  <c r="D28" i="113"/>
  <c r="C28" i="113"/>
  <c r="L27" i="113"/>
  <c r="K27" i="113"/>
  <c r="J27" i="113"/>
  <c r="I27" i="113"/>
  <c r="H27" i="113"/>
  <c r="G27" i="113"/>
  <c r="F27" i="113"/>
  <c r="E27" i="113"/>
  <c r="D27" i="113"/>
  <c r="C27" i="113"/>
  <c r="L26" i="113"/>
  <c r="K26" i="113"/>
  <c r="J26" i="113"/>
  <c r="I26" i="113"/>
  <c r="H26" i="113"/>
  <c r="G26" i="113"/>
  <c r="F26" i="113"/>
  <c r="E26" i="113"/>
  <c r="D26" i="113"/>
  <c r="C26" i="113"/>
  <c r="L25" i="113"/>
  <c r="K25" i="113"/>
  <c r="J25" i="113"/>
  <c r="I25" i="113"/>
  <c r="H25" i="113"/>
  <c r="G25" i="113"/>
  <c r="F25" i="113"/>
  <c r="E25" i="113"/>
  <c r="D25" i="113"/>
  <c r="C25" i="113"/>
  <c r="L24" i="113"/>
  <c r="K24" i="113"/>
  <c r="J24" i="113"/>
  <c r="I24" i="113"/>
  <c r="H24" i="113"/>
  <c r="G24" i="113"/>
  <c r="F24" i="113"/>
  <c r="E24" i="113"/>
  <c r="D24" i="113"/>
  <c r="C24" i="113"/>
  <c r="L23" i="113"/>
  <c r="K23" i="113"/>
  <c r="J23" i="113"/>
  <c r="I23" i="113"/>
  <c r="H23" i="113"/>
  <c r="G23" i="113"/>
  <c r="F23" i="113"/>
  <c r="E23" i="113"/>
  <c r="D23" i="113"/>
  <c r="C23" i="113"/>
  <c r="L22" i="113"/>
  <c r="K22" i="113"/>
  <c r="J22" i="113"/>
  <c r="I22" i="113"/>
  <c r="H22" i="113"/>
  <c r="G22" i="113"/>
  <c r="F22" i="113"/>
  <c r="E22" i="113"/>
  <c r="D22" i="113"/>
  <c r="C22" i="113"/>
  <c r="L21" i="113"/>
  <c r="K21" i="113"/>
  <c r="J21" i="113"/>
  <c r="I21" i="113"/>
  <c r="H21" i="113"/>
  <c r="G21" i="113"/>
  <c r="F21" i="113"/>
  <c r="E21" i="113"/>
  <c r="D21" i="113"/>
  <c r="C21" i="113"/>
  <c r="L20" i="113"/>
  <c r="K20" i="113"/>
  <c r="J20" i="113"/>
  <c r="I20" i="113"/>
  <c r="H20" i="113"/>
  <c r="G20" i="113"/>
  <c r="F20" i="113"/>
  <c r="E20" i="113"/>
  <c r="D20" i="113"/>
  <c r="C20" i="113"/>
  <c r="L19" i="113"/>
  <c r="K19" i="113"/>
  <c r="J19" i="113"/>
  <c r="I19" i="113"/>
  <c r="H19" i="113"/>
  <c r="G19" i="113"/>
  <c r="F19" i="113"/>
  <c r="E19" i="113"/>
  <c r="D19" i="113"/>
  <c r="C19" i="113"/>
  <c r="L18" i="113"/>
  <c r="K18" i="113"/>
  <c r="J18" i="113"/>
  <c r="I18" i="113"/>
  <c r="H18" i="113"/>
  <c r="G18" i="113"/>
  <c r="F18" i="113"/>
  <c r="E18" i="113"/>
  <c r="D18" i="113"/>
  <c r="C18" i="113"/>
  <c r="L17" i="113"/>
  <c r="K17" i="113"/>
  <c r="J17" i="113"/>
  <c r="I17" i="113"/>
  <c r="H17" i="113"/>
  <c r="G17" i="113"/>
  <c r="F17" i="113"/>
  <c r="E17" i="113"/>
  <c r="D17" i="113"/>
  <c r="C17" i="113"/>
  <c r="L16" i="113"/>
  <c r="K16" i="113"/>
  <c r="J16" i="113"/>
  <c r="I16" i="113"/>
  <c r="H16" i="113"/>
  <c r="G16" i="113"/>
  <c r="F16" i="113"/>
  <c r="E16" i="113"/>
  <c r="D16" i="113"/>
  <c r="C16" i="113"/>
  <c r="L15" i="113"/>
  <c r="K15" i="113"/>
  <c r="J15" i="113"/>
  <c r="I15" i="113"/>
  <c r="H15" i="113"/>
  <c r="G15" i="113"/>
  <c r="F15" i="113"/>
  <c r="E15" i="113"/>
  <c r="D15" i="113"/>
  <c r="C15" i="113"/>
  <c r="L14" i="113"/>
  <c r="K14" i="113"/>
  <c r="J14" i="113"/>
  <c r="I14" i="113"/>
  <c r="H14" i="113"/>
  <c r="G14" i="113"/>
  <c r="F14" i="113"/>
  <c r="E14" i="113"/>
  <c r="D14" i="113"/>
  <c r="C14" i="113"/>
  <c r="L13" i="113"/>
  <c r="K13" i="113"/>
  <c r="J13" i="113"/>
  <c r="I13" i="113"/>
  <c r="H13" i="113"/>
  <c r="G13" i="113"/>
  <c r="F13" i="113"/>
  <c r="E13" i="113"/>
  <c r="D13" i="113"/>
  <c r="C13" i="113"/>
  <c r="L12" i="113"/>
  <c r="K12" i="113"/>
  <c r="J12" i="113"/>
  <c r="I12" i="113"/>
  <c r="H12" i="113"/>
  <c r="G12" i="113"/>
  <c r="F12" i="113"/>
  <c r="E12" i="113"/>
  <c r="D12" i="113"/>
  <c r="C12" i="113"/>
  <c r="L11" i="113"/>
  <c r="K11" i="113"/>
  <c r="J11" i="113"/>
  <c r="I11" i="113"/>
  <c r="H11" i="113"/>
  <c r="G11" i="113"/>
  <c r="F11" i="113"/>
  <c r="E11" i="113"/>
  <c r="D11" i="113"/>
  <c r="C11" i="113"/>
  <c r="L10" i="113"/>
  <c r="K10" i="113"/>
  <c r="J10" i="113"/>
  <c r="I10" i="113"/>
  <c r="H10" i="113"/>
  <c r="G10" i="113"/>
  <c r="F10" i="113"/>
  <c r="E10" i="113"/>
  <c r="D10" i="113"/>
  <c r="C10" i="113"/>
  <c r="L9" i="113"/>
  <c r="K9" i="113"/>
  <c r="J9" i="113"/>
  <c r="I9" i="113"/>
  <c r="H9" i="113"/>
  <c r="G9" i="113"/>
  <c r="F9" i="113"/>
  <c r="E9" i="113"/>
  <c r="D9" i="113"/>
  <c r="C9" i="113"/>
  <c r="L8" i="113"/>
  <c r="K8" i="113"/>
  <c r="J8" i="113"/>
  <c r="I8" i="113"/>
  <c r="H8" i="113"/>
  <c r="G8" i="113"/>
  <c r="F8" i="113"/>
  <c r="E8" i="113"/>
  <c r="D8" i="113"/>
  <c r="C8" i="113"/>
  <c r="L7" i="113"/>
  <c r="K7" i="113"/>
  <c r="J7" i="113"/>
  <c r="I7" i="113"/>
  <c r="H7" i="113"/>
  <c r="G7" i="113"/>
  <c r="F7" i="113"/>
  <c r="E7" i="113"/>
  <c r="D7" i="113"/>
  <c r="C7" i="113"/>
  <c r="L6" i="113"/>
  <c r="K6" i="113"/>
  <c r="J6" i="113"/>
  <c r="I6" i="113"/>
  <c r="H6" i="113"/>
  <c r="G6" i="113"/>
  <c r="F6" i="113"/>
  <c r="E6" i="113"/>
  <c r="D6" i="113"/>
  <c r="C6" i="113"/>
  <c r="L5" i="113"/>
  <c r="K5" i="113"/>
  <c r="J5" i="113"/>
  <c r="I5" i="113"/>
  <c r="H5" i="113"/>
  <c r="G5" i="113"/>
  <c r="F5" i="113"/>
  <c r="E5" i="113"/>
  <c r="D5" i="113"/>
  <c r="C5" i="113"/>
  <c r="L4" i="113"/>
  <c r="K4" i="113"/>
  <c r="J4" i="113"/>
  <c r="I4" i="113"/>
  <c r="H4" i="113"/>
  <c r="G4" i="113"/>
  <c r="F4" i="113"/>
  <c r="E4" i="113"/>
  <c r="D4" i="113"/>
  <c r="C4" i="113"/>
  <c r="L3" i="113"/>
  <c r="K3" i="113"/>
  <c r="J3" i="113"/>
  <c r="I3" i="113"/>
  <c r="H3" i="113"/>
  <c r="G3" i="113"/>
  <c r="F3" i="113"/>
  <c r="E3" i="113"/>
  <c r="D3" i="113"/>
  <c r="C3" i="113"/>
  <c r="L2" i="113"/>
  <c r="K2" i="113"/>
  <c r="J2" i="113"/>
  <c r="I2" i="113"/>
  <c r="H2" i="113"/>
  <c r="G2" i="113"/>
  <c r="F2" i="113"/>
  <c r="E2" i="113"/>
  <c r="D2" i="113"/>
  <c r="C2" i="11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C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</calcChain>
</file>

<file path=xl/sharedStrings.xml><?xml version="1.0" encoding="utf-8"?>
<sst xmlns="http://schemas.openxmlformats.org/spreadsheetml/2006/main" count="151" uniqueCount="25">
  <si>
    <t>Repère</t>
  </si>
  <si>
    <t>QTE</t>
  </si>
  <si>
    <t>Description</t>
  </si>
  <si>
    <t>Nuance</t>
  </si>
  <si>
    <t>EP</t>
  </si>
  <si>
    <t>PN/Class</t>
  </si>
  <si>
    <t>Embout</t>
  </si>
  <si>
    <t>Bride à collerette</t>
  </si>
  <si>
    <t>DN / Ø</t>
  </si>
  <si>
    <t>Fiches Techniques</t>
  </si>
  <si>
    <t>Cadenassable / Rallonge poignée</t>
  </si>
  <si>
    <t>Fournisseur</t>
  </si>
  <si>
    <t>TAG</t>
  </si>
  <si>
    <t>50</t>
  </si>
  <si>
    <t>16</t>
  </si>
  <si>
    <t>4.5</t>
  </si>
  <si>
    <t>BW/RJ</t>
  </si>
  <si>
    <t>P245GH</t>
  </si>
  <si>
    <t>-</t>
  </si>
  <si>
    <t>Cadenassable / rallonge poignée</t>
  </si>
  <si>
    <t xml:space="preserve">Les colonnes suivantes ne sont utilisées que pour les appareils et pièces spécifiques: </t>
  </si>
  <si>
    <t>Renseigner les informations dans nomenclature générale</t>
  </si>
  <si>
    <t>Renseigner le repère et la quantité dans chaque isométrique</t>
  </si>
  <si>
    <t>Notice</t>
  </si>
  <si>
    <t>Le total par repère va se renseigner seul dans "Nomenclature Générale"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</si>
</sst>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57"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D569B-02F8-4FBE-B83D-EDEC4D5E954D}" name="Tableau1" displayName="Tableau1" ref="A1:L192" totalsRowShown="0" headerRowDxfId="156" dataDxfId="154" headerRowBorderDxfId="155" tableBorderDxfId="153" totalsRowBorderDxfId="152">
  <autoFilter ref="A1:L192" xr:uid="{4A45FF4F-EE83-4B12-903B-ACF5BCCF3F29}"/>
  <sortState xmlns:xlrd2="http://schemas.microsoft.com/office/spreadsheetml/2017/richdata2" ref="A2:H210">
    <sortCondition ref="A1:A210"/>
  </sortState>
  <tableColumns count="12">
    <tableColumn id="1" xr3:uid="{E28E7C76-22FB-4109-9AD7-FED69D112B7D}" name="Repère" dataDxfId="151"/>
    <tableColumn id="2" xr3:uid="{B96F074B-C3EC-40C0-8CAD-0DB55996DC86}" name="QTE" dataDxfId="150">
      <calculatedColumnFormula>SUMIFS(Tableau13[QTE],Tableau13[Repère],"2")</calculatedColumnFormula>
    </tableColumn>
    <tableColumn id="4" xr3:uid="{8486334A-8F86-48A6-AF3F-34C27C5A6723}" name="Description" dataDxfId="149"/>
    <tableColumn id="3" xr3:uid="{0AC666C8-42CE-4758-9EE7-975FB10DA207}" name="DN / Ø" dataDxfId="148"/>
    <tableColumn id="7" xr3:uid="{EA5DF9CB-F03D-4ABA-ABD5-4C8CC9400DD9}" name="PN/Class" dataDxfId="147"/>
    <tableColumn id="6" xr3:uid="{74F14149-3F8B-453C-8849-DCFDE347A3E8}" name="EP" dataDxfId="146"/>
    <tableColumn id="8" xr3:uid="{1A8FDE66-1F1C-429F-886C-C18C3528DAF9}" name="Embout" dataDxfId="145"/>
    <tableColumn id="5" xr3:uid="{C3A41934-AFCE-4C79-9528-C37BD7904716}" name="Nuance" dataDxfId="144"/>
    <tableColumn id="10" xr3:uid="{E76B1CCB-8DC8-4AFC-943C-E1E79F958FB7}" name="Cadenassable / Rallonge poignée" dataDxfId="143"/>
    <tableColumn id="12" xr3:uid="{FD0C7349-0723-479B-8AA4-C479AC37D25A}" name="TAG" dataDxfId="142"/>
    <tableColumn id="11" xr3:uid="{96156E5C-B665-425D-BAEE-A24AED7B37C2}" name="Fournisseur" dataDxfId="141"/>
    <tableColumn id="9" xr3:uid="{B8207E1F-E568-4536-A1C3-79E4CA9E4D68}" name="Fiches Techniques" dataDxfId="1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A3EA9-8CF9-4A3A-A995-300C4F28C4F9}" name="Tableau13" displayName="Tableau13" ref="A1:L101" totalsRowShown="0" headerRowDxfId="139" dataDxfId="138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89FF3F6F-C0D8-4FB9-BC38-20F834B7D77A}" name="Repère" dataDxfId="137"/>
    <tableColumn id="2" xr3:uid="{FB70D964-6B58-47E4-A288-FAABF11E6E7A}" name="QTE" dataDxfId="136"/>
    <tableColumn id="3" xr3:uid="{21EA8CE4-6ADF-4E08-9404-ED7817FF764D}" name="Description" dataDxfId="135">
      <calculatedColumnFormula>IF(Tableau13[[#This Row],[Repère]]="","",VLOOKUP(Tableau13[[#This Row],[Repère]],Tableau1[#All],3,FALSE))</calculatedColumnFormula>
    </tableColumn>
    <tableColumn id="4" xr3:uid="{566E3172-D8FD-42B1-8E53-3E74B80CD7DE}" name="DN / Ø" dataDxfId="134">
      <calculatedColumnFormula>IF(Tableau13[[#This Row],[Repère]]="","",VLOOKUP(Tableau13[[#This Row],[Repère]],Tableau1[#All],4,FALSE))</calculatedColumnFormula>
    </tableColumn>
    <tableColumn id="5" xr3:uid="{F15F97EB-64B4-42E1-9543-A27D1BF46CEA}" name="PN/Class" dataDxfId="133">
      <calculatedColumnFormula>IF(Tableau13[[#This Row],[Repère]]="","",VLOOKUP(Tableau13[[#This Row],[Repère]],Tableau1[#All],5,FALSE))</calculatedColumnFormula>
    </tableColumn>
    <tableColumn id="6" xr3:uid="{ACC18B09-3E79-48FE-AD89-3A34C83DFCA2}" name="EP" dataDxfId="132">
      <calculatedColumnFormula>IF(Tableau13[[#This Row],[Repère]]="","",VLOOKUP(Tableau13[[#This Row],[Repère]],Tableau1[#All],6,FALSE))</calculatedColumnFormula>
    </tableColumn>
    <tableColumn id="7" xr3:uid="{394E1CDB-1A28-471A-8C1A-EB82CF035A4B}" name="Embout" dataDxfId="131">
      <calculatedColumnFormula>IF(Tableau13[[#This Row],[Repère]]="","",VLOOKUP(Tableau13[[#This Row],[Repère]],Tableau1[#All],7,FALSE))</calculatedColumnFormula>
    </tableColumn>
    <tableColumn id="8" xr3:uid="{06BD2665-676F-4B15-9107-CD22CC8EEFB2}" name="Nuance" dataDxfId="130">
      <calculatedColumnFormula>IF(Tableau13[[#This Row],[Repère]]="","",VLOOKUP(Tableau13[[#This Row],[Repère]],Tableau1[#All],8,FALSE))</calculatedColumnFormula>
    </tableColumn>
    <tableColumn id="9" xr3:uid="{AC4BC906-BE96-48EF-8D63-6D65781BD84F}" name="Cadenassable / Rallonge poignée" dataDxfId="129">
      <calculatedColumnFormula>IF(Tableau13[[#This Row],[Repère]]="","",VLOOKUP(Tableau13[[#This Row],[Repère]],Tableau1[#All],9,FALSE))</calculatedColumnFormula>
    </tableColumn>
    <tableColumn id="10" xr3:uid="{9B916F4D-5400-41AA-AF45-76286F275342}" name="TAG" dataDxfId="128">
      <calculatedColumnFormula>IF(Tableau13[[#This Row],[Repère]]="","",VLOOKUP(Tableau13[[#This Row],[Repère]],Tableau1[#All],10,FALSE))</calculatedColumnFormula>
    </tableColumn>
    <tableColumn id="11" xr3:uid="{F6D45FB4-700E-47B7-A288-1198B39B3C78}" name="Fournisseur" dataDxfId="127">
      <calculatedColumnFormula>IF(Tableau13[[#This Row],[Repère]]="","",VLOOKUP(Tableau13[[#This Row],[Repère]],Tableau1[#All],11,FALSE))</calculatedColumnFormula>
    </tableColumn>
    <tableColumn id="12" xr3:uid="{83403C12-FD4A-470E-9561-B063CEDEB420}" name="Fiches Techniques" dataDxfId="126">
      <calculatedColumnFormula>IF(Tableau13[[#This Row],[Repère]]="","",VLOOKUP(Tableau13[[#This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6222DF-A496-4BED-A61C-D350AD1323A9}" name="Tableau134" displayName="Tableau134" ref="A1:L101" totalsRowShown="0" headerRowDxfId="125" dataDxfId="124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5A015525-6FB9-40CF-9BA2-C23145FBBA0D}" name="Repère" dataDxfId="123"/>
    <tableColumn id="2" xr3:uid="{6370157C-E1A3-480E-A90A-7547658C8AB0}" name="QTE" dataDxfId="122"/>
    <tableColumn id="3" xr3:uid="{B2709664-6B3E-4BDE-B0F1-41140EDFE4B6}" name="Description" dataDxfId="121">
      <calculatedColumnFormula>IF(Tableau134[[#This Row],[Repère]]="","",VLOOKUP(Tableau134[[#This Row],[Repère]],Tableau1[#All],3,FALSE))</calculatedColumnFormula>
    </tableColumn>
    <tableColumn id="4" xr3:uid="{12362E42-72E2-44AF-9E0F-AB93A4CC1001}" name="DN / Ø" dataDxfId="120">
      <calculatedColumnFormula>IF(Tableau134[[#This Row],[Repère]]="","",VLOOKUP(Tableau134[[#This Row],[Repère]],Tableau1[#All],4,FALSE))</calculatedColumnFormula>
    </tableColumn>
    <tableColumn id="5" xr3:uid="{9BE98274-CB5D-40F9-9439-1648B5790007}" name="PN/Class" dataDxfId="119">
      <calculatedColumnFormula>IF(Tableau134[[#This Row],[Repère]]="","",VLOOKUP(Tableau134[[#This Row],[Repère]],Tableau1[#All],5,FALSE))</calculatedColumnFormula>
    </tableColumn>
    <tableColumn id="6" xr3:uid="{D08E0CD3-A852-4F3A-B160-4CE8229E6C5C}" name="EP" dataDxfId="118">
      <calculatedColumnFormula>IF(Tableau134[[#This Row],[Repère]]="","",VLOOKUP(Tableau134[[#This Row],[Repère]],Tableau1[#All],6,FALSE))</calculatedColumnFormula>
    </tableColumn>
    <tableColumn id="7" xr3:uid="{58C8D1E7-4339-4D5D-91C5-5E574152DBA1}" name="Embout" dataDxfId="117">
      <calculatedColumnFormula>IF(Tableau134[[#This Row],[Repère]]="","",VLOOKUP(Tableau134[[#This Row],[Repère]],Tableau1[#All],7,FALSE))</calculatedColumnFormula>
    </tableColumn>
    <tableColumn id="8" xr3:uid="{D2FD54EA-DD3D-4913-9829-0CBEB0B134B4}" name="Nuance" dataDxfId="116">
      <calculatedColumnFormula>IF(Tableau134[[#This Row],[Repère]]="","",VLOOKUP(Tableau134[[#This Row],[Repère]],Tableau1[#All],8,FALSE))</calculatedColumnFormula>
    </tableColumn>
    <tableColumn id="9" xr3:uid="{9ACB9907-23C7-4B33-88CC-09769B8E41BB}" name="Cadenassable / Rallonge poignée" dataDxfId="115">
      <calculatedColumnFormula>IF(Tableau134[[#This Row],[Repère]]="","",VLOOKUP(Tableau134[[#This Row],[Repère]],Tableau1[#All],9,FALSE))</calculatedColumnFormula>
    </tableColumn>
    <tableColumn id="10" xr3:uid="{E97268C5-D41B-4182-85CD-AB357C29EACA}" name="TAG" dataDxfId="114">
      <calculatedColumnFormula>IF(Tableau134[[#This Row],[Repère]]="","",VLOOKUP(Tableau134[[#This Row],[Repère]],Tableau1[#All],10,FALSE))</calculatedColumnFormula>
    </tableColumn>
    <tableColumn id="11" xr3:uid="{6D31710D-2E42-4275-A248-7165AAB2C8FB}" name="Fournisseur" dataDxfId="113">
      <calculatedColumnFormula>IF(Tableau134[[#This Row],[Repère]]="","",VLOOKUP(Tableau134[[#This Row],[Repère]],Tableau1[#All],11,FALSE))</calculatedColumnFormula>
    </tableColumn>
    <tableColumn id="12" xr3:uid="{0745322D-B2C7-4A43-A5C5-6B122A5C447F}" name="Fiches Techniques" dataDxfId="112">
      <calculatedColumnFormula>IF(Tableau134[[#This Row],[Repère]]="","",VLOOKUP(Tableau134[[#This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7F66B0-8D85-42CB-A63D-83734A73122D}" name="Tableau1345" displayName="Tableau1345" ref="A1:L101" totalsRowShown="0" headerRowDxfId="111" dataDxfId="110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19F4D5BE-AA66-4984-AF1A-02902C19533A}" name="Repère" dataDxfId="109"/>
    <tableColumn id="2" xr3:uid="{6ED2B79C-5448-4624-9E03-BE00818ADA56}" name="QTE" dataDxfId="108"/>
    <tableColumn id="3" xr3:uid="{268B1609-7F26-4687-B29B-B778CCFC29AD}" name="Description" dataDxfId="107">
      <calculatedColumnFormula>IF(Tableau1345[[#This Row],[Repère]]="","",VLOOKUP(Tableau1345[[#This Row],[Repère]],Tableau1[#All],3,FALSE))</calculatedColumnFormula>
    </tableColumn>
    <tableColumn id="4" xr3:uid="{4C8D9C69-5ADD-4BA4-9425-F2DEEFF32F0E}" name="DN / Ø" dataDxfId="106">
      <calculatedColumnFormula>IF(Tableau1345[[#This Row],[Repère]]="","",VLOOKUP(Tableau1345[[#This Row],[Repère]],Tableau1[#All],4,FALSE))</calculatedColumnFormula>
    </tableColumn>
    <tableColumn id="5" xr3:uid="{211AA62E-CC72-4980-AD94-504EA76D25D9}" name="PN/Class" dataDxfId="105">
      <calculatedColumnFormula>IF(Tableau1345[[#This Row],[Repère]]="","",VLOOKUP(Tableau1345[[#This Row],[Repère]],Tableau1[#All],5,FALSE))</calculatedColumnFormula>
    </tableColumn>
    <tableColumn id="6" xr3:uid="{ECB38386-5DE7-4FA4-AD17-99B4B00E5A84}" name="EP" dataDxfId="104">
      <calculatedColumnFormula>IF(Tableau1345[[#This Row],[Repère]]="","",VLOOKUP(Tableau1345[[#This Row],[Repère]],Tableau1[#All],6,FALSE))</calculatedColumnFormula>
    </tableColumn>
    <tableColumn id="7" xr3:uid="{698EC43E-54AF-4AAF-B3BF-F9A1F43AE952}" name="Embout" dataDxfId="103">
      <calculatedColumnFormula>IF(Tableau1345[[#This Row],[Repère]]="","",VLOOKUP(Tableau1345[[#This Row],[Repère]],Tableau1[#All],7,FALSE))</calculatedColumnFormula>
    </tableColumn>
    <tableColumn id="8" xr3:uid="{C671F758-80D4-4B04-B8DE-E57B5EEB22E7}" name="Nuance" dataDxfId="102">
      <calculatedColumnFormula>IF(Tableau1345[[#This Row],[Repère]]="","",VLOOKUP(Tableau1345[[#This Row],[Repère]],Tableau1[#All],8,FALSE))</calculatedColumnFormula>
    </tableColumn>
    <tableColumn id="9" xr3:uid="{2010EDB8-D79F-46A4-8C87-06CE5F3AC951}" name="Cadenassable / Rallonge poignée" dataDxfId="101">
      <calculatedColumnFormula>IF(Tableau1345[[#This Row],[Repère]]="","",VLOOKUP(Tableau1345[[#This Row],[Repère]],Tableau1[#All],9,FALSE))</calculatedColumnFormula>
    </tableColumn>
    <tableColumn id="10" xr3:uid="{B9C24EFA-3C14-450D-923D-75CFA7D71BB5}" name="TAG" dataDxfId="100">
      <calculatedColumnFormula>IF(Tableau1345[[#This Row],[Repère]]="","",VLOOKUP(Tableau1345[[#This Row],[Repère]],Tableau1[#All],10,FALSE))</calculatedColumnFormula>
    </tableColumn>
    <tableColumn id="11" xr3:uid="{D873F268-58DB-4DC3-978A-6D85C93909F9}" name="Fournisseur" dataDxfId="99">
      <calculatedColumnFormula>IF(Tableau1345[[#This Row],[Repère]]="","",VLOOKUP(Tableau1345[[#This Row],[Repère]],Tableau1[#All],11,FALSE))</calculatedColumnFormula>
    </tableColumn>
    <tableColumn id="12" xr3:uid="{FDC03562-FEB0-48DC-AB35-6CBA84463116}" name="Fiches Techniques" dataDxfId="98">
      <calculatedColumnFormula>IF(Tableau1345[[#This Row],[Repère]]="","",VLOOKUP(Tableau1345[[#This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77B423-790C-413B-87EB-DC6EC41CABCD}" name="Tableau13456" displayName="Tableau13456" ref="A1:L101" totalsRowShown="0" headerRowDxfId="97" dataDxfId="96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5BC1EAC5-EE58-4803-8529-DD1B83108EC1}" name="Repère" dataDxfId="95"/>
    <tableColumn id="2" xr3:uid="{4E1948CD-CED4-4973-A885-69A286CFF937}" name="QTE" dataDxfId="94"/>
    <tableColumn id="3" xr3:uid="{19D79159-2412-4171-B694-30E3E947E054}" name="Description" dataDxfId="93">
      <calculatedColumnFormula>IF(Tableau13456[[#This Row],[Repère]]="","",VLOOKUP(Tableau13456[[#This Row],[Repère]],Tableau1[#All],3,FALSE))</calculatedColumnFormula>
    </tableColumn>
    <tableColumn id="4" xr3:uid="{06E691A2-5469-4169-9985-329C4DD2F174}" name="DN / Ø" dataDxfId="92">
      <calculatedColumnFormula>IF(Tableau13456[[#This Row],[Repère]]="","",VLOOKUP(Tableau13456[[#This Row],[Repère]],Tableau1[#All],4,FALSE))</calculatedColumnFormula>
    </tableColumn>
    <tableColumn id="5" xr3:uid="{7945302C-BCBD-49DA-8D99-28133284B898}" name="PN/Class" dataDxfId="91">
      <calculatedColumnFormula>IF(Tableau13456[[#This Row],[Repère]]="","",VLOOKUP(Tableau13456[[#This Row],[Repère]],Tableau1[#All],5,FALSE))</calculatedColumnFormula>
    </tableColumn>
    <tableColumn id="6" xr3:uid="{7859A7C1-1EE6-424F-912D-2505C9340FED}" name="EP" dataDxfId="90">
      <calculatedColumnFormula>IF(Tableau13456[[#This Row],[Repère]]="","",VLOOKUP(Tableau13456[[#This Row],[Repère]],Tableau1[#All],6,FALSE))</calculatedColumnFormula>
    </tableColumn>
    <tableColumn id="7" xr3:uid="{6FC40B28-8262-430C-9B72-98AF6BEC717F}" name="Embout" dataDxfId="89">
      <calculatedColumnFormula>IF(Tableau13456[[#This Row],[Repère]]="","",VLOOKUP(Tableau13456[[#This Row],[Repère]],Tableau1[#All],7,FALSE))</calculatedColumnFormula>
    </tableColumn>
    <tableColumn id="8" xr3:uid="{295F8FF1-415E-4A1B-B17A-C8CC9641C364}" name="Nuance" dataDxfId="88">
      <calculatedColumnFormula>IF(Tableau13456[[#This Row],[Repère]]="","",VLOOKUP(Tableau13456[[#This Row],[Repère]],Tableau1[#All],8,FALSE))</calculatedColumnFormula>
    </tableColumn>
    <tableColumn id="9" xr3:uid="{2A1220B5-1426-4A1B-8C8D-806D8B06E42D}" name="Cadenassable / Rallonge poignée" dataDxfId="87">
      <calculatedColumnFormula>IF(Tableau13456[[#This Row],[Repère]]="","",VLOOKUP(Tableau13456[[#This Row],[Repère]],Tableau1[#All],9,FALSE))</calculatedColumnFormula>
    </tableColumn>
    <tableColumn id="10" xr3:uid="{D2466670-6D1C-4779-A4DD-B5C80ED60AE0}" name="TAG" dataDxfId="86">
      <calculatedColumnFormula>IF(Tableau13456[[#This Row],[Repère]]="","",VLOOKUP(Tableau13456[[#This Row],[Repère]],Tableau1[#All],10,FALSE))</calculatedColumnFormula>
    </tableColumn>
    <tableColumn id="11" xr3:uid="{F9C42529-BA36-4EDE-B187-0E522F1C2227}" name="Fournisseur" dataDxfId="85">
      <calculatedColumnFormula>IF(Tableau13456[[#This Row],[Repère]]="","",VLOOKUP(Tableau13456[[#This Row],[Repère]],Tableau1[#All],11,FALSE))</calculatedColumnFormula>
    </tableColumn>
    <tableColumn id="12" xr3:uid="{1CB2B957-B302-4E6F-B9C2-ECAF024E9F20}" name="Fiches Techniques" dataDxfId="84">
      <calculatedColumnFormula>IF(Tableau13456[[#This Row],[Repère]]="","",VLOOKUP(Tableau13456[[#This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65E3F0-E73E-41B7-81B1-F620DD25DD5B}" name="Tableau134567" displayName="Tableau134567" ref="A1:L101" totalsRowShown="0" headerRowDxfId="83" dataDxfId="82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F7EA1341-32AC-4A9E-85EF-55ECA9DEA669}" name="Repère" dataDxfId="81"/>
    <tableColumn id="2" xr3:uid="{EAAB9F00-B2D7-4278-9005-0252CCB9B232}" name="QTE" dataDxfId="80"/>
    <tableColumn id="3" xr3:uid="{9FCB23DA-7407-4CD1-9EF6-C8AA2E4245E3}" name="Description" dataDxfId="79">
      <calculatedColumnFormula>IF(Tableau134567[[#This Row],[Repère]]="","",VLOOKUP(Tableau134567[[#This Row],[Repère]],Tableau1[#All],3,FALSE))</calculatedColumnFormula>
    </tableColumn>
    <tableColumn id="4" xr3:uid="{F41CB4D0-7864-4107-B8E3-F0374543B007}" name="DN / Ø" dataDxfId="78">
      <calculatedColumnFormula>IF(Tableau134567[[#This Row],[Repère]]="","",VLOOKUP(Tableau134567[[#This Row],[Repère]],Tableau1[#All],4,FALSE))</calculatedColumnFormula>
    </tableColumn>
    <tableColumn id="5" xr3:uid="{DAB41591-8373-411F-8E04-BAC15E409A3E}" name="PN/Class" dataDxfId="77">
      <calculatedColumnFormula>IF(Tableau134567[[#This Row],[Repère]]="","",VLOOKUP(Tableau134567[[#This Row],[Repère]],Tableau1[#All],5,FALSE))</calculatedColumnFormula>
    </tableColumn>
    <tableColumn id="6" xr3:uid="{66D21555-93D5-47A1-8BAF-60405373EA41}" name="EP" dataDxfId="76">
      <calculatedColumnFormula>IF(Tableau134567[[#This Row],[Repère]]="","",VLOOKUP(Tableau134567[[#This Row],[Repère]],Tableau1[#All],6,FALSE))</calculatedColumnFormula>
    </tableColumn>
    <tableColumn id="7" xr3:uid="{3CAA13D3-ACA6-430D-B172-03B824627DE7}" name="Embout" dataDxfId="75">
      <calculatedColumnFormula>IF(Tableau134567[[#This Row],[Repère]]="","",VLOOKUP(Tableau134567[[#This Row],[Repère]],Tableau1[#All],7,FALSE))</calculatedColumnFormula>
    </tableColumn>
    <tableColumn id="8" xr3:uid="{50C90AD9-C702-4B19-A2A5-F4928EDCE4CB}" name="Nuance" dataDxfId="74">
      <calculatedColumnFormula>IF(Tableau134567[[#This Row],[Repère]]="","",VLOOKUP(Tableau134567[[#This Row],[Repère]],Tableau1[#All],8,FALSE))</calculatedColumnFormula>
    </tableColumn>
    <tableColumn id="9" xr3:uid="{44F807C1-0C31-4B48-B83B-086E8083F609}" name="Cadenassable / Rallonge poignée" dataDxfId="73">
      <calculatedColumnFormula>IF(Tableau134567[[#This Row],[Repère]]="","",VLOOKUP(Tableau134567[[#This Row],[Repère]],Tableau1[#All],9,FALSE))</calculatedColumnFormula>
    </tableColumn>
    <tableColumn id="10" xr3:uid="{6A6AABF5-AF48-423C-9183-8623B1AF0894}" name="TAG" dataDxfId="72">
      <calculatedColumnFormula>IF(Tableau134567[[#This Row],[Repère]]="","",VLOOKUP(Tableau134567[[#This Row],[Repère]],Tableau1[#All],10,FALSE))</calculatedColumnFormula>
    </tableColumn>
    <tableColumn id="11" xr3:uid="{055BD63E-49AD-46A8-A0A5-4FD361CFA2F2}" name="Fournisseur" dataDxfId="71">
      <calculatedColumnFormula>IF(Tableau134567[[#This Row],[Repère]]="","",VLOOKUP(Tableau134567[[#This Row],[Repère]],Tableau1[#All],11,FALSE))</calculatedColumnFormula>
    </tableColumn>
    <tableColumn id="12" xr3:uid="{88188A4F-3FDF-4CBA-A3B7-C2E4596AD3C1}" name="Fiches Techniques" dataDxfId="70">
      <calculatedColumnFormula>IF(Tableau134567[[#This Row],[Repère]]="","",VLOOKUP(Tableau134567[[#This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08D936-CE00-40F8-8CED-985292573745}" name="Tableau1345678" displayName="Tableau1345678" ref="A1:L101" totalsRowShown="0" headerRowDxfId="69" dataDxfId="68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852C75F3-D835-400B-B33F-465F3190ADE3}" name="Repère" dataDxfId="67"/>
    <tableColumn id="2" xr3:uid="{98FFDA8E-67C7-419A-AC2E-62A3E374FD3D}" name="QTE" dataDxfId="66"/>
    <tableColumn id="3" xr3:uid="{2C238482-2BCF-4A90-A123-3C47445C7D1E}" name="Description" dataDxfId="65">
      <calculatedColumnFormula>IF(Tableau1345678[[#This Row],[Repère]]="","",VLOOKUP(Tableau1345678[[#This Row],[Repère]],Tableau1[#All],3,FALSE))</calculatedColumnFormula>
    </tableColumn>
    <tableColumn id="4" xr3:uid="{EBD09523-BF92-4818-8998-40E9E218A497}" name="DN / Ø" dataDxfId="64">
      <calculatedColumnFormula>IF(Tableau1345678[[#This Row],[Repère]]="","",VLOOKUP(Tableau1345678[[#This Row],[Repère]],Tableau1[#All],4,FALSE))</calculatedColumnFormula>
    </tableColumn>
    <tableColumn id="5" xr3:uid="{67968ED1-1E20-4FED-A240-3623F31B6D8E}" name="PN/Class" dataDxfId="63">
      <calculatedColumnFormula>IF(Tableau1345678[[#This Row],[Repère]]="","",VLOOKUP(Tableau1345678[[#This Row],[Repère]],Tableau1[#All],5,FALSE))</calculatedColumnFormula>
    </tableColumn>
    <tableColumn id="6" xr3:uid="{EDB667CC-2EAF-4370-9202-D984366D0940}" name="EP" dataDxfId="62">
      <calculatedColumnFormula>IF(Tableau1345678[[#This Row],[Repère]]="","",VLOOKUP(Tableau1345678[[#This Row],[Repère]],Tableau1[#All],6,FALSE))</calculatedColumnFormula>
    </tableColumn>
    <tableColumn id="7" xr3:uid="{2A9F975F-614E-4E87-953C-62FB2BC0674F}" name="Embout" dataDxfId="61">
      <calculatedColumnFormula>IF(Tableau1345678[[#This Row],[Repère]]="","",VLOOKUP(Tableau1345678[[#This Row],[Repère]],Tableau1[#All],7,FALSE))</calculatedColumnFormula>
    </tableColumn>
    <tableColumn id="8" xr3:uid="{FC96C05D-D39B-4901-99FC-4A0E99F9E020}" name="Nuance" dataDxfId="60">
      <calculatedColumnFormula>IF(Tableau1345678[[#This Row],[Repère]]="","",VLOOKUP(Tableau1345678[[#This Row],[Repère]],Tableau1[#All],8,FALSE))</calculatedColumnFormula>
    </tableColumn>
    <tableColumn id="9" xr3:uid="{3292BAB4-29FD-4072-BEAB-EE13D358E4CE}" name="Cadenassable / Rallonge poignée" dataDxfId="59">
      <calculatedColumnFormula>IF(Tableau1345678[[#This Row],[Repère]]="","",VLOOKUP(Tableau1345678[[#This Row],[Repère]],Tableau1[#All],9,FALSE))</calculatedColumnFormula>
    </tableColumn>
    <tableColumn id="10" xr3:uid="{691DEB4B-6331-43D0-B37F-20C998C82B79}" name="TAG" dataDxfId="58">
      <calculatedColumnFormula>IF(Tableau1345678[[#This Row],[Repère]]="","",VLOOKUP(Tableau1345678[[#This Row],[Repère]],Tableau1[#All],10,FALSE))</calculatedColumnFormula>
    </tableColumn>
    <tableColumn id="11" xr3:uid="{47A99681-1E90-4032-BA56-3B21304DDD17}" name="Fournisseur" dataDxfId="57">
      <calculatedColumnFormula>IF(Tableau1345678[[#This Row],[Repère]]="","",VLOOKUP(Tableau1345678[[#This Row],[Repère]],Tableau1[#All],11,FALSE))</calculatedColumnFormula>
    </tableColumn>
    <tableColumn id="12" xr3:uid="{ABEA093E-5A0F-485F-B592-5FA20EDBC4D6}" name="Fiches Techniques" dataDxfId="56">
      <calculatedColumnFormula>IF(Tableau1345678[[#This Row],[Repère]]="","",VLOOKUP(Tableau1345678[[#This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931F75-F416-4473-AB69-625FE7590716}" name="Tableau13456789" displayName="Tableau13456789" ref="A1:L101" totalsRowShown="0" headerRowDxfId="55" dataDxfId="54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9B00DD61-A013-482C-A809-182CD5EB7D4D}" name="Repère" dataDxfId="53"/>
    <tableColumn id="2" xr3:uid="{60F04FFD-149A-4D7C-8744-EA96F4F42AE4}" name="QTE" dataDxfId="52"/>
    <tableColumn id="3" xr3:uid="{872EBB98-F217-4046-875F-784DD2325937}" name="Description" dataDxfId="51">
      <calculatedColumnFormula>IF(Tableau13456789[[#This Row],[Repère]]="","",VLOOKUP(Tableau13456789[[#This Row],[Repère]],Tableau1[#All],3,FALSE))</calculatedColumnFormula>
    </tableColumn>
    <tableColumn id="4" xr3:uid="{C12AE5C0-B731-455A-8C1F-B55A154EE06A}" name="DN / Ø" dataDxfId="50">
      <calculatedColumnFormula>IF(Tableau13456789[[#This Row],[Repère]]="","",VLOOKUP(Tableau13456789[[#This Row],[Repère]],Tableau1[#All],4,FALSE))</calculatedColumnFormula>
    </tableColumn>
    <tableColumn id="5" xr3:uid="{FFFEEB00-FEB3-44FB-98DB-8AEA007CCB7C}" name="PN/Class" dataDxfId="49">
      <calculatedColumnFormula>IF(Tableau13456789[[#This Row],[Repère]]="","",VLOOKUP(Tableau13456789[[#This Row],[Repère]],Tableau1[#All],5,FALSE))</calculatedColumnFormula>
    </tableColumn>
    <tableColumn id="6" xr3:uid="{884596DB-637D-4294-95AD-957511C70187}" name="EP" dataDxfId="48">
      <calculatedColumnFormula>IF(Tableau13456789[[#This Row],[Repère]]="","",VLOOKUP(Tableau13456789[[#This Row],[Repère]],Tableau1[#All],6,FALSE))</calculatedColumnFormula>
    </tableColumn>
    <tableColumn id="7" xr3:uid="{06941664-B008-46AF-AB6F-D034D92CA2C7}" name="Embout" dataDxfId="47">
      <calculatedColumnFormula>IF(Tableau13456789[[#This Row],[Repère]]="","",VLOOKUP(Tableau13456789[[#This Row],[Repère]],Tableau1[#All],7,FALSE))</calculatedColumnFormula>
    </tableColumn>
    <tableColumn id="8" xr3:uid="{12E3D362-93A2-4CC7-9561-FE90C6507498}" name="Nuance" dataDxfId="46">
      <calculatedColumnFormula>IF(Tableau13456789[[#This Row],[Repère]]="","",VLOOKUP(Tableau13456789[[#This Row],[Repère]],Tableau1[#All],8,FALSE))</calculatedColumnFormula>
    </tableColumn>
    <tableColumn id="9" xr3:uid="{204DB56D-8CCF-44FB-8734-95562E4ADBA0}" name="Cadenassable / Rallonge poignée" dataDxfId="45">
      <calculatedColumnFormula>IF(Tableau13456789[[#This Row],[Repère]]="","",VLOOKUP(Tableau13456789[[#This Row],[Repère]],Tableau1[#All],9,FALSE))</calculatedColumnFormula>
    </tableColumn>
    <tableColumn id="10" xr3:uid="{F01E46C8-E36F-428A-87F6-6820A29ABC62}" name="TAG" dataDxfId="44">
      <calculatedColumnFormula>IF(Tableau13456789[[#This Row],[Repère]]="","",VLOOKUP(Tableau13456789[[#This Row],[Repère]],Tableau1[#All],10,FALSE))</calculatedColumnFormula>
    </tableColumn>
    <tableColumn id="11" xr3:uid="{58512231-4CE9-4261-8DCB-9AACC25BE590}" name="Fournisseur" dataDxfId="43">
      <calculatedColumnFormula>IF(Tableau13456789[[#This Row],[Repère]]="","",VLOOKUP(Tableau13456789[[#This Row],[Repère]],Tableau1[#All],11,FALSE))</calculatedColumnFormula>
    </tableColumn>
    <tableColumn id="12" xr3:uid="{598463F6-3DBC-46B9-B706-5FCBE3B70843}" name="Fiches Techniques" dataDxfId="42">
      <calculatedColumnFormula>IF(Tableau13456789[[#This Row],[Repère]]="","",VLOOKUP(Tableau13456789[[#This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E45E01-5759-4134-BBB7-2966C576044D}" name="Tableau1345678910" displayName="Tableau1345678910" ref="A1:L101" totalsRowShown="0" headerRowDxfId="41" dataDxfId="40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D42BFE2D-3196-4E41-A276-4442F353FA5E}" name="Repère" dataDxfId="39"/>
    <tableColumn id="2" xr3:uid="{70B1ABDC-ADE1-489A-88D3-DAC41943E960}" name="QTE" dataDxfId="38"/>
    <tableColumn id="3" xr3:uid="{279BF842-E7CE-4624-9B57-A716739C46B7}" name="Description" dataDxfId="37">
      <calculatedColumnFormula>IF(Tableau1345678910[[#This Row],[Repère]]="","",VLOOKUP(Tableau1345678910[[#This Row],[Repère]],Tableau1[#All],3,FALSE))</calculatedColumnFormula>
    </tableColumn>
    <tableColumn id="4" xr3:uid="{2845653F-4DD7-4A99-BACB-C87CAC33B4B5}" name="DN / Ø" dataDxfId="36">
      <calculatedColumnFormula>IF(Tableau1345678910[[#This Row],[Repère]]="","",VLOOKUP(Tableau1345678910[[#This Row],[Repère]],Tableau1[#All],4,FALSE))</calculatedColumnFormula>
    </tableColumn>
    <tableColumn id="5" xr3:uid="{084CE4FC-B064-4D8B-9974-FA1E538DDB03}" name="PN/Class" dataDxfId="35">
      <calculatedColumnFormula>IF(Tableau1345678910[[#This Row],[Repère]]="","",VLOOKUP(Tableau1345678910[[#This Row],[Repère]],Tableau1[#All],5,FALSE))</calculatedColumnFormula>
    </tableColumn>
    <tableColumn id="6" xr3:uid="{1B1B5907-DAF9-478B-87A8-4AE54A04F3D2}" name="EP" dataDxfId="34">
      <calculatedColumnFormula>IF(Tableau1345678910[[#This Row],[Repère]]="","",VLOOKUP(Tableau1345678910[[#This Row],[Repère]],Tableau1[#All],6,FALSE))</calculatedColumnFormula>
    </tableColumn>
    <tableColumn id="7" xr3:uid="{D0C311E6-5225-4ABC-8F44-BB8312D2B422}" name="Embout" dataDxfId="33">
      <calculatedColumnFormula>IF(Tableau1345678910[[#This Row],[Repère]]="","",VLOOKUP(Tableau1345678910[[#This Row],[Repère]],Tableau1[#All],7,FALSE))</calculatedColumnFormula>
    </tableColumn>
    <tableColumn id="8" xr3:uid="{A972649F-2E2F-43A3-B4CC-F29C16DFC498}" name="Nuance" dataDxfId="32">
      <calculatedColumnFormula>IF(Tableau1345678910[[#This Row],[Repère]]="","",VLOOKUP(Tableau1345678910[[#This Row],[Repère]],Tableau1[#All],8,FALSE))</calculatedColumnFormula>
    </tableColumn>
    <tableColumn id="9" xr3:uid="{83EE39AA-15C1-417C-BAA4-D4124A4EC3B0}" name="Cadenassable / Rallonge poignée" dataDxfId="31">
      <calculatedColumnFormula>IF(Tableau1345678910[[#This Row],[Repère]]="","",VLOOKUP(Tableau1345678910[[#This Row],[Repère]],Tableau1[#All],9,FALSE))</calculatedColumnFormula>
    </tableColumn>
    <tableColumn id="10" xr3:uid="{2D9F5745-5A63-4DA6-8155-A7D438692DDF}" name="TAG" dataDxfId="30">
      <calculatedColumnFormula>IF(Tableau1345678910[[#This Row],[Repère]]="","",VLOOKUP(Tableau1345678910[[#This Row],[Repère]],Tableau1[#All],10,FALSE))</calculatedColumnFormula>
    </tableColumn>
    <tableColumn id="11" xr3:uid="{D20BACD3-D4EA-44C9-B243-E87AB1F751B8}" name="Fournisseur" dataDxfId="29">
      <calculatedColumnFormula>IF(Tableau1345678910[[#This Row],[Repère]]="","",VLOOKUP(Tableau1345678910[[#This Row],[Repère]],Tableau1[#All],11,FALSE))</calculatedColumnFormula>
    </tableColumn>
    <tableColumn id="12" xr3:uid="{2CC2050E-DEEF-40A5-98EA-5F11AF99FFAF}" name="Fiches Techniques" dataDxfId="28">
      <calculatedColumnFormula>IF(Tableau1345678910[[#This Row],[Repère]]="","",VLOOKUP(Tableau1345678910[[#This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687AB9-1231-4763-A5A2-45ADBBB82CD3}" name="Tableau13456789101112" displayName="Tableau13456789101112" ref="A1:L101" totalsRowShown="0" headerRowDxfId="27" dataDxfId="26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1100801D-33DF-44B2-802D-9029084298DE}" name="Repère" dataDxfId="25"/>
    <tableColumn id="2" xr3:uid="{BF1A4BBF-2B79-46FF-A930-7DCB7B890C21}" name="QTE" dataDxfId="24"/>
    <tableColumn id="3" xr3:uid="{B79A18C4-170F-46B7-8613-6C88744A012F}" name="Description" dataDxfId="23">
      <calculatedColumnFormula>IF(Tableau13456789101112[[#This Row],[Repère]]="","",VLOOKUP(Tableau13456789101112[[#This Row],[Repère]],Tableau1[#All],3,FALSE))</calculatedColumnFormula>
    </tableColumn>
    <tableColumn id="4" xr3:uid="{B4ABDF97-8065-4245-85A4-52C9CD20950E}" name="DN / Ø" dataDxfId="22">
      <calculatedColumnFormula>IF(Tableau13456789101112[[#This Row],[Repère]]="","",VLOOKUP(Tableau13456789101112[[#This Row],[Repère]],Tableau1[#All],4,FALSE))</calculatedColumnFormula>
    </tableColumn>
    <tableColumn id="5" xr3:uid="{0C0FE440-DCEF-40A0-8A72-5D0CD657B14A}" name="PN/Class" dataDxfId="21">
      <calculatedColumnFormula>IF(Tableau13456789101112[[#This Row],[Repère]]="","",VLOOKUP(Tableau13456789101112[[#This Row],[Repère]],Tableau1[#All],5,FALSE))</calculatedColumnFormula>
    </tableColumn>
    <tableColumn id="6" xr3:uid="{B31CC8CB-7985-451C-9D59-E39E380ED201}" name="EP" dataDxfId="20">
      <calculatedColumnFormula>IF(Tableau13456789101112[[#This Row],[Repère]]="","",VLOOKUP(Tableau13456789101112[[#This Row],[Repère]],Tableau1[#All],6,FALSE))</calculatedColumnFormula>
    </tableColumn>
    <tableColumn id="7" xr3:uid="{4DC09C6A-9DAE-40C8-8A60-70AB612048BC}" name="Embout" dataDxfId="19">
      <calculatedColumnFormula>IF(Tableau13456789101112[[#This Row],[Repère]]="","",VLOOKUP(Tableau13456789101112[[#This Row],[Repère]],Tableau1[#All],7,FALSE))</calculatedColumnFormula>
    </tableColumn>
    <tableColumn id="8" xr3:uid="{1C2E3F74-9D82-429E-8FD9-E7CED66237F1}" name="Nuance" dataDxfId="18">
      <calculatedColumnFormula>IF(Tableau13456789101112[[#This Row],[Repère]]="","",VLOOKUP(Tableau13456789101112[[#This Row],[Repère]],Tableau1[#All],8,FALSE))</calculatedColumnFormula>
    </tableColumn>
    <tableColumn id="9" xr3:uid="{2F600FBA-CE93-4F57-A328-45F03A8A4EE0}" name="Cadenassable / Rallonge poignée" dataDxfId="17">
      <calculatedColumnFormula>IF(Tableau13456789101112[[#This Row],[Repère]]="","",VLOOKUP(Tableau13456789101112[[#This Row],[Repère]],Tableau1[#All],9,FALSE))</calculatedColumnFormula>
    </tableColumn>
    <tableColumn id="10" xr3:uid="{92578DF8-EABC-4DEC-A060-E4C59679EACE}" name="TAG" dataDxfId="16">
      <calculatedColumnFormula>IF(Tableau13456789101112[[#This Row],[Repère]]="","",VLOOKUP(Tableau13456789101112[[#This Row],[Repère]],Tableau1[#All],10,FALSE))</calculatedColumnFormula>
    </tableColumn>
    <tableColumn id="11" xr3:uid="{8FEEC3AE-5591-417D-9F4A-818372D6AF28}" name="Fournisseur" dataDxfId="15">
      <calculatedColumnFormula>IF(Tableau13456789101112[[#This Row],[Repère]]="","",VLOOKUP(Tableau13456789101112[[#This Row],[Repère]],Tableau1[#All],11,FALSE))</calculatedColumnFormula>
    </tableColumn>
    <tableColumn id="12" xr3:uid="{FBC22617-6CD2-47C3-877D-C8B43B7007EF}" name="Fiches Techniques" dataDxfId="14">
      <calculatedColumnFormula>IF(Tableau13456789101112[[#This Row],[Repère]]="","",VLOOKUP(Tableau13456789101112[[#This Row],[Repère]],Tableau1[#All],12,FALSE))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024495-2020-44AE-AA3A-7E8DA5F323FE}" name="Tableau134567891011" displayName="Tableau134567891011" ref="A1:L101" totalsRowShown="0" headerRowDxfId="13" dataDxfId="12">
  <autoFilter ref="A1:L101" xr:uid="{4A45FF4F-EE83-4B12-903B-ACF5BCCF3F29}"/>
  <sortState xmlns:xlrd2="http://schemas.microsoft.com/office/spreadsheetml/2017/richdata2" ref="A2:H125">
    <sortCondition ref="A1:A125"/>
  </sortState>
  <tableColumns count="12">
    <tableColumn id="1" xr3:uid="{08334C08-D160-48D3-A03A-53A3F462E7D7}" name="Repère" dataDxfId="11"/>
    <tableColumn id="2" xr3:uid="{F63D6D48-A4DF-4A2D-96B6-D0EAEBE66293}" name="QTE" dataDxfId="10"/>
    <tableColumn id="3" xr3:uid="{E9D86929-E8EB-4CD0-BF61-1DCD48871D17}" name="Description" dataDxfId="9">
      <calculatedColumnFormula>IF(Tableau134567891011[[#This Row],[Repère]]="","",VLOOKUP(Tableau134567891011[[#This Row],[Repère]],Tableau1[#All],3,FALSE))</calculatedColumnFormula>
    </tableColumn>
    <tableColumn id="4" xr3:uid="{BDC0C53C-2C06-420D-A6DB-72CFE790ACB5}" name="DN / Ø" dataDxfId="8">
      <calculatedColumnFormula>IF(Tableau134567891011[[#This Row],[Repère]]="","",VLOOKUP(Tableau134567891011[[#This Row],[Repère]],Tableau1[#All],4,FALSE))</calculatedColumnFormula>
    </tableColumn>
    <tableColumn id="5" xr3:uid="{4FCEE9B9-5139-4CF5-A13E-148A4C0C43C5}" name="PN/Class" dataDxfId="7">
      <calculatedColumnFormula>IF(Tableau134567891011[[#This Row],[Repère]]="","",VLOOKUP(Tableau134567891011[[#This Row],[Repère]],Tableau1[#All],5,FALSE))</calculatedColumnFormula>
    </tableColumn>
    <tableColumn id="6" xr3:uid="{D663A30D-2770-4E2C-9864-CDC4FE6102FF}" name="EP" dataDxfId="6">
      <calculatedColumnFormula>IF(Tableau134567891011[[#This Row],[Repère]]="","",VLOOKUP(Tableau134567891011[[#This Row],[Repère]],Tableau1[#All],6,FALSE))</calculatedColumnFormula>
    </tableColumn>
    <tableColumn id="7" xr3:uid="{DFB3E264-CF90-4ABF-9B8D-B89688A50A80}" name="Embout" dataDxfId="5">
      <calculatedColumnFormula>IF(Tableau134567891011[[#This Row],[Repère]]="","",VLOOKUP(Tableau134567891011[[#This Row],[Repère]],Tableau1[#All],7,FALSE))</calculatedColumnFormula>
    </tableColumn>
    <tableColumn id="8" xr3:uid="{0CA704D7-6725-42E6-BBE1-7C3777F9F41B}" name="Nuance" dataDxfId="4">
      <calculatedColumnFormula>IF(Tableau134567891011[[#This Row],[Repère]]="","",VLOOKUP(Tableau134567891011[[#This Row],[Repère]],Tableau1[#All],8,FALSE))</calculatedColumnFormula>
    </tableColumn>
    <tableColumn id="9" xr3:uid="{85415490-824F-4EA0-80ED-3CD5196039C1}" name="Cadenassable / Rallonge poignée" dataDxfId="3">
      <calculatedColumnFormula>IF(Tableau134567891011[[#This Row],[Repère]]="","",VLOOKUP(Tableau134567891011[[#This Row],[Repère]],Tableau1[#All],9,FALSE))</calculatedColumnFormula>
    </tableColumn>
    <tableColumn id="10" xr3:uid="{95090B64-F2C0-41C7-974A-1A2953484455}" name="TAG" dataDxfId="2">
      <calculatedColumnFormula>IF(Tableau134567891011[[#This Row],[Repère]]="","",VLOOKUP(Tableau134567891011[[#This Row],[Repère]],Tableau1[#All],10,FALSE))</calculatedColumnFormula>
    </tableColumn>
    <tableColumn id="11" xr3:uid="{4EEA4233-E4C5-4FDB-9A87-925DAD27D92E}" name="Fournisseur" dataDxfId="1">
      <calculatedColumnFormula>IF(Tableau134567891011[[#This Row],[Repère]]="","",VLOOKUP(Tableau134567891011[[#This Row],[Repère]],Tableau1[#All],11,FALSE))</calculatedColumnFormula>
    </tableColumn>
    <tableColumn id="12" xr3:uid="{3CE6B398-FB78-4CE9-8C9C-C975C4FA7943}" name="Fiches Techniques" dataDxfId="0">
      <calculatedColumnFormula>IF(Tableau134567891011[[#This Row],[Repère]]="","",VLOOKUP(Tableau134567891011[[#This Row],[Repère]],Tableau1[#All],12,FALSE))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29F5-7A46-4EAB-A0F7-C2AF03D52841}">
  <dimension ref="A3:B18"/>
  <sheetViews>
    <sheetView workbookViewId="0">
      <selection activeCell="B28" sqref="B28"/>
    </sheetView>
  </sheetViews>
  <sheetFormatPr baseColWidth="10" defaultRowHeight="14.4" x14ac:dyDescent="0.3"/>
  <cols>
    <col min="1" max="1" width="2" style="1" bestFit="1" customWidth="1"/>
    <col min="2" max="2" width="74.21875" style="1" customWidth="1"/>
    <col min="3" max="16384" width="11.5546875" style="1"/>
  </cols>
  <sheetData>
    <row r="3" spans="1:2" x14ac:dyDescent="0.3">
      <c r="A3" s="22" t="s">
        <v>23</v>
      </c>
      <c r="B3" s="22"/>
    </row>
    <row r="5" spans="1:2" x14ac:dyDescent="0.3">
      <c r="A5" s="15">
        <v>1</v>
      </c>
      <c r="B5" s="15" t="s">
        <v>21</v>
      </c>
    </row>
    <row r="6" spans="1:2" x14ac:dyDescent="0.3">
      <c r="A6" s="15">
        <v>2</v>
      </c>
      <c r="B6" s="15" t="s">
        <v>22</v>
      </c>
    </row>
    <row r="8" spans="1:2" x14ac:dyDescent="0.3">
      <c r="B8" s="22" t="s">
        <v>24</v>
      </c>
    </row>
    <row r="9" spans="1:2" x14ac:dyDescent="0.3">
      <c r="B9" s="22"/>
    </row>
    <row r="14" spans="1:2" x14ac:dyDescent="0.3">
      <c r="B14" s="15" t="s">
        <v>20</v>
      </c>
    </row>
    <row r="15" spans="1:2" x14ac:dyDescent="0.3">
      <c r="B15" s="15" t="s">
        <v>19</v>
      </c>
    </row>
    <row r="16" spans="1:2" x14ac:dyDescent="0.3">
      <c r="B16" s="15" t="s">
        <v>12</v>
      </c>
    </row>
    <row r="17" spans="2:2" x14ac:dyDescent="0.3">
      <c r="B17" s="15" t="s">
        <v>11</v>
      </c>
    </row>
    <row r="18" spans="2:2" x14ac:dyDescent="0.3">
      <c r="B18" s="15" t="s">
        <v>9</v>
      </c>
    </row>
  </sheetData>
  <mergeCells count="2">
    <mergeCell ref="A3:B3"/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490A-B253-4152-9ACA-24227231D08A}">
  <dimension ref="A1:M214"/>
  <sheetViews>
    <sheetView tabSelected="1" workbookViewId="0">
      <selection activeCell="D10" sqref="D10"/>
    </sheetView>
  </sheetViews>
  <sheetFormatPr baseColWidth="10" defaultColWidth="9.109375" defaultRowHeight="14.4" x14ac:dyDescent="0.3"/>
  <cols>
    <col min="1" max="1" width="11.6640625" style="4" bestFit="1" customWidth="1"/>
    <col min="2" max="2" width="9.77734375" style="4" bestFit="1" customWidth="1"/>
    <col min="3" max="3" width="58.5546875" style="4" customWidth="1"/>
    <col min="4" max="4" width="11.109375" style="4" bestFit="1" customWidth="1"/>
    <col min="5" max="5" width="13" style="9" bestFit="1" customWidth="1"/>
    <col min="6" max="6" width="7.5546875" style="4" bestFit="1" customWidth="1"/>
    <col min="7" max="7" width="12.109375" style="9" bestFit="1" customWidth="1"/>
    <col min="8" max="8" width="11.88671875" style="9" bestFit="1" customWidth="1"/>
    <col min="9" max="9" width="34.33203125" style="9" bestFit="1" customWidth="1"/>
    <col min="10" max="10" width="9" style="9" bestFit="1" customWidth="1"/>
    <col min="11" max="11" width="15.5546875" style="9" bestFit="1" customWidth="1"/>
    <col min="12" max="12" width="21.21875" style="9" bestFit="1" customWidth="1"/>
    <col min="13" max="13" width="9.109375" style="9"/>
    <col min="14" max="14" width="20.33203125" style="4" customWidth="1"/>
    <col min="15" max="15" width="17.6640625" style="4" customWidth="1"/>
    <col min="16" max="16" width="21.109375" style="4" customWidth="1"/>
    <col min="17" max="16384" width="9.109375" style="4"/>
  </cols>
  <sheetData>
    <row r="1" spans="1:13" x14ac:dyDescent="0.3">
      <c r="A1" s="17" t="s">
        <v>0</v>
      </c>
      <c r="B1" s="11" t="s">
        <v>1</v>
      </c>
      <c r="C1" s="2" t="s">
        <v>2</v>
      </c>
      <c r="D1" s="2" t="s">
        <v>8</v>
      </c>
      <c r="E1" s="2" t="s">
        <v>5</v>
      </c>
      <c r="F1" s="2" t="s">
        <v>4</v>
      </c>
      <c r="G1" s="2" t="s">
        <v>6</v>
      </c>
      <c r="H1" s="2" t="s">
        <v>3</v>
      </c>
      <c r="I1" s="2" t="s">
        <v>10</v>
      </c>
      <c r="J1" s="2" t="s">
        <v>12</v>
      </c>
      <c r="K1" s="2" t="s">
        <v>11</v>
      </c>
      <c r="L1" s="3" t="s">
        <v>9</v>
      </c>
      <c r="M1" s="4"/>
    </row>
    <row r="2" spans="1:13" x14ac:dyDescent="0.3">
      <c r="A2" s="20">
        <v>1</v>
      </c>
      <c r="B2" s="13">
        <f>SUM(SUMIFS(Tableau13[QTE],Tableau13[Repère],"1"),SUMIFS(Tableau134[QTE],Tableau134[Repère],"1"),SUMIFS(Tableau1345[QTE],Tableau1345[Repère],"1"),SUMIFS(Tableau13456[QTE],Tableau13456[Repère],"1"),SUMIFS(Tableau134567[QTE],Tableau134567[Repère],"1"),SUMIFS(Tableau1345678[QTE],Tableau1345678[Repère],"1"),SUMIFS(Tableau13456789[QTE],Tableau13456789[Repère],"1"),SUMIFS(Tableau1345678910[QTE],Tableau1345678910[Repère],"1"),SUMIFS(Tableau13456789101112[QTE],Tableau13456789101112[Repère],"1"),SUMIFS(Tableau134567891011[QTE],Tableau134567891011[Repère],"1"))</f>
        <v>0</v>
      </c>
      <c r="C2" s="5" t="s">
        <v>7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18</v>
      </c>
      <c r="K2" s="5" t="s">
        <v>18</v>
      </c>
      <c r="L2" s="6" t="s">
        <v>18</v>
      </c>
      <c r="M2" s="4"/>
    </row>
    <row r="3" spans="1:13" x14ac:dyDescent="0.3">
      <c r="A3" s="20">
        <v>2</v>
      </c>
      <c r="B3" s="13">
        <f>SUM(SUMIFS(Tableau13[QTE],Tableau13[Repère],"2"),SUMIFS(Tableau134[QTE],Tableau134[Repère],"2"),SUMIFS(Tableau1345[QTE],Tableau1345[Repère],"2"),SUMIFS(Tableau13456[QTE],Tableau13456[Repère],"2"),SUMIFS(Tableau134567[QTE],Tableau134567[Repère],"2"),SUMIFS(Tableau1345678[QTE],Tableau1345678[Repère],"2"),SUMIFS(Tableau13456789[QTE],Tableau13456789[Repère],"2"),SUMIFS(Tableau1345678910[QTE],Tableau1345678910[Repère],"2"),SUMIFS(Tableau13456789101112[QTE],Tableau13456789101112[Repère],"2"),SUMIFS(Tableau134567891011[QTE],Tableau134567891011[Repère],"2"))</f>
        <v>0</v>
      </c>
      <c r="C3" s="5"/>
      <c r="D3" s="5"/>
      <c r="E3" s="5"/>
      <c r="F3" s="5"/>
      <c r="G3" s="5"/>
      <c r="H3" s="5"/>
      <c r="I3" s="5"/>
      <c r="J3" s="5"/>
      <c r="K3" s="5"/>
      <c r="L3" s="6"/>
      <c r="M3" s="4"/>
    </row>
    <row r="4" spans="1:13" x14ac:dyDescent="0.3">
      <c r="A4" s="20">
        <v>3</v>
      </c>
      <c r="B4" s="13">
        <f>SUM(SUMIFS(Tableau13[QTE],Tableau13[Repère],"3"),SUMIFS(Tableau134[QTE],Tableau134[Repère],"3"),SUMIFS(Tableau1345[QTE],Tableau1345[Repère],"3"),SUMIFS(Tableau13456[QTE],Tableau13456[Repère],"3"),SUMIFS(Tableau134567[QTE],Tableau134567[Repère],"3"),SUMIFS(Tableau1345678[QTE],Tableau1345678[Repère],"3"),SUMIFS(Tableau13456789[QTE],Tableau13456789[Repère],"3"),SUMIFS(Tableau1345678910[QTE],Tableau1345678910[Repère],"3"),SUMIFS(Tableau13456789101112[QTE],Tableau13456789101112[Repère],"3"),SUMIFS(Tableau134567891011[QTE],Tableau134567891011[Repère],"3"))</f>
        <v>0</v>
      </c>
      <c r="C4" s="5"/>
      <c r="D4" s="5"/>
      <c r="E4" s="5"/>
      <c r="F4" s="5"/>
      <c r="G4" s="5"/>
      <c r="H4" s="5"/>
      <c r="I4" s="5"/>
      <c r="J4" s="5"/>
      <c r="K4" s="5"/>
      <c r="L4" s="6"/>
      <c r="M4" s="4"/>
    </row>
    <row r="5" spans="1:13" x14ac:dyDescent="0.3">
      <c r="A5" s="20">
        <v>4</v>
      </c>
      <c r="B5" s="13">
        <f>SUM(SUMIFS(Tableau13[QTE],Tableau13[Repère],"4"),SUMIFS(Tableau134[QTE],Tableau134[Repère],"4"),SUMIFS(Tableau1345[QTE],Tableau1345[Repère],"4"),SUMIFS(Tableau13456[QTE],Tableau13456[Repère],"4"),SUMIFS(Tableau134567[QTE],Tableau134567[Repère],"4"),SUMIFS(Tableau1345678[QTE],Tableau1345678[Repère],"4"),SUMIFS(Tableau13456789[QTE],Tableau13456789[Repère],"4"),SUMIFS(Tableau1345678910[QTE],Tableau1345678910[Repère],"4"),SUMIFS(Tableau13456789101112[QTE],Tableau13456789101112[Repère],"4"),SUMIFS(Tableau134567891011[QTE],Tableau134567891011[Repère],"4"))</f>
        <v>0</v>
      </c>
      <c r="C5" s="5"/>
      <c r="D5" s="5"/>
      <c r="E5" s="5"/>
      <c r="F5" s="5"/>
      <c r="G5" s="5"/>
      <c r="H5" s="5"/>
      <c r="I5" s="5"/>
      <c r="J5" s="5"/>
      <c r="K5" s="5"/>
      <c r="L5" s="6"/>
      <c r="M5" s="4"/>
    </row>
    <row r="6" spans="1:13" x14ac:dyDescent="0.3">
      <c r="A6" s="20">
        <v>5</v>
      </c>
      <c r="B6" s="13">
        <f>SUM(SUMIFS(Tableau13[QTE],Tableau13[Repère],"5"),SUMIFS(Tableau134[QTE],Tableau134[Repère],"5"),SUMIFS(Tableau1345[QTE],Tableau1345[Repère],"5"),SUMIFS(Tableau13456[QTE],Tableau13456[Repère],"5"),SUMIFS(Tableau134567[QTE],Tableau134567[Repère],"5"),SUMIFS(Tableau1345678[QTE],Tableau1345678[Repère],"5"),SUMIFS(Tableau13456789[QTE],Tableau13456789[Repère],"5"),SUMIFS(Tableau1345678910[QTE],Tableau1345678910[Repère],"5"),SUMIFS(Tableau13456789101112[QTE],Tableau13456789101112[Repère],"5"),SUMIFS(Tableau134567891011[QTE],Tableau134567891011[Repère],"5"))</f>
        <v>0</v>
      </c>
      <c r="C6" s="5"/>
      <c r="D6" s="5"/>
      <c r="E6" s="5"/>
      <c r="F6" s="5"/>
      <c r="G6" s="5"/>
      <c r="H6" s="5"/>
      <c r="I6" s="5"/>
      <c r="J6" s="5"/>
      <c r="K6" s="5"/>
      <c r="L6" s="6"/>
      <c r="M6" s="4"/>
    </row>
    <row r="7" spans="1:13" x14ac:dyDescent="0.3">
      <c r="A7" s="20">
        <v>6</v>
      </c>
      <c r="B7" s="13">
        <f>SUM(SUMIFS(Tableau13[QTE],Tableau13[Repère],"6"),SUMIFS(Tableau134[QTE],Tableau134[Repère],"6"),SUMIFS(Tableau1345[QTE],Tableau1345[Repère],"6"),SUMIFS(Tableau13456[QTE],Tableau13456[Repère],"6"),SUMIFS(Tableau134567[QTE],Tableau134567[Repère],"6"),SUMIFS(Tableau1345678[QTE],Tableau1345678[Repère],"6"),SUMIFS(Tableau13456789[QTE],Tableau13456789[Repère],"6"),SUMIFS(Tableau1345678910[QTE],Tableau1345678910[Repère],"6"),SUMIFS(Tableau13456789101112[QTE],Tableau13456789101112[Repère],"6"),SUMIFS(Tableau134567891011[QTE],Tableau134567891011[Repère],"6"))</f>
        <v>0</v>
      </c>
      <c r="C7" s="5"/>
      <c r="D7" s="5"/>
      <c r="E7" s="5"/>
      <c r="F7" s="5"/>
      <c r="G7" s="5"/>
      <c r="H7" s="5"/>
      <c r="I7" s="5"/>
      <c r="J7" s="5"/>
      <c r="K7" s="5"/>
      <c r="L7" s="6"/>
      <c r="M7" s="4"/>
    </row>
    <row r="8" spans="1:13" x14ac:dyDescent="0.3">
      <c r="A8" s="20">
        <v>7</v>
      </c>
      <c r="B8" s="13">
        <f>SUM(SUMIFS(Tableau13[QTE],Tableau13[Repère],"7"),SUMIFS(Tableau134[QTE],Tableau134[Repère],"7"),SUMIFS(Tableau1345[QTE],Tableau1345[Repère],"7"),SUMIFS(Tableau13456[QTE],Tableau13456[Repère],"7"),SUMIFS(Tableau134567[QTE],Tableau134567[Repère],"7"),SUMIFS(Tableau1345678[QTE],Tableau1345678[Repère],"7"),SUMIFS(Tableau13456789[QTE],Tableau13456789[Repère],"7"),SUMIFS(Tableau1345678910[QTE],Tableau1345678910[Repère],"7"),SUMIFS(Tableau13456789101112[QTE],Tableau13456789101112[Repère],"7"),SUMIFS(Tableau134567891011[QTE],Tableau134567891011[Repère],"7"))</f>
        <v>0</v>
      </c>
      <c r="C8" s="5"/>
      <c r="D8" s="5"/>
      <c r="E8" s="5"/>
      <c r="F8" s="5"/>
      <c r="G8" s="5"/>
      <c r="H8" s="5"/>
      <c r="I8" s="5"/>
      <c r="J8" s="5"/>
      <c r="K8" s="5"/>
      <c r="L8" s="6"/>
      <c r="M8" s="4"/>
    </row>
    <row r="9" spans="1:13" x14ac:dyDescent="0.3">
      <c r="A9" s="20">
        <v>8</v>
      </c>
      <c r="B9" s="13">
        <f>SUM(SUMIFS(Tableau13[QTE],Tableau13[Repère],"8"),SUMIFS(Tableau134[QTE],Tableau134[Repère],"8"),SUMIFS(Tableau1345[QTE],Tableau1345[Repère],"8"),SUMIFS(Tableau13456[QTE],Tableau13456[Repère],"8"),SUMIFS(Tableau134567[QTE],Tableau134567[Repère],"8"),SUMIFS(Tableau1345678[QTE],Tableau1345678[Repère],"8"),SUMIFS(Tableau13456789[QTE],Tableau13456789[Repère],"8"),SUMIFS(Tableau1345678910[QTE],Tableau1345678910[Repère],"8"),SUMIFS(Tableau13456789101112[QTE],Tableau13456789101112[Repère],"8"),SUMIFS(Tableau134567891011[QTE],Tableau134567891011[Repère],"8"))</f>
        <v>0</v>
      </c>
      <c r="C9" s="5"/>
      <c r="D9" s="5"/>
      <c r="E9" s="5"/>
      <c r="F9" s="5"/>
      <c r="G9" s="5"/>
      <c r="H9" s="5"/>
      <c r="I9" s="5"/>
      <c r="J9" s="5"/>
      <c r="K9" s="5"/>
      <c r="L9" s="6"/>
      <c r="M9" s="4"/>
    </row>
    <row r="10" spans="1:13" x14ac:dyDescent="0.3">
      <c r="A10" s="20">
        <v>9</v>
      </c>
      <c r="B10" s="13">
        <f>SUM(SUMIFS(Tableau13[QTE],Tableau13[Repère],"9"),SUMIFS(Tableau134[QTE],Tableau134[Repère],"9"),SUMIFS(Tableau1345[QTE],Tableau1345[Repère],"9"),SUMIFS(Tableau13456[QTE],Tableau13456[Repère],"9"),SUMIFS(Tableau134567[QTE],Tableau134567[Repère],"9"),SUMIFS(Tableau1345678[QTE],Tableau1345678[Repère],"9"),SUMIFS(Tableau13456789[QTE],Tableau13456789[Repère],"9"),SUMIFS(Tableau1345678910[QTE],Tableau1345678910[Repère],"9"),SUMIFS(Tableau13456789101112[QTE],Tableau13456789101112[Repère],"9"),SUMIFS(Tableau134567891011[QTE],Tableau134567891011[Repère],"9"))</f>
        <v>0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4"/>
    </row>
    <row r="11" spans="1:13" x14ac:dyDescent="0.3">
      <c r="A11" s="20">
        <v>10</v>
      </c>
      <c r="B11" s="13">
        <f>SUM(SUMIFS(Tableau13[QTE],Tableau13[Repère],"10"),SUMIFS(Tableau134[QTE],Tableau134[Repère],"10"),SUMIFS(Tableau1345[QTE],Tableau1345[Repère],"10"),SUMIFS(Tableau13456[QTE],Tableau13456[Repère],"10"),SUMIFS(Tableau134567[QTE],Tableau134567[Repère],"10"),SUMIFS(Tableau1345678[QTE],Tableau1345678[Repère],"10"),SUMIFS(Tableau13456789[QTE],Tableau13456789[Repère],"10"),SUMIFS(Tableau1345678910[QTE],Tableau1345678910[Repère],"10"),SUMIFS(Tableau13456789101112[QTE],Tableau13456789101112[Repère],"10"),SUMIFS(Tableau134567891011[QTE],Tableau134567891011[Repère],"10"))</f>
        <v>0</v>
      </c>
      <c r="C11" s="5"/>
      <c r="D11" s="5"/>
      <c r="E11" s="5"/>
      <c r="F11" s="5"/>
      <c r="G11" s="5"/>
      <c r="H11" s="5"/>
      <c r="I11" s="5"/>
      <c r="J11" s="5"/>
      <c r="K11" s="5"/>
      <c r="L11" s="6"/>
      <c r="M11" s="4"/>
    </row>
    <row r="12" spans="1:13" x14ac:dyDescent="0.3">
      <c r="A12" s="20">
        <v>11</v>
      </c>
      <c r="B12" s="13">
        <f>SUM(SUMIFS(Tableau13[QTE],Tableau13[Repère],"11"),SUMIFS(Tableau134[QTE],Tableau134[Repère],"11"),SUMIFS(Tableau1345[QTE],Tableau1345[Repère],"11"),SUMIFS(Tableau13456[QTE],Tableau13456[Repère],"11"),SUMIFS(Tableau134567[QTE],Tableau134567[Repère],"11"),SUMIFS(Tableau1345678[QTE],Tableau1345678[Repère],"11"),SUMIFS(Tableau13456789[QTE],Tableau13456789[Repère],"11"),SUMIFS(Tableau1345678910[QTE],Tableau1345678910[Repère],"11"),SUMIFS(Tableau13456789101112[QTE],Tableau13456789101112[Repère],"11"),SUMIFS(Tableau134567891011[QTE],Tableau134567891011[Repère],"11"))</f>
        <v>0</v>
      </c>
      <c r="C12" s="5"/>
      <c r="D12" s="5"/>
      <c r="E12" s="5"/>
      <c r="F12" s="5"/>
      <c r="G12" s="5"/>
      <c r="H12" s="5"/>
      <c r="I12" s="5"/>
      <c r="J12" s="5"/>
      <c r="K12" s="5"/>
      <c r="L12" s="6"/>
      <c r="M12" s="4"/>
    </row>
    <row r="13" spans="1:13" x14ac:dyDescent="0.3">
      <c r="A13" s="20">
        <v>12</v>
      </c>
      <c r="B13" s="13">
        <f>SUM(SUMIFS(Tableau13[QTE],Tableau13[Repère],"12"),SUMIFS(Tableau134[QTE],Tableau134[Repère],"12"),SUMIFS(Tableau1345[QTE],Tableau1345[Repère],"12"),SUMIFS(Tableau13456[QTE],Tableau13456[Repère],"12"),SUMIFS(Tableau134567[QTE],Tableau134567[Repère],"12"),SUMIFS(Tableau1345678[QTE],Tableau1345678[Repère],"12"),SUMIFS(Tableau13456789[QTE],Tableau13456789[Repère],"12"),SUMIFS(Tableau1345678910[QTE],Tableau1345678910[Repère],"12"),SUMIFS(Tableau13456789101112[QTE],Tableau13456789101112[Repère],"12"),SUMIFS(Tableau134567891011[QTE],Tableau134567891011[Repère],"12"))</f>
        <v>0</v>
      </c>
      <c r="C13" s="5"/>
      <c r="D13" s="5"/>
      <c r="E13" s="5"/>
      <c r="F13" s="5"/>
      <c r="G13" s="5"/>
      <c r="H13" s="5"/>
      <c r="I13" s="5"/>
      <c r="J13" s="5"/>
      <c r="K13" s="5"/>
      <c r="L13" s="6"/>
      <c r="M13" s="4"/>
    </row>
    <row r="14" spans="1:13" x14ac:dyDescent="0.3">
      <c r="A14" s="20">
        <v>13</v>
      </c>
      <c r="B14" s="13">
        <f>SUM(SUMIFS(Tableau13[QTE],Tableau13[Repère],"13"),SUMIFS(Tableau134[QTE],Tableau134[Repère],"13"),SUMIFS(Tableau1345[QTE],Tableau1345[Repère],"13"),SUMIFS(Tableau13456[QTE],Tableau13456[Repère],"13"),SUMIFS(Tableau134567[QTE],Tableau134567[Repère],"13"),SUMIFS(Tableau1345678[QTE],Tableau1345678[Repère],"13"),SUMIFS(Tableau13456789[QTE],Tableau13456789[Repère],"13"),SUMIFS(Tableau1345678910[QTE],Tableau1345678910[Repère],"13"),SUMIFS(Tableau13456789101112[QTE],Tableau13456789101112[Repère],"13"),SUMIFS(Tableau134567891011[QTE],Tableau134567891011[Repère],"13"))</f>
        <v>0</v>
      </c>
      <c r="C14" s="5"/>
      <c r="D14" s="5"/>
      <c r="E14" s="5"/>
      <c r="F14" s="5"/>
      <c r="G14" s="5"/>
      <c r="H14" s="5"/>
      <c r="I14" s="5"/>
      <c r="J14" s="5"/>
      <c r="K14" s="5"/>
      <c r="L14" s="6"/>
      <c r="M14" s="4"/>
    </row>
    <row r="15" spans="1:13" x14ac:dyDescent="0.3">
      <c r="A15" s="20">
        <v>14</v>
      </c>
      <c r="B15" s="13">
        <f>SUM(SUMIFS(Tableau13[QTE],Tableau13[Repère],"14"),SUMIFS(Tableau134[QTE],Tableau134[Repère],"14"),SUMIFS(Tableau1345[QTE],Tableau1345[Repère],"14"),SUMIFS(Tableau13456[QTE],Tableau13456[Repère],"14"),SUMIFS(Tableau134567[QTE],Tableau134567[Repère],"14"),SUMIFS(Tableau1345678[QTE],Tableau1345678[Repère],"14"),SUMIFS(Tableau13456789[QTE],Tableau13456789[Repère],"14"),SUMIFS(Tableau1345678910[QTE],Tableau1345678910[Repère],"14"),SUMIFS(Tableau13456789101112[QTE],Tableau13456789101112[Repère],"14"),SUMIFS(Tableau134567891011[QTE],Tableau134567891011[Repère],"14"))</f>
        <v>0</v>
      </c>
      <c r="C15" s="5"/>
      <c r="D15" s="5"/>
      <c r="E15" s="5"/>
      <c r="F15" s="5"/>
      <c r="G15" s="5"/>
      <c r="H15" s="5"/>
      <c r="I15" s="5"/>
      <c r="J15" s="5"/>
      <c r="K15" s="5"/>
      <c r="L15" s="6"/>
      <c r="M15" s="4"/>
    </row>
    <row r="16" spans="1:13" x14ac:dyDescent="0.3">
      <c r="A16" s="20">
        <v>15</v>
      </c>
      <c r="B16" s="13">
        <f>SUM(SUMIFS(Tableau13[QTE],Tableau13[Repère],"15"),SUMIFS(Tableau134[QTE],Tableau134[Repère],"15"),SUMIFS(Tableau1345[QTE],Tableau1345[Repère],"15"),SUMIFS(Tableau13456[QTE],Tableau13456[Repère],"15"),SUMIFS(Tableau134567[QTE],Tableau134567[Repère],"15"),SUMIFS(Tableau1345678[QTE],Tableau1345678[Repère],"15"),SUMIFS(Tableau13456789[QTE],Tableau13456789[Repère],"15"),SUMIFS(Tableau1345678910[QTE],Tableau1345678910[Repère],"15"),SUMIFS(Tableau13456789101112[QTE],Tableau13456789101112[Repère],"15"),SUMIFS(Tableau134567891011[QTE],Tableau134567891011[Repère],"15"))</f>
        <v>0</v>
      </c>
      <c r="C16" s="5"/>
      <c r="D16" s="5"/>
      <c r="E16" s="5"/>
      <c r="F16" s="5"/>
      <c r="G16" s="5"/>
      <c r="H16" s="5"/>
      <c r="I16" s="5"/>
      <c r="J16" s="5"/>
      <c r="K16" s="5"/>
      <c r="L16" s="6"/>
      <c r="M16" s="4"/>
    </row>
    <row r="17" spans="1:13" x14ac:dyDescent="0.3">
      <c r="A17" s="20">
        <v>16</v>
      </c>
      <c r="B17" s="13">
        <f>SUM(SUMIFS(Tableau13[QTE],Tableau13[Repère],"16"),SUMIFS(Tableau134[QTE],Tableau134[Repère],"16"),SUMIFS(Tableau1345[QTE],Tableau1345[Repère],"16"),SUMIFS(Tableau13456[QTE],Tableau13456[Repère],"16"),SUMIFS(Tableau134567[QTE],Tableau134567[Repère],"16"),SUMIFS(Tableau1345678[QTE],Tableau1345678[Repère],"16"),SUMIFS(Tableau13456789[QTE],Tableau13456789[Repère],"16"),SUMIFS(Tableau1345678910[QTE],Tableau1345678910[Repère],"16"),SUMIFS(Tableau13456789101112[QTE],Tableau13456789101112[Repère],"16"),SUMIFS(Tableau134567891011[QTE],Tableau134567891011[Repère],"16"))</f>
        <v>0</v>
      </c>
      <c r="C17" s="5"/>
      <c r="D17" s="5"/>
      <c r="E17" s="5"/>
      <c r="F17" s="5"/>
      <c r="G17" s="5"/>
      <c r="H17" s="5"/>
      <c r="I17" s="5"/>
      <c r="J17" s="5"/>
      <c r="K17" s="5"/>
      <c r="L17" s="6"/>
      <c r="M17" s="4"/>
    </row>
    <row r="18" spans="1:13" x14ac:dyDescent="0.3">
      <c r="A18" s="20">
        <v>17</v>
      </c>
      <c r="B18" s="13">
        <f>SUM(SUMIFS(Tableau13[QTE],Tableau13[Repère],"17"),SUMIFS(Tableau134[QTE],Tableau134[Repère],"17"),SUMIFS(Tableau1345[QTE],Tableau1345[Repère],"17"),SUMIFS(Tableau13456[QTE],Tableau13456[Repère],"17"),SUMIFS(Tableau134567[QTE],Tableau134567[Repère],"17"),SUMIFS(Tableau1345678[QTE],Tableau1345678[Repère],"17"),SUMIFS(Tableau13456789[QTE],Tableau13456789[Repère],"17"),SUMIFS(Tableau1345678910[QTE],Tableau1345678910[Repère],"17"),SUMIFS(Tableau13456789101112[QTE],Tableau13456789101112[Repère],"17"),SUMIFS(Tableau134567891011[QTE],Tableau134567891011[Repère],"17"))</f>
        <v>0</v>
      </c>
      <c r="C18" s="5"/>
      <c r="D18" s="5"/>
      <c r="E18" s="5"/>
      <c r="F18" s="5"/>
      <c r="G18" s="5"/>
      <c r="H18" s="5"/>
      <c r="I18" s="5"/>
      <c r="J18" s="5"/>
      <c r="K18" s="5"/>
      <c r="L18" s="6"/>
      <c r="M18" s="4"/>
    </row>
    <row r="19" spans="1:13" x14ac:dyDescent="0.3">
      <c r="A19" s="20">
        <v>18</v>
      </c>
      <c r="B19" s="13">
        <f>SUM(SUMIFS(Tableau13[QTE],Tableau13[Repère],"18"),SUMIFS(Tableau134[QTE],Tableau134[Repère],"18"),SUMIFS(Tableau1345[QTE],Tableau1345[Repère],"18"),SUMIFS(Tableau13456[QTE],Tableau13456[Repère],"18"),SUMIFS(Tableau134567[QTE],Tableau134567[Repère],"18"),SUMIFS(Tableau1345678[QTE],Tableau1345678[Repère],"18"),SUMIFS(Tableau13456789[QTE],Tableau13456789[Repère],"18"),SUMIFS(Tableau1345678910[QTE],Tableau1345678910[Repère],"18"),SUMIFS(Tableau13456789101112[QTE],Tableau13456789101112[Repère],"18"),SUMIFS(Tableau134567891011[QTE],Tableau134567891011[Repère],"18"))</f>
        <v>0</v>
      </c>
      <c r="C19" s="5"/>
      <c r="D19" s="5"/>
      <c r="E19" s="5"/>
      <c r="F19" s="5"/>
      <c r="G19" s="5"/>
      <c r="H19" s="5"/>
      <c r="I19" s="5"/>
      <c r="J19" s="5"/>
      <c r="K19" s="5"/>
      <c r="L19" s="6"/>
      <c r="M19" s="4"/>
    </row>
    <row r="20" spans="1:13" x14ac:dyDescent="0.3">
      <c r="A20" s="20">
        <v>19</v>
      </c>
      <c r="B20" s="13">
        <f>SUM(SUMIFS(Tableau13[QTE],Tableau13[Repère],"19"),SUMIFS(Tableau134[QTE],Tableau134[Repère],"19"),SUMIFS(Tableau1345[QTE],Tableau1345[Repère],"19"),SUMIFS(Tableau13456[QTE],Tableau13456[Repère],"19"),SUMIFS(Tableau134567[QTE],Tableau134567[Repère],"19"),SUMIFS(Tableau1345678[QTE],Tableau1345678[Repère],"19"),SUMIFS(Tableau13456789[QTE],Tableau13456789[Repère],"19"),SUMIFS(Tableau1345678910[QTE],Tableau1345678910[Repère],"19"),SUMIFS(Tableau13456789101112[QTE],Tableau13456789101112[Repère],"19"),SUMIFS(Tableau134567891011[QTE],Tableau134567891011[Repère],"19"))</f>
        <v>0</v>
      </c>
      <c r="C20" s="5"/>
      <c r="D20" s="5"/>
      <c r="E20" s="5"/>
      <c r="F20" s="5"/>
      <c r="G20" s="5"/>
      <c r="H20" s="5"/>
      <c r="I20" s="5"/>
      <c r="J20" s="5"/>
      <c r="K20" s="5"/>
      <c r="L20" s="6"/>
      <c r="M20" s="4"/>
    </row>
    <row r="21" spans="1:13" x14ac:dyDescent="0.3">
      <c r="A21" s="20">
        <v>20</v>
      </c>
      <c r="B21" s="13">
        <f>SUM(SUMIFS(Tableau13[QTE],Tableau13[Repère],"20"),SUMIFS(Tableau134[QTE],Tableau134[Repère],"20"),SUMIFS(Tableau1345[QTE],Tableau1345[Repère],"20"),SUMIFS(Tableau13456[QTE],Tableau13456[Repère],"20"),SUMIFS(Tableau134567[QTE],Tableau134567[Repère],"20"),SUMIFS(Tableau1345678[QTE],Tableau1345678[Repère],"20"),SUMIFS(Tableau13456789[QTE],Tableau13456789[Repère],"20"),SUMIFS(Tableau1345678910[QTE],Tableau1345678910[Repère],"20"),SUMIFS(Tableau13456789101112[QTE],Tableau13456789101112[Repère],"20"),SUMIFS(Tableau134567891011[QTE],Tableau134567891011[Repère],"20"))</f>
        <v>0</v>
      </c>
      <c r="C21" s="5"/>
      <c r="D21" s="5"/>
      <c r="E21" s="5"/>
      <c r="F21" s="5"/>
      <c r="G21" s="5"/>
      <c r="H21" s="5"/>
      <c r="I21" s="5"/>
      <c r="J21" s="5"/>
      <c r="K21" s="5"/>
      <c r="L21" s="6"/>
      <c r="M21" s="4"/>
    </row>
    <row r="22" spans="1:13" x14ac:dyDescent="0.3">
      <c r="A22" s="20">
        <v>21</v>
      </c>
      <c r="B22" s="13">
        <f>SUM(SUMIFS(Tableau13[QTE],Tableau13[Repère],"21"),SUMIFS(Tableau134[QTE],Tableau134[Repère],"21"),SUMIFS(Tableau1345[QTE],Tableau1345[Repère],"21"),SUMIFS(Tableau13456[QTE],Tableau13456[Repère],"21"),SUMIFS(Tableau134567[QTE],Tableau134567[Repère],"21"),SUMIFS(Tableau1345678[QTE],Tableau1345678[Repère],"21"),SUMIFS(Tableau13456789[QTE],Tableau13456789[Repère],"21"),SUMIFS(Tableau1345678910[QTE],Tableau1345678910[Repère],"21"),SUMIFS(Tableau13456789101112[QTE],Tableau13456789101112[Repère],"21"),SUMIFS(Tableau134567891011[QTE],Tableau134567891011[Repère],"21"))</f>
        <v>0</v>
      </c>
      <c r="C22" s="5"/>
      <c r="D22" s="5"/>
      <c r="E22" s="5"/>
      <c r="F22" s="5"/>
      <c r="G22" s="5"/>
      <c r="H22" s="5"/>
      <c r="I22" s="5"/>
      <c r="J22" s="5"/>
      <c r="K22" s="5"/>
      <c r="L22" s="6"/>
      <c r="M22" s="4"/>
    </row>
    <row r="23" spans="1:13" x14ac:dyDescent="0.3">
      <c r="A23" s="20">
        <v>22</v>
      </c>
      <c r="B23" s="13">
        <f>SUM(SUMIFS(Tableau13[QTE],Tableau13[Repère],"22"),SUMIFS(Tableau134[QTE],Tableau134[Repère],"22"),SUMIFS(Tableau1345[QTE],Tableau1345[Repère],"22"),SUMIFS(Tableau13456[QTE],Tableau13456[Repère],"22"),SUMIFS(Tableau134567[QTE],Tableau134567[Repère],"22"),SUMIFS(Tableau1345678[QTE],Tableau1345678[Repère],"22"),SUMIFS(Tableau13456789[QTE],Tableau13456789[Repère],"22"),SUMIFS(Tableau1345678910[QTE],Tableau1345678910[Repère],"22"),SUMIFS(Tableau13456789101112[QTE],Tableau13456789101112[Repère],"22"),SUMIFS(Tableau134567891011[QTE],Tableau134567891011[Repère],"22"))</f>
        <v>0</v>
      </c>
      <c r="C23" s="5"/>
      <c r="D23" s="5"/>
      <c r="E23" s="5"/>
      <c r="F23" s="5"/>
      <c r="G23" s="5"/>
      <c r="H23" s="5"/>
      <c r="I23" s="5"/>
      <c r="J23" s="5"/>
      <c r="K23" s="5"/>
      <c r="L23" s="6"/>
      <c r="M23" s="4"/>
    </row>
    <row r="24" spans="1:13" x14ac:dyDescent="0.3">
      <c r="A24" s="20">
        <v>23</v>
      </c>
      <c r="B24" s="13">
        <f>SUM(SUMIFS(Tableau13[QTE],Tableau13[Repère],"23"),SUMIFS(Tableau134[QTE],Tableau134[Repère],"23"),SUMIFS(Tableau1345[QTE],Tableau1345[Repère],"23"),SUMIFS(Tableau13456[QTE],Tableau13456[Repère],"23"),SUMIFS(Tableau134567[QTE],Tableau134567[Repère],"23"),SUMIFS(Tableau1345678[QTE],Tableau1345678[Repère],"23"),SUMIFS(Tableau13456789[QTE],Tableau13456789[Repère],"23"),SUMIFS(Tableau1345678910[QTE],Tableau1345678910[Repère],"23"),SUMIFS(Tableau13456789101112[QTE],Tableau13456789101112[Repère],"23"),SUMIFS(Tableau134567891011[QTE],Tableau134567891011[Repère],"23"))</f>
        <v>0</v>
      </c>
      <c r="C24" s="5"/>
      <c r="D24" s="5"/>
      <c r="E24" s="5"/>
      <c r="F24" s="5"/>
      <c r="G24" s="5"/>
      <c r="H24" s="5"/>
      <c r="I24" s="5"/>
      <c r="J24" s="5"/>
      <c r="K24" s="5"/>
      <c r="L24" s="6"/>
      <c r="M24" s="4"/>
    </row>
    <row r="25" spans="1:13" x14ac:dyDescent="0.3">
      <c r="A25" s="20">
        <v>24</v>
      </c>
      <c r="B25" s="13">
        <f>SUM(SUMIFS(Tableau13[QTE],Tableau13[Repère],"24"),SUMIFS(Tableau134[QTE],Tableau134[Repère],"24"),SUMIFS(Tableau1345[QTE],Tableau1345[Repère],"24"),SUMIFS(Tableau13456[QTE],Tableau13456[Repère],"24"),SUMIFS(Tableau134567[QTE],Tableau134567[Repère],"24"),SUMIFS(Tableau1345678[QTE],Tableau1345678[Repère],"24"),SUMIFS(Tableau13456789[QTE],Tableau13456789[Repère],"24"),SUMIFS(Tableau1345678910[QTE],Tableau1345678910[Repère],"24"),SUMIFS(Tableau13456789101112[QTE],Tableau13456789101112[Repère],"24"),SUMIFS(Tableau134567891011[QTE],Tableau134567891011[Repère],"24"))</f>
        <v>0</v>
      </c>
      <c r="C25" s="5"/>
      <c r="D25" s="5"/>
      <c r="E25" s="5"/>
      <c r="F25" s="5"/>
      <c r="G25" s="5"/>
      <c r="H25" s="5"/>
      <c r="I25" s="5"/>
      <c r="J25" s="5"/>
      <c r="K25" s="5"/>
      <c r="L25" s="6"/>
      <c r="M25" s="4"/>
    </row>
    <row r="26" spans="1:13" x14ac:dyDescent="0.3">
      <c r="A26" s="20">
        <v>25</v>
      </c>
      <c r="B26" s="13">
        <f>SUM(SUMIFS(Tableau13[QTE],Tableau13[Repère],"25"),SUMIFS(Tableau134[QTE],Tableau134[Repère],"25"),SUMIFS(Tableau1345[QTE],Tableau1345[Repère],"25"),SUMIFS(Tableau13456[QTE],Tableau13456[Repère],"25"),SUMIFS(Tableau134567[QTE],Tableau134567[Repère],"25"),SUMIFS(Tableau1345678[QTE],Tableau1345678[Repère],"25"),SUMIFS(Tableau13456789[QTE],Tableau13456789[Repère],"25"),SUMIFS(Tableau1345678910[QTE],Tableau1345678910[Repère],"25"),SUMIFS(Tableau13456789101112[QTE],Tableau13456789101112[Repère],"25"),SUMIFS(Tableau134567891011[QTE],Tableau134567891011[Repère],"25"))</f>
        <v>0</v>
      </c>
      <c r="C26" s="5"/>
      <c r="D26" s="5"/>
      <c r="E26" s="5"/>
      <c r="F26" s="5"/>
      <c r="G26" s="5"/>
      <c r="H26" s="5"/>
      <c r="I26" s="5"/>
      <c r="J26" s="5"/>
      <c r="K26" s="5"/>
      <c r="L26" s="6"/>
      <c r="M26" s="4"/>
    </row>
    <row r="27" spans="1:13" x14ac:dyDescent="0.3">
      <c r="A27" s="20">
        <v>26</v>
      </c>
      <c r="B27" s="13">
        <f>SUM(SUMIFS(Tableau13[QTE],Tableau13[Repère],"26"),SUMIFS(Tableau134[QTE],Tableau134[Repère],"26"),SUMIFS(Tableau1345[QTE],Tableau1345[Repère],"26"),SUMIFS(Tableau13456[QTE],Tableau13456[Repère],"26"),SUMIFS(Tableau134567[QTE],Tableau134567[Repère],"26"),SUMIFS(Tableau1345678[QTE],Tableau1345678[Repère],"26"),SUMIFS(Tableau13456789[QTE],Tableau13456789[Repère],"26"),SUMIFS(Tableau1345678910[QTE],Tableau1345678910[Repère],"26"),SUMIFS(Tableau13456789101112[QTE],Tableau13456789101112[Repère],"26"),SUMIFS(Tableau134567891011[QTE],Tableau134567891011[Repère],"26"))</f>
        <v>0</v>
      </c>
      <c r="C27" s="5"/>
      <c r="D27" s="5"/>
      <c r="E27" s="5"/>
      <c r="F27" s="5"/>
      <c r="G27" s="5"/>
      <c r="H27" s="5"/>
      <c r="I27" s="5"/>
      <c r="J27" s="5"/>
      <c r="K27" s="5"/>
      <c r="L27" s="6"/>
      <c r="M27" s="4"/>
    </row>
    <row r="28" spans="1:13" x14ac:dyDescent="0.3">
      <c r="A28" s="20">
        <v>27</v>
      </c>
      <c r="B28" s="13">
        <f>SUM(SUMIFS(Tableau13[QTE],Tableau13[Repère],"27"),SUMIFS(Tableau134[QTE],Tableau134[Repère],"27"),SUMIFS(Tableau1345[QTE],Tableau1345[Repère],"27"),SUMIFS(Tableau13456[QTE],Tableau13456[Repère],"27"),SUMIFS(Tableau134567[QTE],Tableau134567[Repère],"27"),SUMIFS(Tableau1345678[QTE],Tableau1345678[Repère],"27"),SUMIFS(Tableau13456789[QTE],Tableau13456789[Repère],"27"),SUMIFS(Tableau1345678910[QTE],Tableau1345678910[Repère],"27"),SUMIFS(Tableau13456789101112[QTE],Tableau13456789101112[Repère],"27"),SUMIFS(Tableau134567891011[QTE],Tableau134567891011[Repère],"27"))</f>
        <v>0</v>
      </c>
      <c r="C28" s="5"/>
      <c r="D28" s="5"/>
      <c r="E28" s="5"/>
      <c r="F28" s="5"/>
      <c r="G28" s="5"/>
      <c r="H28" s="5"/>
      <c r="I28" s="5"/>
      <c r="J28" s="5"/>
      <c r="K28" s="5"/>
      <c r="L28" s="6"/>
      <c r="M28" s="4"/>
    </row>
    <row r="29" spans="1:13" x14ac:dyDescent="0.3">
      <c r="A29" s="20">
        <v>28</v>
      </c>
      <c r="B29" s="13">
        <f>SUM(SUMIFS(Tableau13[QTE],Tableau13[Repère],"28"),SUMIFS(Tableau134[QTE],Tableau134[Repère],"28"),SUMIFS(Tableau1345[QTE],Tableau1345[Repère],"28"),SUMIFS(Tableau13456[QTE],Tableau13456[Repère],"28"),SUMIFS(Tableau134567[QTE],Tableau134567[Repère],"28"),SUMIFS(Tableau1345678[QTE],Tableau1345678[Repère],"28"),SUMIFS(Tableau13456789[QTE],Tableau13456789[Repère],"28"),SUMIFS(Tableau1345678910[QTE],Tableau1345678910[Repère],"28"),SUMIFS(Tableau13456789101112[QTE],Tableau13456789101112[Repère],"28"),SUMIFS(Tableau134567891011[QTE],Tableau134567891011[Repère],"28"))</f>
        <v>0</v>
      </c>
      <c r="C29" s="5"/>
      <c r="D29" s="5"/>
      <c r="E29" s="5"/>
      <c r="F29" s="5"/>
      <c r="G29" s="5"/>
      <c r="H29" s="5"/>
      <c r="I29" s="5"/>
      <c r="J29" s="5"/>
      <c r="K29" s="5"/>
      <c r="L29" s="6"/>
      <c r="M29" s="4"/>
    </row>
    <row r="30" spans="1:13" x14ac:dyDescent="0.3">
      <c r="A30" s="20">
        <v>29</v>
      </c>
      <c r="B30" s="13">
        <f>SUM(SUMIFS(Tableau13[QTE],Tableau13[Repère],"29"),SUMIFS(Tableau134[QTE],Tableau134[Repère],"29"),SUMIFS(Tableau1345[QTE],Tableau1345[Repère],"29"),SUMIFS(Tableau13456[QTE],Tableau13456[Repère],"29"),SUMIFS(Tableau134567[QTE],Tableau134567[Repère],"29"),SUMIFS(Tableau1345678[QTE],Tableau1345678[Repère],"29"),SUMIFS(Tableau13456789[QTE],Tableau13456789[Repère],"29"),SUMIFS(Tableau1345678910[QTE],Tableau1345678910[Repère],"29"),SUMIFS(Tableau13456789101112[QTE],Tableau13456789101112[Repère],"29"),SUMIFS(Tableau134567891011[QTE],Tableau134567891011[Repère],"29"))</f>
        <v>0</v>
      </c>
      <c r="C30" s="5"/>
      <c r="D30" s="5"/>
      <c r="E30" s="5"/>
      <c r="F30" s="5"/>
      <c r="G30" s="5"/>
      <c r="H30" s="5"/>
      <c r="I30" s="5"/>
      <c r="J30" s="5"/>
      <c r="K30" s="5"/>
      <c r="L30" s="6"/>
      <c r="M30" s="4"/>
    </row>
    <row r="31" spans="1:13" x14ac:dyDescent="0.3">
      <c r="A31" s="20">
        <v>30</v>
      </c>
      <c r="B31" s="13">
        <f>SUM(SUMIFS(Tableau13[QTE],Tableau13[Repère],"30"),SUMIFS(Tableau134[QTE],Tableau134[Repère],"30"),SUMIFS(Tableau1345[QTE],Tableau1345[Repère],"30"),SUMIFS(Tableau13456[QTE],Tableau13456[Repère],"30"),SUMIFS(Tableau134567[QTE],Tableau134567[Repère],"30"),SUMIFS(Tableau1345678[QTE],Tableau1345678[Repère],"30"),SUMIFS(Tableau13456789[QTE],Tableau13456789[Repère],"30"),SUMIFS(Tableau1345678910[QTE],Tableau1345678910[Repère],"30"),SUMIFS(Tableau13456789101112[QTE],Tableau13456789101112[Repère],"30"),SUMIFS(Tableau134567891011[QTE],Tableau134567891011[Repère],"30"))</f>
        <v>0</v>
      </c>
      <c r="C31" s="5"/>
      <c r="D31" s="5"/>
      <c r="E31" s="5"/>
      <c r="F31" s="5"/>
      <c r="G31" s="5"/>
      <c r="H31" s="5"/>
      <c r="I31" s="5"/>
      <c r="J31" s="5"/>
      <c r="K31" s="5"/>
      <c r="L31" s="6"/>
      <c r="M31" s="4"/>
    </row>
    <row r="32" spans="1:13" x14ac:dyDescent="0.3">
      <c r="A32" s="20">
        <v>31</v>
      </c>
      <c r="B32" s="13">
        <f>SUM(SUMIFS(Tableau13[QTE],Tableau13[Repère],"31"),SUMIFS(Tableau134[QTE],Tableau134[Repère],"31"),SUMIFS(Tableau1345[QTE],Tableau1345[Repère],"31"),SUMIFS(Tableau13456[QTE],Tableau13456[Repère],"31"),SUMIFS(Tableau134567[QTE],Tableau134567[Repère],"31"),SUMIFS(Tableau1345678[QTE],Tableau1345678[Repère],"31"),SUMIFS(Tableau13456789[QTE],Tableau13456789[Repère],"31"),SUMIFS(Tableau1345678910[QTE],Tableau1345678910[Repère],"31"),SUMIFS(Tableau13456789101112[QTE],Tableau13456789101112[Repère],"31"),SUMIFS(Tableau134567891011[QTE],Tableau134567891011[Repère],"31"))</f>
        <v>0</v>
      </c>
      <c r="C32" s="5"/>
      <c r="D32" s="5"/>
      <c r="E32" s="5"/>
      <c r="F32" s="5"/>
      <c r="G32" s="5"/>
      <c r="H32" s="5"/>
      <c r="I32" s="5"/>
      <c r="J32" s="5"/>
      <c r="K32" s="5"/>
      <c r="L32" s="6"/>
      <c r="M32" s="4"/>
    </row>
    <row r="33" spans="1:13" x14ac:dyDescent="0.3">
      <c r="A33" s="20">
        <v>32</v>
      </c>
      <c r="B33" s="13">
        <f>SUM(SUMIFS(Tableau13[QTE],Tableau13[Repère],"32"),SUMIFS(Tableau134[QTE],Tableau134[Repère],"32"),SUMIFS(Tableau1345[QTE],Tableau1345[Repère],"32"),SUMIFS(Tableau13456[QTE],Tableau13456[Repère],"32"),SUMIFS(Tableau134567[QTE],Tableau134567[Repère],"32"),SUMIFS(Tableau1345678[QTE],Tableau1345678[Repère],"32"),SUMIFS(Tableau13456789[QTE],Tableau13456789[Repère],"32"),SUMIFS(Tableau1345678910[QTE],Tableau1345678910[Repère],"32"),SUMIFS(Tableau13456789101112[QTE],Tableau13456789101112[Repère],"32"),SUMIFS(Tableau134567891011[QTE],Tableau134567891011[Repère],"32"))</f>
        <v>0</v>
      </c>
      <c r="C33" s="5"/>
      <c r="D33" s="5"/>
      <c r="E33" s="5"/>
      <c r="F33" s="5"/>
      <c r="G33" s="5"/>
      <c r="H33" s="5"/>
      <c r="I33" s="5"/>
      <c r="J33" s="5"/>
      <c r="K33" s="5"/>
      <c r="L33" s="6"/>
      <c r="M33" s="4"/>
    </row>
    <row r="34" spans="1:13" x14ac:dyDescent="0.3">
      <c r="A34" s="20">
        <v>33</v>
      </c>
      <c r="B34" s="13">
        <f>SUM(SUMIFS(Tableau13[QTE],Tableau13[Repère],"33"),SUMIFS(Tableau134[QTE],Tableau134[Repère],"33"),SUMIFS(Tableau1345[QTE],Tableau1345[Repère],"33"),SUMIFS(Tableau13456[QTE],Tableau13456[Repère],"33"),SUMIFS(Tableau134567[QTE],Tableau134567[Repère],"33"),SUMIFS(Tableau1345678[QTE],Tableau1345678[Repère],"33"),SUMIFS(Tableau13456789[QTE],Tableau13456789[Repère],"33"),SUMIFS(Tableau1345678910[QTE],Tableau1345678910[Repère],"33"),SUMIFS(Tableau13456789101112[QTE],Tableau13456789101112[Repère],"33"),SUMIFS(Tableau134567891011[QTE],Tableau134567891011[Repère],"33"))</f>
        <v>0</v>
      </c>
      <c r="C34" s="5"/>
      <c r="D34" s="5"/>
      <c r="E34" s="5"/>
      <c r="F34" s="5"/>
      <c r="G34" s="5"/>
      <c r="H34" s="5"/>
      <c r="I34" s="5"/>
      <c r="J34" s="5"/>
      <c r="K34" s="5"/>
      <c r="L34" s="6"/>
      <c r="M34" s="4"/>
    </row>
    <row r="35" spans="1:13" x14ac:dyDescent="0.3">
      <c r="A35" s="20">
        <v>34</v>
      </c>
      <c r="B35" s="13">
        <f>SUM(SUMIFS(Tableau13[QTE],Tableau13[Repère],"34"),SUMIFS(Tableau134[QTE],Tableau134[Repère],"34"),SUMIFS(Tableau1345[QTE],Tableau1345[Repère],"34"),SUMIFS(Tableau13456[QTE],Tableau13456[Repère],"34"),SUMIFS(Tableau134567[QTE],Tableau134567[Repère],"34"),SUMIFS(Tableau1345678[QTE],Tableau1345678[Repère],"34"),SUMIFS(Tableau13456789[QTE],Tableau13456789[Repère],"34"),SUMIFS(Tableau1345678910[QTE],Tableau1345678910[Repère],"34"),SUMIFS(Tableau13456789101112[QTE],Tableau13456789101112[Repère],"34"),SUMIFS(Tableau134567891011[QTE],Tableau134567891011[Repère],"34"))</f>
        <v>0</v>
      </c>
      <c r="C35" s="5"/>
      <c r="D35" s="5"/>
      <c r="E35" s="5"/>
      <c r="F35" s="5"/>
      <c r="G35" s="5"/>
      <c r="H35" s="5"/>
      <c r="I35" s="5"/>
      <c r="J35" s="5"/>
      <c r="K35" s="5"/>
      <c r="L35" s="6"/>
      <c r="M35" s="4"/>
    </row>
    <row r="36" spans="1:13" x14ac:dyDescent="0.3">
      <c r="A36" s="20">
        <v>35</v>
      </c>
      <c r="B36" s="13">
        <f>SUM(SUMIFS(Tableau13[QTE],Tableau13[Repère],"35"),SUMIFS(Tableau134[QTE],Tableau134[Repère],"35"),SUMIFS(Tableau1345[QTE],Tableau1345[Repère],"35"),SUMIFS(Tableau13456[QTE],Tableau13456[Repère],"35"),SUMIFS(Tableau134567[QTE],Tableau134567[Repère],"35"),SUMIFS(Tableau1345678[QTE],Tableau1345678[Repère],"35"),SUMIFS(Tableau13456789[QTE],Tableau13456789[Repère],"35"),SUMIFS(Tableau1345678910[QTE],Tableau1345678910[Repère],"35"),SUMIFS(Tableau13456789101112[QTE],Tableau13456789101112[Repère],"35"),SUMIFS(Tableau134567891011[QTE],Tableau134567891011[Repère],"35"))</f>
        <v>0</v>
      </c>
      <c r="C36" s="5"/>
      <c r="D36" s="5"/>
      <c r="E36" s="5"/>
      <c r="F36" s="5"/>
      <c r="G36" s="5"/>
      <c r="H36" s="5"/>
      <c r="I36" s="5"/>
      <c r="J36" s="5"/>
      <c r="K36" s="5"/>
      <c r="L36" s="6"/>
      <c r="M36" s="4"/>
    </row>
    <row r="37" spans="1:13" x14ac:dyDescent="0.3">
      <c r="A37" s="20">
        <v>36</v>
      </c>
      <c r="B37" s="13">
        <f>SUM(SUMIFS(Tableau13[QTE],Tableau13[Repère],"36"),SUMIFS(Tableau134[QTE],Tableau134[Repère],"36"),SUMIFS(Tableau1345[QTE],Tableau1345[Repère],"36"),SUMIFS(Tableau13456[QTE],Tableau13456[Repère],"36"),SUMIFS(Tableau134567[QTE],Tableau134567[Repère],"36"),SUMIFS(Tableau1345678[QTE],Tableau1345678[Repère],"36"),SUMIFS(Tableau13456789[QTE],Tableau13456789[Repère],"36"),SUMIFS(Tableau1345678910[QTE],Tableau1345678910[Repère],"36"),SUMIFS(Tableau13456789101112[QTE],Tableau13456789101112[Repère],"36"),SUMIFS(Tableau134567891011[QTE],Tableau134567891011[Repère],"36"))</f>
        <v>0</v>
      </c>
      <c r="C37" s="5"/>
      <c r="D37" s="5"/>
      <c r="E37" s="5"/>
      <c r="F37" s="5"/>
      <c r="G37" s="5"/>
      <c r="H37" s="5"/>
      <c r="I37" s="5"/>
      <c r="J37" s="5"/>
      <c r="K37" s="5"/>
      <c r="L37" s="6"/>
      <c r="M37" s="4"/>
    </row>
    <row r="38" spans="1:13" x14ac:dyDescent="0.3">
      <c r="A38" s="20">
        <v>37</v>
      </c>
      <c r="B38" s="13">
        <f>SUM(SUMIFS(Tableau13[QTE],Tableau13[Repère],"37"),SUMIFS(Tableau134[QTE],Tableau134[Repère],"37"),SUMIFS(Tableau1345[QTE],Tableau1345[Repère],"37"),SUMIFS(Tableau13456[QTE],Tableau13456[Repère],"37"),SUMIFS(Tableau134567[QTE],Tableau134567[Repère],"37"),SUMIFS(Tableau1345678[QTE],Tableau1345678[Repère],"37"),SUMIFS(Tableau13456789[QTE],Tableau13456789[Repère],"37"),SUMIFS(Tableau1345678910[QTE],Tableau1345678910[Repère],"37"),SUMIFS(Tableau13456789101112[QTE],Tableau13456789101112[Repère],"37"),SUMIFS(Tableau134567891011[QTE],Tableau134567891011[Repère],"37"))</f>
        <v>0</v>
      </c>
      <c r="C38" s="5"/>
      <c r="D38" s="5"/>
      <c r="E38" s="5"/>
      <c r="F38" s="5"/>
      <c r="G38" s="5"/>
      <c r="H38" s="5"/>
      <c r="I38" s="5"/>
      <c r="J38" s="5"/>
      <c r="K38" s="5"/>
      <c r="L38" s="6"/>
      <c r="M38" s="4"/>
    </row>
    <row r="39" spans="1:13" x14ac:dyDescent="0.3">
      <c r="A39" s="20">
        <v>38</v>
      </c>
      <c r="B39" s="13">
        <f>SUM(SUMIFS(Tableau13[QTE],Tableau13[Repère],"38"),SUMIFS(Tableau134[QTE],Tableau134[Repère],"38"),SUMIFS(Tableau1345[QTE],Tableau1345[Repère],"38"),SUMIFS(Tableau13456[QTE],Tableau13456[Repère],"38"),SUMIFS(Tableau134567[QTE],Tableau134567[Repère],"38"),SUMIFS(Tableau1345678[QTE],Tableau1345678[Repère],"38"),SUMIFS(Tableau13456789[QTE],Tableau13456789[Repère],"38"),SUMIFS(Tableau1345678910[QTE],Tableau1345678910[Repère],"38"),SUMIFS(Tableau13456789101112[QTE],Tableau13456789101112[Repère],"38"),SUMIFS(Tableau134567891011[QTE],Tableau134567891011[Repère],"38"))</f>
        <v>0</v>
      </c>
      <c r="C39" s="5"/>
      <c r="D39" s="5"/>
      <c r="E39" s="5"/>
      <c r="F39" s="5"/>
      <c r="G39" s="5"/>
      <c r="H39" s="5"/>
      <c r="I39" s="5"/>
      <c r="J39" s="5"/>
      <c r="K39" s="5"/>
      <c r="L39" s="6"/>
      <c r="M39" s="4"/>
    </row>
    <row r="40" spans="1:13" x14ac:dyDescent="0.3">
      <c r="A40" s="20">
        <v>39</v>
      </c>
      <c r="B40" s="13">
        <f>SUM(SUMIFS(Tableau13[QTE],Tableau13[Repère],"39"),SUMIFS(Tableau134[QTE],Tableau134[Repère],"39"),SUMIFS(Tableau1345[QTE],Tableau1345[Repère],"39"),SUMIFS(Tableau13456[QTE],Tableau13456[Repère],"39"),SUMIFS(Tableau134567[QTE],Tableau134567[Repère],"39"),SUMIFS(Tableau1345678[QTE],Tableau1345678[Repère],"39"),SUMIFS(Tableau13456789[QTE],Tableau13456789[Repère],"39"),SUMIFS(Tableau1345678910[QTE],Tableau1345678910[Repère],"39"),SUMIFS(Tableau13456789101112[QTE],Tableau13456789101112[Repère],"39"),SUMIFS(Tableau134567891011[QTE],Tableau134567891011[Repère],"39"))</f>
        <v>0</v>
      </c>
      <c r="C40" s="5"/>
      <c r="D40" s="5"/>
      <c r="E40" s="5"/>
      <c r="F40" s="5"/>
      <c r="G40" s="5"/>
      <c r="H40" s="5"/>
      <c r="I40" s="5"/>
      <c r="J40" s="5"/>
      <c r="K40" s="5"/>
      <c r="L40" s="6"/>
      <c r="M40" s="4"/>
    </row>
    <row r="41" spans="1:13" x14ac:dyDescent="0.3">
      <c r="A41" s="20">
        <v>40</v>
      </c>
      <c r="B41" s="13">
        <f>SUM(SUMIFS(Tableau13[QTE],Tableau13[Repère],"40"),SUMIFS(Tableau134[QTE],Tableau134[Repère],"40"),SUMIFS(Tableau1345[QTE],Tableau1345[Repère],"40"),SUMIFS(Tableau13456[QTE],Tableau13456[Repère],"40"),SUMIFS(Tableau134567[QTE],Tableau134567[Repère],"40"),SUMIFS(Tableau1345678[QTE],Tableau1345678[Repère],"40"),SUMIFS(Tableau13456789[QTE],Tableau13456789[Repère],"40"),SUMIFS(Tableau1345678910[QTE],Tableau1345678910[Repère],"40"),SUMIFS(Tableau13456789101112[QTE],Tableau13456789101112[Repère],"40"),SUMIFS(Tableau134567891011[QTE],Tableau134567891011[Repère],"40"))</f>
        <v>0</v>
      </c>
      <c r="C41" s="5"/>
      <c r="D41" s="5"/>
      <c r="E41" s="5"/>
      <c r="F41" s="5"/>
      <c r="G41" s="5"/>
      <c r="H41" s="5"/>
      <c r="I41" s="5"/>
      <c r="J41" s="5"/>
      <c r="K41" s="5"/>
      <c r="L41" s="6"/>
      <c r="M41" s="4"/>
    </row>
    <row r="42" spans="1:13" x14ac:dyDescent="0.3">
      <c r="A42" s="20">
        <v>41</v>
      </c>
      <c r="B42" s="13">
        <f>SUM(SUMIFS(Tableau13[QTE],Tableau13[Repère],"41"),SUMIFS(Tableau134[QTE],Tableau134[Repère],"41"),SUMIFS(Tableau1345[QTE],Tableau1345[Repère],"41"),SUMIFS(Tableau13456[QTE],Tableau13456[Repère],"41"),SUMIFS(Tableau134567[QTE],Tableau134567[Repère],"41"),SUMIFS(Tableau1345678[QTE],Tableau1345678[Repère],"41"),SUMIFS(Tableau13456789[QTE],Tableau13456789[Repère],"41"),SUMIFS(Tableau1345678910[QTE],Tableau1345678910[Repère],"41"),SUMIFS(Tableau13456789101112[QTE],Tableau13456789101112[Repère],"41"),SUMIFS(Tableau134567891011[QTE],Tableau134567891011[Repère],"41"))</f>
        <v>0</v>
      </c>
      <c r="C42" s="5"/>
      <c r="D42" s="5"/>
      <c r="E42" s="5"/>
      <c r="F42" s="5"/>
      <c r="G42" s="5"/>
      <c r="H42" s="5"/>
      <c r="I42" s="5"/>
      <c r="J42" s="5"/>
      <c r="K42" s="5"/>
      <c r="L42" s="6"/>
      <c r="M42" s="4"/>
    </row>
    <row r="43" spans="1:13" x14ac:dyDescent="0.3">
      <c r="A43" s="20">
        <v>42</v>
      </c>
      <c r="B43" s="13">
        <f>SUM(SUMIFS(Tableau13[QTE],Tableau13[Repère],"42"),SUMIFS(Tableau134[QTE],Tableau134[Repère],"42"),SUMIFS(Tableau1345[QTE],Tableau1345[Repère],"42"),SUMIFS(Tableau13456[QTE],Tableau13456[Repère],"42"),SUMIFS(Tableau134567[QTE],Tableau134567[Repère],"42"),SUMIFS(Tableau1345678[QTE],Tableau1345678[Repère],"42"),SUMIFS(Tableau13456789[QTE],Tableau13456789[Repère],"42"),SUMIFS(Tableau1345678910[QTE],Tableau1345678910[Repère],"42"),SUMIFS(Tableau13456789101112[QTE],Tableau13456789101112[Repère],"42"),SUMIFS(Tableau134567891011[QTE],Tableau134567891011[Repère],"42"))</f>
        <v>0</v>
      </c>
      <c r="C43" s="5"/>
      <c r="D43" s="5"/>
      <c r="E43" s="5"/>
      <c r="F43" s="5"/>
      <c r="G43" s="5"/>
      <c r="H43" s="5"/>
      <c r="I43" s="5"/>
      <c r="J43" s="5"/>
      <c r="K43" s="5"/>
      <c r="L43" s="6"/>
      <c r="M43" s="4"/>
    </row>
    <row r="44" spans="1:13" x14ac:dyDescent="0.3">
      <c r="A44" s="20">
        <v>43</v>
      </c>
      <c r="B44" s="13">
        <f>SUM(SUMIFS(Tableau13[QTE],Tableau13[Repère],"43"),SUMIFS(Tableau134[QTE],Tableau134[Repère],"43"),SUMIFS(Tableau1345[QTE],Tableau1345[Repère],"43"),SUMIFS(Tableau13456[QTE],Tableau13456[Repère],"43"),SUMIFS(Tableau134567[QTE],Tableau134567[Repère],"43"),SUMIFS(Tableau1345678[QTE],Tableau1345678[Repère],"43"),SUMIFS(Tableau13456789[QTE],Tableau13456789[Repère],"43"),SUMIFS(Tableau1345678910[QTE],Tableau1345678910[Repère],"43"),SUMIFS(Tableau13456789101112[QTE],Tableau13456789101112[Repère],"43"),SUMIFS(Tableau134567891011[QTE],Tableau134567891011[Repère],"43"))</f>
        <v>0</v>
      </c>
      <c r="C44" s="5"/>
      <c r="D44" s="5"/>
      <c r="E44" s="5"/>
      <c r="F44" s="5"/>
      <c r="G44" s="5"/>
      <c r="H44" s="5"/>
      <c r="I44" s="5"/>
      <c r="J44" s="5"/>
      <c r="K44" s="5"/>
      <c r="L44" s="6"/>
      <c r="M44" s="4"/>
    </row>
    <row r="45" spans="1:13" x14ac:dyDescent="0.3">
      <c r="A45" s="20">
        <v>44</v>
      </c>
      <c r="B45" s="13">
        <f>SUM(SUMIFS(Tableau13[QTE],Tableau13[Repère],"44"),SUMIFS(Tableau134[QTE],Tableau134[Repère],"44"),SUMIFS(Tableau1345[QTE],Tableau1345[Repère],"44"),SUMIFS(Tableau13456[QTE],Tableau13456[Repère],"44"),SUMIFS(Tableau134567[QTE],Tableau134567[Repère],"44"),SUMIFS(Tableau1345678[QTE],Tableau1345678[Repère],"44"),SUMIFS(Tableau13456789[QTE],Tableau13456789[Repère],"44"),SUMIFS(Tableau1345678910[QTE],Tableau1345678910[Repère],"44"),SUMIFS(Tableau13456789101112[QTE],Tableau13456789101112[Repère],"44"),SUMIFS(Tableau134567891011[QTE],Tableau134567891011[Repère],"44"))</f>
        <v>0</v>
      </c>
      <c r="C45" s="5"/>
      <c r="D45" s="5"/>
      <c r="E45" s="5"/>
      <c r="F45" s="5"/>
      <c r="G45" s="5"/>
      <c r="H45" s="5"/>
      <c r="I45" s="5"/>
      <c r="J45" s="5"/>
      <c r="K45" s="5"/>
      <c r="L45" s="6"/>
      <c r="M45" s="4"/>
    </row>
    <row r="46" spans="1:13" x14ac:dyDescent="0.3">
      <c r="A46" s="20">
        <v>45</v>
      </c>
      <c r="B46" s="13">
        <f>SUM(SUMIFS(Tableau13[QTE],Tableau13[Repère],"45"),SUMIFS(Tableau134[QTE],Tableau134[Repère],"45"),SUMIFS(Tableau1345[QTE],Tableau1345[Repère],"45"),SUMIFS(Tableau13456[QTE],Tableau13456[Repère],"45"),SUMIFS(Tableau134567[QTE],Tableau134567[Repère],"45"),SUMIFS(Tableau1345678[QTE],Tableau1345678[Repère],"45"),SUMIFS(Tableau13456789[QTE],Tableau13456789[Repère],"45"),SUMIFS(Tableau1345678910[QTE],Tableau1345678910[Repère],"45"),SUMIFS(Tableau13456789101112[QTE],Tableau13456789101112[Repère],"45"),SUMIFS(Tableau134567891011[QTE],Tableau134567891011[Repère],"45"))</f>
        <v>0</v>
      </c>
      <c r="C46" s="5"/>
      <c r="D46" s="5"/>
      <c r="E46" s="5"/>
      <c r="F46" s="5"/>
      <c r="G46" s="5"/>
      <c r="H46" s="5"/>
      <c r="I46" s="5"/>
      <c r="J46" s="5"/>
      <c r="K46" s="5"/>
      <c r="L46" s="6"/>
      <c r="M46" s="4"/>
    </row>
    <row r="47" spans="1:13" x14ac:dyDescent="0.3">
      <c r="A47" s="20">
        <v>46</v>
      </c>
      <c r="B47" s="13">
        <f>SUM(SUMIFS(Tableau13[QTE],Tableau13[Repère],"46"),SUMIFS(Tableau134[QTE],Tableau134[Repère],"46"),SUMIFS(Tableau1345[QTE],Tableau1345[Repère],"46"),SUMIFS(Tableau13456[QTE],Tableau13456[Repère],"46"),SUMIFS(Tableau134567[QTE],Tableau134567[Repère],"46"),SUMIFS(Tableau1345678[QTE],Tableau1345678[Repère],"46"),SUMIFS(Tableau13456789[QTE],Tableau13456789[Repère],"46"),SUMIFS(Tableau1345678910[QTE],Tableau1345678910[Repère],"46"),SUMIFS(Tableau13456789101112[QTE],Tableau13456789101112[Repère],"46"),SUMIFS(Tableau134567891011[QTE],Tableau134567891011[Repère],"46"))</f>
        <v>0</v>
      </c>
      <c r="C47" s="5"/>
      <c r="D47" s="5"/>
      <c r="E47" s="5"/>
      <c r="F47" s="5"/>
      <c r="G47" s="5"/>
      <c r="H47" s="5"/>
      <c r="I47" s="5"/>
      <c r="J47" s="5"/>
      <c r="K47" s="5"/>
      <c r="L47" s="6"/>
      <c r="M47" s="4"/>
    </row>
    <row r="48" spans="1:13" x14ac:dyDescent="0.3">
      <c r="A48" s="20">
        <v>47</v>
      </c>
      <c r="B48" s="13">
        <f>SUM(SUMIFS(Tableau13[QTE],Tableau13[Repère],"47"),SUMIFS(Tableau134[QTE],Tableau134[Repère],"47"),SUMIFS(Tableau1345[QTE],Tableau1345[Repère],"47"),SUMIFS(Tableau13456[QTE],Tableau13456[Repère],"47"),SUMIFS(Tableau134567[QTE],Tableau134567[Repère],"47"),SUMIFS(Tableau1345678[QTE],Tableau1345678[Repère],"47"),SUMIFS(Tableau13456789[QTE],Tableau13456789[Repère],"47"),SUMIFS(Tableau1345678910[QTE],Tableau1345678910[Repère],"47"),SUMIFS(Tableau13456789101112[QTE],Tableau13456789101112[Repère],"47"),SUMIFS(Tableau134567891011[QTE],Tableau134567891011[Repère],"47"))</f>
        <v>0</v>
      </c>
      <c r="C48" s="5"/>
      <c r="D48" s="5"/>
      <c r="E48" s="5"/>
      <c r="F48" s="5"/>
      <c r="G48" s="5"/>
      <c r="H48" s="5"/>
      <c r="I48" s="5"/>
      <c r="J48" s="5"/>
      <c r="K48" s="5"/>
      <c r="L48" s="6"/>
      <c r="M48" s="4"/>
    </row>
    <row r="49" spans="1:13" x14ac:dyDescent="0.3">
      <c r="A49" s="20">
        <v>48</v>
      </c>
      <c r="B49" s="13">
        <f>SUM(SUMIFS(Tableau13[QTE],Tableau13[Repère],"48"),SUMIFS(Tableau134[QTE],Tableau134[Repère],"48"),SUMIFS(Tableau1345[QTE],Tableau1345[Repère],"48"),SUMIFS(Tableau13456[QTE],Tableau13456[Repère],"48"),SUMIFS(Tableau134567[QTE],Tableau134567[Repère],"48"),SUMIFS(Tableau1345678[QTE],Tableau1345678[Repère],"48"),SUMIFS(Tableau13456789[QTE],Tableau13456789[Repère],"48"),SUMIFS(Tableau1345678910[QTE],Tableau1345678910[Repère],"48"),SUMIFS(Tableau13456789101112[QTE],Tableau13456789101112[Repère],"48"),SUMIFS(Tableau134567891011[QTE],Tableau134567891011[Repère],"48"))</f>
        <v>0</v>
      </c>
      <c r="C49" s="5"/>
      <c r="D49" s="5"/>
      <c r="E49" s="5"/>
      <c r="F49" s="5"/>
      <c r="G49" s="5"/>
      <c r="H49" s="5"/>
      <c r="I49" s="5"/>
      <c r="J49" s="5"/>
      <c r="K49" s="5"/>
      <c r="L49" s="6"/>
      <c r="M49" s="4"/>
    </row>
    <row r="50" spans="1:13" x14ac:dyDescent="0.3">
      <c r="A50" s="20">
        <v>49</v>
      </c>
      <c r="B50" s="13">
        <f>SUM(SUMIFS(Tableau13[QTE],Tableau13[Repère],"49"),SUMIFS(Tableau134[QTE],Tableau134[Repère],"49"),SUMIFS(Tableau1345[QTE],Tableau1345[Repère],"49"),SUMIFS(Tableau13456[QTE],Tableau13456[Repère],"49"),SUMIFS(Tableau134567[QTE],Tableau134567[Repère],"49"),SUMIFS(Tableau1345678[QTE],Tableau1345678[Repère],"49"),SUMIFS(Tableau13456789[QTE],Tableau13456789[Repère],"49"),SUMIFS(Tableau1345678910[QTE],Tableau1345678910[Repère],"49"),SUMIFS(Tableau13456789101112[QTE],Tableau13456789101112[Repère],"49"),SUMIFS(Tableau134567891011[QTE],Tableau134567891011[Repère],"49"))</f>
        <v>0</v>
      </c>
      <c r="C50" s="5"/>
      <c r="D50" s="5"/>
      <c r="E50" s="5"/>
      <c r="F50" s="5"/>
      <c r="G50" s="5"/>
      <c r="H50" s="5"/>
      <c r="I50" s="5"/>
      <c r="J50" s="5"/>
      <c r="K50" s="5"/>
      <c r="L50" s="6"/>
      <c r="M50" s="4"/>
    </row>
    <row r="51" spans="1:13" x14ac:dyDescent="0.3">
      <c r="A51" s="20">
        <v>50</v>
      </c>
      <c r="B51" s="13">
        <f>SUM(SUMIFS(Tableau13[QTE],Tableau13[Repère],"50"),SUMIFS(Tableau134[QTE],Tableau134[Repère],"50"),SUMIFS(Tableau1345[QTE],Tableau1345[Repère],"50"),SUMIFS(Tableau13456[QTE],Tableau13456[Repère],"50"),SUMIFS(Tableau134567[QTE],Tableau134567[Repère],"50"),SUMIFS(Tableau1345678[QTE],Tableau1345678[Repère],"50"),SUMIFS(Tableau13456789[QTE],Tableau13456789[Repère],"50"),SUMIFS(Tableau1345678910[QTE],Tableau1345678910[Repère],"50"),SUMIFS(Tableau13456789101112[QTE],Tableau13456789101112[Repère],"50"),SUMIFS(Tableau134567891011[QTE],Tableau134567891011[Repère],"50"))</f>
        <v>0</v>
      </c>
      <c r="C51" s="5"/>
      <c r="D51" s="5"/>
      <c r="E51" s="5"/>
      <c r="F51" s="5"/>
      <c r="G51" s="5"/>
      <c r="H51" s="5"/>
      <c r="I51" s="5"/>
      <c r="J51" s="5"/>
      <c r="K51" s="5"/>
      <c r="L51" s="6"/>
      <c r="M51" s="4"/>
    </row>
    <row r="52" spans="1:13" x14ac:dyDescent="0.3">
      <c r="A52" s="20">
        <v>51</v>
      </c>
      <c r="B52" s="13">
        <f>SUM(SUMIFS(Tableau13[QTE],Tableau13[Repère],"51"),SUMIFS(Tableau134[QTE],Tableau134[Repère],"51"),SUMIFS(Tableau1345[QTE],Tableau1345[Repère],"51"),SUMIFS(Tableau13456[QTE],Tableau13456[Repère],"51"),SUMIFS(Tableau134567[QTE],Tableau134567[Repère],"51"),SUMIFS(Tableau1345678[QTE],Tableau1345678[Repère],"51"),SUMIFS(Tableau13456789[QTE],Tableau13456789[Repère],"51"),SUMIFS(Tableau1345678910[QTE],Tableau1345678910[Repère],"51"),SUMIFS(Tableau13456789101112[QTE],Tableau13456789101112[Repère],"51"),SUMIFS(Tableau134567891011[QTE],Tableau134567891011[Repère],"51"))</f>
        <v>0</v>
      </c>
      <c r="C52" s="5"/>
      <c r="D52" s="5"/>
      <c r="E52" s="5"/>
      <c r="F52" s="5"/>
      <c r="G52" s="5"/>
      <c r="H52" s="5"/>
      <c r="I52" s="5"/>
      <c r="J52" s="5"/>
      <c r="K52" s="5"/>
      <c r="L52" s="6"/>
      <c r="M52" s="4"/>
    </row>
    <row r="53" spans="1:13" x14ac:dyDescent="0.3">
      <c r="A53" s="20">
        <v>52</v>
      </c>
      <c r="B53" s="13">
        <f>SUM(SUMIFS(Tableau13[QTE],Tableau13[Repère],"52"),SUMIFS(Tableau134[QTE],Tableau134[Repère],"52"),SUMIFS(Tableau1345[QTE],Tableau1345[Repère],"52"),SUMIFS(Tableau13456[QTE],Tableau13456[Repère],"52"),SUMIFS(Tableau134567[QTE],Tableau134567[Repère],"52"),SUMIFS(Tableau1345678[QTE],Tableau1345678[Repère],"52"),SUMIFS(Tableau13456789[QTE],Tableau13456789[Repère],"52"),SUMIFS(Tableau1345678910[QTE],Tableau1345678910[Repère],"52"),SUMIFS(Tableau13456789101112[QTE],Tableau13456789101112[Repère],"52"),SUMIFS(Tableau134567891011[QTE],Tableau134567891011[Repère],"52"))</f>
        <v>0</v>
      </c>
      <c r="C53" s="5"/>
      <c r="D53" s="5"/>
      <c r="E53" s="5"/>
      <c r="F53" s="5"/>
      <c r="G53" s="5"/>
      <c r="H53" s="5"/>
      <c r="I53" s="5"/>
      <c r="J53" s="5"/>
      <c r="K53" s="5"/>
      <c r="L53" s="6"/>
      <c r="M53" s="4"/>
    </row>
    <row r="54" spans="1:13" x14ac:dyDescent="0.3">
      <c r="A54" s="20">
        <v>53</v>
      </c>
      <c r="B54" s="13">
        <f>SUM(SUMIFS(Tableau13[QTE],Tableau13[Repère],"53"),SUMIFS(Tableau134[QTE],Tableau134[Repère],"53"),SUMIFS(Tableau1345[QTE],Tableau1345[Repère],"53"),SUMIFS(Tableau13456[QTE],Tableau13456[Repère],"53"),SUMIFS(Tableau134567[QTE],Tableau134567[Repère],"53"),SUMIFS(Tableau1345678[QTE],Tableau1345678[Repère],"53"),SUMIFS(Tableau13456789[QTE],Tableau13456789[Repère],"53"),SUMIFS(Tableau1345678910[QTE],Tableau1345678910[Repère],"53"),SUMIFS(Tableau13456789101112[QTE],Tableau13456789101112[Repère],"53"),SUMIFS(Tableau134567891011[QTE],Tableau134567891011[Repère],"53"))</f>
        <v>0</v>
      </c>
      <c r="C54" s="5"/>
      <c r="D54" s="5"/>
      <c r="E54" s="5"/>
      <c r="F54" s="5"/>
      <c r="G54" s="5"/>
      <c r="H54" s="5"/>
      <c r="I54" s="5"/>
      <c r="J54" s="5"/>
      <c r="K54" s="5"/>
      <c r="L54" s="6"/>
      <c r="M54" s="4"/>
    </row>
    <row r="55" spans="1:13" x14ac:dyDescent="0.3">
      <c r="A55" s="20">
        <v>54</v>
      </c>
      <c r="B55" s="13">
        <f>SUM(SUMIFS(Tableau13[QTE],Tableau13[Repère],"54"),SUMIFS(Tableau134[QTE],Tableau134[Repère],"54"),SUMIFS(Tableau1345[QTE],Tableau1345[Repère],"54"),SUMIFS(Tableau13456[QTE],Tableau13456[Repère],"54"),SUMIFS(Tableau134567[QTE],Tableau134567[Repère],"54"),SUMIFS(Tableau1345678[QTE],Tableau1345678[Repère],"54"),SUMIFS(Tableau13456789[QTE],Tableau13456789[Repère],"54"),SUMIFS(Tableau1345678910[QTE],Tableau1345678910[Repère],"54"),SUMIFS(Tableau13456789101112[QTE],Tableau13456789101112[Repère],"54"),SUMIFS(Tableau134567891011[QTE],Tableau134567891011[Repère],"54"))</f>
        <v>0</v>
      </c>
      <c r="C55" s="5"/>
      <c r="D55" s="5"/>
      <c r="E55" s="5"/>
      <c r="F55" s="5"/>
      <c r="G55" s="5"/>
      <c r="H55" s="5"/>
      <c r="I55" s="5"/>
      <c r="J55" s="5"/>
      <c r="K55" s="5"/>
      <c r="L55" s="6"/>
      <c r="M55" s="4"/>
    </row>
    <row r="56" spans="1:13" x14ac:dyDescent="0.3">
      <c r="A56" s="20">
        <v>55</v>
      </c>
      <c r="B56" s="13">
        <f>SUM(SUMIFS(Tableau13[QTE],Tableau13[Repère],"55"),SUMIFS(Tableau134[QTE],Tableau134[Repère],"55"),SUMIFS(Tableau1345[QTE],Tableau1345[Repère],"55"),SUMIFS(Tableau13456[QTE],Tableau13456[Repère],"55"),SUMIFS(Tableau134567[QTE],Tableau134567[Repère],"55"),SUMIFS(Tableau1345678[QTE],Tableau1345678[Repère],"55"),SUMIFS(Tableau13456789[QTE],Tableau13456789[Repère],"55"),SUMIFS(Tableau1345678910[QTE],Tableau1345678910[Repère],"55"),SUMIFS(Tableau13456789101112[QTE],Tableau13456789101112[Repère],"55"),SUMIFS(Tableau134567891011[QTE],Tableau134567891011[Repère],"55"))</f>
        <v>0</v>
      </c>
      <c r="C56" s="5"/>
      <c r="D56" s="5"/>
      <c r="E56" s="5"/>
      <c r="F56" s="5"/>
      <c r="G56" s="5"/>
      <c r="H56" s="5"/>
      <c r="I56" s="5"/>
      <c r="J56" s="5"/>
      <c r="K56" s="5"/>
      <c r="L56" s="6"/>
      <c r="M56" s="4"/>
    </row>
    <row r="57" spans="1:13" x14ac:dyDescent="0.3">
      <c r="A57" s="20">
        <v>56</v>
      </c>
      <c r="B57" s="13">
        <f>SUM(SUMIFS(Tableau13[QTE],Tableau13[Repère],"56"),SUMIFS(Tableau134[QTE],Tableau134[Repère],"56"),SUMIFS(Tableau1345[QTE],Tableau1345[Repère],"56"),SUMIFS(Tableau13456[QTE],Tableau13456[Repère],"56"),SUMIFS(Tableau134567[QTE],Tableau134567[Repère],"56"),SUMIFS(Tableau1345678[QTE],Tableau1345678[Repère],"56"),SUMIFS(Tableau13456789[QTE],Tableau13456789[Repère],"56"),SUMIFS(Tableau1345678910[QTE],Tableau1345678910[Repère],"56"),SUMIFS(Tableau13456789101112[QTE],Tableau13456789101112[Repère],"56"),SUMIFS(Tableau134567891011[QTE],Tableau134567891011[Repère],"56"))</f>
        <v>0</v>
      </c>
      <c r="C57" s="5"/>
      <c r="D57" s="5"/>
      <c r="E57" s="5"/>
      <c r="F57" s="5"/>
      <c r="G57" s="5"/>
      <c r="H57" s="5"/>
      <c r="I57" s="5"/>
      <c r="J57" s="5"/>
      <c r="K57" s="5"/>
      <c r="L57" s="6"/>
      <c r="M57" s="4"/>
    </row>
    <row r="58" spans="1:13" x14ac:dyDescent="0.3">
      <c r="A58" s="20">
        <v>57</v>
      </c>
      <c r="B58" s="13">
        <f>SUM(SUMIFS(Tableau13[QTE],Tableau13[Repère],"57"),SUMIFS(Tableau134[QTE],Tableau134[Repère],"57"),SUMIFS(Tableau1345[QTE],Tableau1345[Repère],"57"),SUMIFS(Tableau13456[QTE],Tableau13456[Repère],"57"),SUMIFS(Tableau134567[QTE],Tableau134567[Repère],"57"),SUMIFS(Tableau1345678[QTE],Tableau1345678[Repère],"57"),SUMIFS(Tableau13456789[QTE],Tableau13456789[Repère],"57"),SUMIFS(Tableau1345678910[QTE],Tableau1345678910[Repère],"57"),SUMIFS(Tableau13456789101112[QTE],Tableau13456789101112[Repère],"57"),SUMIFS(Tableau134567891011[QTE],Tableau134567891011[Repère],"57"))</f>
        <v>0</v>
      </c>
      <c r="C58" s="5"/>
      <c r="D58" s="5"/>
      <c r="E58" s="5"/>
      <c r="F58" s="5"/>
      <c r="G58" s="5"/>
      <c r="H58" s="5"/>
      <c r="I58" s="5"/>
      <c r="J58" s="5"/>
      <c r="K58" s="5"/>
      <c r="L58" s="6"/>
      <c r="M58" s="4"/>
    </row>
    <row r="59" spans="1:13" x14ac:dyDescent="0.3">
      <c r="A59" s="20">
        <v>58</v>
      </c>
      <c r="B59" s="13">
        <f>SUM(SUMIFS(Tableau13[QTE],Tableau13[Repère],"58"),SUMIFS(Tableau134[QTE],Tableau134[Repère],"58"),SUMIFS(Tableau1345[QTE],Tableau1345[Repère],"58"),SUMIFS(Tableau13456[QTE],Tableau13456[Repère],"58"),SUMIFS(Tableau134567[QTE],Tableau134567[Repère],"58"),SUMIFS(Tableau1345678[QTE],Tableau1345678[Repère],"58"),SUMIFS(Tableau13456789[QTE],Tableau13456789[Repère],"58"),SUMIFS(Tableau1345678910[QTE],Tableau1345678910[Repère],"58"),SUMIFS(Tableau13456789101112[QTE],Tableau13456789101112[Repère],"58"),SUMIFS(Tableau134567891011[QTE],Tableau134567891011[Repère],"58"))</f>
        <v>0</v>
      </c>
      <c r="C59" s="5"/>
      <c r="D59" s="5"/>
      <c r="E59" s="5"/>
      <c r="F59" s="5"/>
      <c r="G59" s="5"/>
      <c r="H59" s="5"/>
      <c r="I59" s="5"/>
      <c r="J59" s="5"/>
      <c r="K59" s="5"/>
      <c r="L59" s="6"/>
      <c r="M59" s="4"/>
    </row>
    <row r="60" spans="1:13" x14ac:dyDescent="0.3">
      <c r="A60" s="20">
        <v>59</v>
      </c>
      <c r="B60" s="13">
        <f>SUM(SUMIFS(Tableau13[QTE],Tableau13[Repère],"59"),SUMIFS(Tableau134[QTE],Tableau134[Repère],"59"),SUMIFS(Tableau1345[QTE],Tableau1345[Repère],"59"),SUMIFS(Tableau13456[QTE],Tableau13456[Repère],"59"),SUMIFS(Tableau134567[QTE],Tableau134567[Repère],"59"),SUMIFS(Tableau1345678[QTE],Tableau1345678[Repère],"59"),SUMIFS(Tableau13456789[QTE],Tableau13456789[Repère],"59"),SUMIFS(Tableau1345678910[QTE],Tableau1345678910[Repère],"59"),SUMIFS(Tableau13456789101112[QTE],Tableau13456789101112[Repère],"59"),SUMIFS(Tableau134567891011[QTE],Tableau134567891011[Repère],"59"))</f>
        <v>0</v>
      </c>
      <c r="C60" s="5"/>
      <c r="D60" s="5"/>
      <c r="E60" s="5"/>
      <c r="F60" s="5"/>
      <c r="G60" s="5"/>
      <c r="H60" s="5"/>
      <c r="I60" s="5"/>
      <c r="J60" s="5"/>
      <c r="K60" s="5"/>
      <c r="L60" s="6"/>
      <c r="M60" s="4"/>
    </row>
    <row r="61" spans="1:13" x14ac:dyDescent="0.3">
      <c r="A61" s="20">
        <v>60</v>
      </c>
      <c r="B61" s="13">
        <f>SUM(SUMIFS(Tableau13[QTE],Tableau13[Repère],"60"),SUMIFS(Tableau134[QTE],Tableau134[Repère],"60"),SUMIFS(Tableau1345[QTE],Tableau1345[Repère],"60"),SUMIFS(Tableau13456[QTE],Tableau13456[Repère],"60"),SUMIFS(Tableau134567[QTE],Tableau134567[Repère],"60"),SUMIFS(Tableau1345678[QTE],Tableau1345678[Repère],"60"),SUMIFS(Tableau13456789[QTE],Tableau13456789[Repère],"60"),SUMIFS(Tableau1345678910[QTE],Tableau1345678910[Repère],"60"),SUMIFS(Tableau13456789101112[QTE],Tableau13456789101112[Repère],"60"),SUMIFS(Tableau134567891011[QTE],Tableau134567891011[Repère],"60"))</f>
        <v>0</v>
      </c>
      <c r="C61" s="5"/>
      <c r="D61" s="5"/>
      <c r="E61" s="5"/>
      <c r="F61" s="5"/>
      <c r="G61" s="5"/>
      <c r="H61" s="5"/>
      <c r="I61" s="5"/>
      <c r="J61" s="5"/>
      <c r="K61" s="5"/>
      <c r="L61" s="6"/>
      <c r="M61" s="4"/>
    </row>
    <row r="62" spans="1:13" x14ac:dyDescent="0.3">
      <c r="A62" s="20">
        <v>61</v>
      </c>
      <c r="B62" s="13">
        <f>SUM(SUMIFS(Tableau13[QTE],Tableau13[Repère],"61"),SUMIFS(Tableau134[QTE],Tableau134[Repère],"61"),SUMIFS(Tableau1345[QTE],Tableau1345[Repère],"61"),SUMIFS(Tableau13456[QTE],Tableau13456[Repère],"61"),SUMIFS(Tableau134567[QTE],Tableau134567[Repère],"61"),SUMIFS(Tableau1345678[QTE],Tableau1345678[Repère],"61"),SUMIFS(Tableau13456789[QTE],Tableau13456789[Repère],"61"),SUMIFS(Tableau1345678910[QTE],Tableau1345678910[Repère],"61"),SUMIFS(Tableau13456789101112[QTE],Tableau13456789101112[Repère],"61"),SUMIFS(Tableau134567891011[QTE],Tableau134567891011[Repère],"61"))</f>
        <v>0</v>
      </c>
      <c r="C62" s="5"/>
      <c r="D62" s="5"/>
      <c r="E62" s="5"/>
      <c r="F62" s="5"/>
      <c r="G62" s="5"/>
      <c r="H62" s="5"/>
      <c r="I62" s="5"/>
      <c r="J62" s="5"/>
      <c r="K62" s="5"/>
      <c r="L62" s="6"/>
      <c r="M62" s="4"/>
    </row>
    <row r="63" spans="1:13" x14ac:dyDescent="0.3">
      <c r="A63" s="20">
        <v>62</v>
      </c>
      <c r="B63" s="13">
        <f>SUM(SUMIFS(Tableau13[QTE],Tableau13[Repère],"62"),SUMIFS(Tableau134[QTE],Tableau134[Repère],"62"),SUMIFS(Tableau1345[QTE],Tableau1345[Repère],"62"),SUMIFS(Tableau13456[QTE],Tableau13456[Repère],"62"),SUMIFS(Tableau134567[QTE],Tableau134567[Repère],"62"),SUMIFS(Tableau1345678[QTE],Tableau1345678[Repère],"62"),SUMIFS(Tableau13456789[QTE],Tableau13456789[Repère],"62"),SUMIFS(Tableau1345678910[QTE],Tableau1345678910[Repère],"62"),SUMIFS(Tableau13456789101112[QTE],Tableau13456789101112[Repère],"62"),SUMIFS(Tableau134567891011[QTE],Tableau134567891011[Repère],"62"))</f>
        <v>0</v>
      </c>
      <c r="C63" s="5"/>
      <c r="D63" s="5"/>
      <c r="E63" s="5"/>
      <c r="F63" s="5"/>
      <c r="G63" s="5"/>
      <c r="H63" s="5"/>
      <c r="I63" s="5"/>
      <c r="J63" s="5"/>
      <c r="K63" s="5"/>
      <c r="L63" s="6"/>
      <c r="M63" s="4"/>
    </row>
    <row r="64" spans="1:13" x14ac:dyDescent="0.3">
      <c r="A64" s="20">
        <v>63</v>
      </c>
      <c r="B64" s="13">
        <f>SUM(SUMIFS(Tableau13[QTE],Tableau13[Repère],"63"),SUMIFS(Tableau134[QTE],Tableau134[Repère],"63"),SUMIFS(Tableau1345[QTE],Tableau1345[Repère],"63"),SUMIFS(Tableau13456[QTE],Tableau13456[Repère],"63"),SUMIFS(Tableau134567[QTE],Tableau134567[Repère],"63"),SUMIFS(Tableau1345678[QTE],Tableau1345678[Repère],"63"),SUMIFS(Tableau13456789[QTE],Tableau13456789[Repère],"63"),SUMIFS(Tableau1345678910[QTE],Tableau1345678910[Repère],"63"),SUMIFS(Tableau13456789101112[QTE],Tableau13456789101112[Repère],"63"),SUMIFS(Tableau134567891011[QTE],Tableau134567891011[Repère],"63"))</f>
        <v>0</v>
      </c>
      <c r="C64" s="5"/>
      <c r="D64" s="5"/>
      <c r="E64" s="5"/>
      <c r="F64" s="5"/>
      <c r="G64" s="5"/>
      <c r="H64" s="5"/>
      <c r="I64" s="5"/>
      <c r="J64" s="5"/>
      <c r="K64" s="5"/>
      <c r="L64" s="6"/>
      <c r="M64" s="4"/>
    </row>
    <row r="65" spans="1:13" x14ac:dyDescent="0.3">
      <c r="A65" s="20">
        <v>64</v>
      </c>
      <c r="B65" s="13">
        <f>SUM(SUMIFS(Tableau13[QTE],Tableau13[Repère],"64"),SUMIFS(Tableau134[QTE],Tableau134[Repère],"64"),SUMIFS(Tableau1345[QTE],Tableau1345[Repère],"64"),SUMIFS(Tableau13456[QTE],Tableau13456[Repère],"64"),SUMIFS(Tableau134567[QTE],Tableau134567[Repère],"64"),SUMIFS(Tableau1345678[QTE],Tableau1345678[Repère],"64"),SUMIFS(Tableau13456789[QTE],Tableau13456789[Repère],"64"),SUMIFS(Tableau1345678910[QTE],Tableau1345678910[Repère],"64"),SUMIFS(Tableau13456789101112[QTE],Tableau13456789101112[Repère],"64"),SUMIFS(Tableau134567891011[QTE],Tableau134567891011[Repère],"64"))</f>
        <v>0</v>
      </c>
      <c r="C65" s="5"/>
      <c r="D65" s="5"/>
      <c r="E65" s="5"/>
      <c r="F65" s="5"/>
      <c r="G65" s="5"/>
      <c r="H65" s="5"/>
      <c r="I65" s="5"/>
      <c r="J65" s="5"/>
      <c r="K65" s="5"/>
      <c r="L65" s="6"/>
      <c r="M65" s="4"/>
    </row>
    <row r="66" spans="1:13" x14ac:dyDescent="0.3">
      <c r="A66" s="20">
        <v>65</v>
      </c>
      <c r="B66" s="13">
        <f>SUM(SUMIFS(Tableau13[QTE],Tableau13[Repère],"65"),SUMIFS(Tableau134[QTE],Tableau134[Repère],"65"),SUMIFS(Tableau1345[QTE],Tableau1345[Repère],"65"),SUMIFS(Tableau13456[QTE],Tableau13456[Repère],"65"),SUMIFS(Tableau134567[QTE],Tableau134567[Repère],"65"),SUMIFS(Tableau1345678[QTE],Tableau1345678[Repère],"65"),SUMIFS(Tableau13456789[QTE],Tableau13456789[Repère],"65"),SUMIFS(Tableau1345678910[QTE],Tableau1345678910[Repère],"65"),SUMIFS(Tableau13456789101112[QTE],Tableau13456789101112[Repère],"65"),SUMIFS(Tableau134567891011[QTE],Tableau134567891011[Repère],"65"))</f>
        <v>0</v>
      </c>
      <c r="C66" s="5"/>
      <c r="D66" s="5"/>
      <c r="E66" s="5"/>
      <c r="F66" s="5"/>
      <c r="G66" s="5"/>
      <c r="H66" s="5"/>
      <c r="I66" s="5"/>
      <c r="J66" s="5"/>
      <c r="K66" s="5"/>
      <c r="L66" s="6"/>
      <c r="M66" s="4"/>
    </row>
    <row r="67" spans="1:13" x14ac:dyDescent="0.3">
      <c r="A67" s="20">
        <v>66</v>
      </c>
      <c r="B67" s="13">
        <f>SUM(SUMIFS(Tableau13[QTE],Tableau13[Repère],"66"),SUMIFS(Tableau134[QTE],Tableau134[Repère],"66"),SUMIFS(Tableau1345[QTE],Tableau1345[Repère],"66"),SUMIFS(Tableau13456[QTE],Tableau13456[Repère],"66"),SUMIFS(Tableau134567[QTE],Tableau134567[Repère],"66"),SUMIFS(Tableau1345678[QTE],Tableau1345678[Repère],"66"),SUMIFS(Tableau13456789[QTE],Tableau13456789[Repère],"66"),SUMIFS(Tableau1345678910[QTE],Tableau1345678910[Repère],"66"),SUMIFS(Tableau13456789101112[QTE],Tableau13456789101112[Repère],"66"),SUMIFS(Tableau134567891011[QTE],Tableau134567891011[Repère],"66"))</f>
        <v>0</v>
      </c>
      <c r="C67" s="5"/>
      <c r="D67" s="5"/>
      <c r="E67" s="5"/>
      <c r="F67" s="5"/>
      <c r="G67" s="5"/>
      <c r="H67" s="5"/>
      <c r="I67" s="5"/>
      <c r="J67" s="5"/>
      <c r="K67" s="5"/>
      <c r="L67" s="6"/>
      <c r="M67" s="4"/>
    </row>
    <row r="68" spans="1:13" x14ac:dyDescent="0.3">
      <c r="A68" s="20">
        <v>67</v>
      </c>
      <c r="B68" s="13">
        <f>SUM(SUMIFS(Tableau13[QTE],Tableau13[Repère],"67"),SUMIFS(Tableau134[QTE],Tableau134[Repère],"67"),SUMIFS(Tableau1345[QTE],Tableau1345[Repère],"67"),SUMIFS(Tableau13456[QTE],Tableau13456[Repère],"67"),SUMIFS(Tableau134567[QTE],Tableau134567[Repère],"67"),SUMIFS(Tableau1345678[QTE],Tableau1345678[Repère],"67"),SUMIFS(Tableau13456789[QTE],Tableau13456789[Repère],"67"),SUMIFS(Tableau1345678910[QTE],Tableau1345678910[Repère],"67"),SUMIFS(Tableau13456789101112[QTE],Tableau13456789101112[Repère],"67"),SUMIFS(Tableau134567891011[QTE],Tableau134567891011[Repère],"67"))</f>
        <v>0</v>
      </c>
      <c r="C68" s="5"/>
      <c r="D68" s="5"/>
      <c r="E68" s="5"/>
      <c r="F68" s="5"/>
      <c r="G68" s="5"/>
      <c r="H68" s="5"/>
      <c r="I68" s="5"/>
      <c r="J68" s="5"/>
      <c r="K68" s="5"/>
      <c r="L68" s="6"/>
      <c r="M68" s="4"/>
    </row>
    <row r="69" spans="1:13" ht="13.5" customHeight="1" x14ac:dyDescent="0.3">
      <c r="A69" s="20">
        <v>68</v>
      </c>
      <c r="B69" s="13">
        <f>SUM(SUMIFS(Tableau13[QTE],Tableau13[Repère],"68"),SUMIFS(Tableau134[QTE],Tableau134[Repère],"68"),SUMIFS(Tableau1345[QTE],Tableau1345[Repère],"68"),SUMIFS(Tableau13456[QTE],Tableau13456[Repère],"68"),SUMIFS(Tableau134567[QTE],Tableau134567[Repère],"68"),SUMIFS(Tableau1345678[QTE],Tableau1345678[Repère],"68"),SUMIFS(Tableau13456789[QTE],Tableau13456789[Repère],"68"),SUMIFS(Tableau1345678910[QTE],Tableau1345678910[Repère],"68"),SUMIFS(Tableau13456789101112[QTE],Tableau13456789101112[Repère],"68"),SUMIFS(Tableau134567891011[QTE],Tableau134567891011[Repère],"68"))</f>
        <v>0</v>
      </c>
      <c r="C69" s="5"/>
      <c r="D69" s="5"/>
      <c r="E69" s="5"/>
      <c r="F69" s="5"/>
      <c r="G69" s="5"/>
      <c r="H69" s="5"/>
      <c r="I69" s="5"/>
      <c r="J69" s="5"/>
      <c r="K69" s="5"/>
      <c r="L69" s="6"/>
      <c r="M69" s="4"/>
    </row>
    <row r="70" spans="1:13" x14ac:dyDescent="0.3">
      <c r="A70" s="20">
        <v>69</v>
      </c>
      <c r="B70" s="13">
        <f>SUM(SUMIFS(Tableau13[QTE],Tableau13[Repère],"69"),SUMIFS(Tableau134[QTE],Tableau134[Repère],"69"),SUMIFS(Tableau1345[QTE],Tableau1345[Repère],"69"),SUMIFS(Tableau13456[QTE],Tableau13456[Repère],"69"),SUMIFS(Tableau134567[QTE],Tableau134567[Repère],"69"),SUMIFS(Tableau1345678[QTE],Tableau1345678[Repère],"69"),SUMIFS(Tableau13456789[QTE],Tableau13456789[Repère],"69"),SUMIFS(Tableau1345678910[QTE],Tableau1345678910[Repère],"69"),SUMIFS(Tableau13456789101112[QTE],Tableau13456789101112[Repère],"69"),SUMIFS(Tableau134567891011[QTE],Tableau134567891011[Repère],"69"))</f>
        <v>0</v>
      </c>
      <c r="C70" s="5"/>
      <c r="D70" s="5"/>
      <c r="E70" s="5"/>
      <c r="F70" s="5"/>
      <c r="G70" s="5"/>
      <c r="H70" s="5"/>
      <c r="I70" s="5"/>
      <c r="J70" s="5"/>
      <c r="K70" s="5"/>
      <c r="L70" s="6"/>
      <c r="M70" s="4"/>
    </row>
    <row r="71" spans="1:13" x14ac:dyDescent="0.3">
      <c r="A71" s="20">
        <v>70</v>
      </c>
      <c r="B71" s="13">
        <f>SUM(SUMIFS(Tableau13[QTE],Tableau13[Repère],"70"),SUMIFS(Tableau134[QTE],Tableau134[Repère],"70"),SUMIFS(Tableau1345[QTE],Tableau1345[Repère],"70"),SUMIFS(Tableau13456[QTE],Tableau13456[Repère],"70"),SUMIFS(Tableau134567[QTE],Tableau134567[Repère],"70"),SUMIFS(Tableau1345678[QTE],Tableau1345678[Repère],"70"),SUMIFS(Tableau13456789[QTE],Tableau13456789[Repère],"70"),SUMIFS(Tableau1345678910[QTE],Tableau1345678910[Repère],"70"),SUMIFS(Tableau13456789101112[QTE],Tableau13456789101112[Repère],"70"),SUMIFS(Tableau134567891011[QTE],Tableau134567891011[Repère],"70"))</f>
        <v>0</v>
      </c>
      <c r="C71" s="5"/>
      <c r="D71" s="5"/>
      <c r="E71" s="5"/>
      <c r="F71" s="5"/>
      <c r="G71" s="5"/>
      <c r="H71" s="5"/>
      <c r="I71" s="5"/>
      <c r="J71" s="5"/>
      <c r="K71" s="5"/>
      <c r="L71" s="6"/>
      <c r="M71" s="4"/>
    </row>
    <row r="72" spans="1:13" x14ac:dyDescent="0.3">
      <c r="A72" s="20">
        <v>71</v>
      </c>
      <c r="B72" s="13">
        <f>SUM(SUMIFS(Tableau13[QTE],Tableau13[Repère],"71"),SUMIFS(Tableau134[QTE],Tableau134[Repère],"71"),SUMIFS(Tableau1345[QTE],Tableau1345[Repère],"71"),SUMIFS(Tableau13456[QTE],Tableau13456[Repère],"71"),SUMIFS(Tableau134567[QTE],Tableau134567[Repère],"71"),SUMIFS(Tableau1345678[QTE],Tableau1345678[Repère],"71"),SUMIFS(Tableau13456789[QTE],Tableau13456789[Repère],"71"),SUMIFS(Tableau1345678910[QTE],Tableau1345678910[Repère],"71"),SUMIFS(Tableau13456789101112[QTE],Tableau13456789101112[Repère],"71"),SUMIFS(Tableau134567891011[QTE],Tableau134567891011[Repère],"71"))</f>
        <v>0</v>
      </c>
      <c r="C72" s="5"/>
      <c r="D72" s="5"/>
      <c r="E72" s="5"/>
      <c r="F72" s="5"/>
      <c r="G72" s="5"/>
      <c r="H72" s="5"/>
      <c r="I72" s="5"/>
      <c r="J72" s="5"/>
      <c r="K72" s="5"/>
      <c r="L72" s="6"/>
      <c r="M72" s="4"/>
    </row>
    <row r="73" spans="1:13" x14ac:dyDescent="0.3">
      <c r="A73" s="20">
        <v>72</v>
      </c>
      <c r="B73" s="13">
        <f>SUM(SUMIFS(Tableau13[QTE],Tableau13[Repère],"72"),SUMIFS(Tableau134[QTE],Tableau134[Repère],"72"),SUMIFS(Tableau1345[QTE],Tableau1345[Repère],"72"),SUMIFS(Tableau13456[QTE],Tableau13456[Repère],"72"),SUMIFS(Tableau134567[QTE],Tableau134567[Repère],"72"),SUMIFS(Tableau1345678[QTE],Tableau1345678[Repère],"72"),SUMIFS(Tableau13456789[QTE],Tableau13456789[Repère],"72"),SUMIFS(Tableau1345678910[QTE],Tableau1345678910[Repère],"72"),SUMIFS(Tableau13456789101112[QTE],Tableau13456789101112[Repère],"72"),SUMIFS(Tableau134567891011[QTE],Tableau134567891011[Repère],"72"))</f>
        <v>0</v>
      </c>
      <c r="C73" s="5"/>
      <c r="D73" s="5"/>
      <c r="E73" s="5"/>
      <c r="F73" s="5"/>
      <c r="G73" s="5"/>
      <c r="H73" s="5"/>
      <c r="I73" s="5"/>
      <c r="J73" s="5"/>
      <c r="K73" s="5"/>
      <c r="L73" s="6"/>
      <c r="M73" s="4"/>
    </row>
    <row r="74" spans="1:13" x14ac:dyDescent="0.3">
      <c r="A74" s="20">
        <v>73</v>
      </c>
      <c r="B74" s="13">
        <f>SUM(SUMIFS(Tableau13[QTE],Tableau13[Repère],"73"),SUMIFS(Tableau134[QTE],Tableau134[Repère],"73"),SUMIFS(Tableau1345[QTE],Tableau1345[Repère],"73"),SUMIFS(Tableau13456[QTE],Tableau13456[Repère],"73"),SUMIFS(Tableau134567[QTE],Tableau134567[Repère],"73"),SUMIFS(Tableau1345678[QTE],Tableau1345678[Repère],"73"),SUMIFS(Tableau13456789[QTE],Tableau13456789[Repère],"73"),SUMIFS(Tableau1345678910[QTE],Tableau1345678910[Repère],"73"),SUMIFS(Tableau13456789101112[QTE],Tableau13456789101112[Repère],"73"),SUMIFS(Tableau134567891011[QTE],Tableau134567891011[Repère],"73"))</f>
        <v>0</v>
      </c>
      <c r="C74" s="5"/>
      <c r="D74" s="5"/>
      <c r="E74" s="5"/>
      <c r="F74" s="5"/>
      <c r="G74" s="5"/>
      <c r="H74" s="5"/>
      <c r="I74" s="5"/>
      <c r="J74" s="5"/>
      <c r="K74" s="5"/>
      <c r="L74" s="6"/>
      <c r="M74" s="4"/>
    </row>
    <row r="75" spans="1:13" x14ac:dyDescent="0.3">
      <c r="A75" s="20">
        <v>74</v>
      </c>
      <c r="B75" s="13">
        <f>SUM(SUMIFS(Tableau13[QTE],Tableau13[Repère],"74"),SUMIFS(Tableau134[QTE],Tableau134[Repère],"74"),SUMIFS(Tableau1345[QTE],Tableau1345[Repère],"74"),SUMIFS(Tableau13456[QTE],Tableau13456[Repère],"74"),SUMIFS(Tableau134567[QTE],Tableau134567[Repère],"74"),SUMIFS(Tableau1345678[QTE],Tableau1345678[Repère],"74"),SUMIFS(Tableau13456789[QTE],Tableau13456789[Repère],"74"),SUMIFS(Tableau1345678910[QTE],Tableau1345678910[Repère],"74"),SUMIFS(Tableau13456789101112[QTE],Tableau13456789101112[Repère],"74"),SUMIFS(Tableau134567891011[QTE],Tableau134567891011[Repère],"74"))</f>
        <v>0</v>
      </c>
      <c r="C75" s="5"/>
      <c r="D75" s="5"/>
      <c r="E75" s="5"/>
      <c r="F75" s="5"/>
      <c r="G75" s="5"/>
      <c r="H75" s="5"/>
      <c r="I75" s="5"/>
      <c r="J75" s="5"/>
      <c r="K75" s="5"/>
      <c r="L75" s="6"/>
      <c r="M75" s="4"/>
    </row>
    <row r="76" spans="1:13" x14ac:dyDescent="0.3">
      <c r="A76" s="20">
        <v>75</v>
      </c>
      <c r="B76" s="13">
        <f>SUM(SUMIFS(Tableau13[QTE],Tableau13[Repère],"75"),SUMIFS(Tableau134[QTE],Tableau134[Repère],"75"),SUMIFS(Tableau1345[QTE],Tableau1345[Repère],"75"),SUMIFS(Tableau13456[QTE],Tableau13456[Repère],"75"),SUMIFS(Tableau134567[QTE],Tableau134567[Repère],"75"),SUMIFS(Tableau1345678[QTE],Tableau1345678[Repère],"75"),SUMIFS(Tableau13456789[QTE],Tableau13456789[Repère],"75"),SUMIFS(Tableau1345678910[QTE],Tableau1345678910[Repère],"75"),SUMIFS(Tableau13456789101112[QTE],Tableau13456789101112[Repère],"75"),SUMIFS(Tableau134567891011[QTE],Tableau134567891011[Repère],"75"))</f>
        <v>0</v>
      </c>
      <c r="C76" s="5"/>
      <c r="D76" s="5"/>
      <c r="E76" s="5"/>
      <c r="F76" s="5"/>
      <c r="G76" s="5"/>
      <c r="H76" s="5"/>
      <c r="I76" s="5"/>
      <c r="J76" s="5"/>
      <c r="K76" s="5"/>
      <c r="L76" s="6"/>
      <c r="M76" s="4"/>
    </row>
    <row r="77" spans="1:13" x14ac:dyDescent="0.3">
      <c r="A77" s="20">
        <v>76</v>
      </c>
      <c r="B77" s="13">
        <f>SUM(SUMIFS(Tableau13[QTE],Tableau13[Repère],"76"),SUMIFS(Tableau134[QTE],Tableau134[Repère],"76"),SUMIFS(Tableau1345[QTE],Tableau1345[Repère],"76"),SUMIFS(Tableau13456[QTE],Tableau13456[Repère],"76"),SUMIFS(Tableau134567[QTE],Tableau134567[Repère],"76"),SUMIFS(Tableau1345678[QTE],Tableau1345678[Repère],"76"),SUMIFS(Tableau13456789[QTE],Tableau13456789[Repère],"76"),SUMIFS(Tableau1345678910[QTE],Tableau1345678910[Repère],"76"),SUMIFS(Tableau13456789101112[QTE],Tableau13456789101112[Repère],"76"),SUMIFS(Tableau134567891011[QTE],Tableau134567891011[Repère],"76"))</f>
        <v>0</v>
      </c>
      <c r="C77" s="5"/>
      <c r="D77" s="5"/>
      <c r="E77" s="5"/>
      <c r="F77" s="5"/>
      <c r="G77" s="5"/>
      <c r="H77" s="5"/>
      <c r="I77" s="5"/>
      <c r="J77" s="5"/>
      <c r="K77" s="5"/>
      <c r="L77" s="6"/>
      <c r="M77" s="4"/>
    </row>
    <row r="78" spans="1:13" x14ac:dyDescent="0.3">
      <c r="A78" s="20">
        <v>77</v>
      </c>
      <c r="B78" s="13">
        <f>SUM(SUMIFS(Tableau13[QTE],Tableau13[Repère],"77"),SUMIFS(Tableau134[QTE],Tableau134[Repère],"77"),SUMIFS(Tableau1345[QTE],Tableau1345[Repère],"77"),SUMIFS(Tableau13456[QTE],Tableau13456[Repère],"77"),SUMIFS(Tableau134567[QTE],Tableau134567[Repère],"77"),SUMIFS(Tableau1345678[QTE],Tableau1345678[Repère],"77"),SUMIFS(Tableau13456789[QTE],Tableau13456789[Repère],"77"),SUMIFS(Tableau1345678910[QTE],Tableau1345678910[Repère],"77"),SUMIFS(Tableau13456789101112[QTE],Tableau13456789101112[Repère],"77"),SUMIFS(Tableau134567891011[QTE],Tableau134567891011[Repère],"77"))</f>
        <v>0</v>
      </c>
      <c r="C78" s="5"/>
      <c r="D78" s="5"/>
      <c r="E78" s="5"/>
      <c r="F78" s="5"/>
      <c r="G78" s="5"/>
      <c r="H78" s="5"/>
      <c r="I78" s="5"/>
      <c r="J78" s="5"/>
      <c r="K78" s="5"/>
      <c r="L78" s="6"/>
      <c r="M78" s="4"/>
    </row>
    <row r="79" spans="1:13" x14ac:dyDescent="0.3">
      <c r="A79" s="20">
        <v>78</v>
      </c>
      <c r="B79" s="13">
        <f>SUM(SUMIFS(Tableau13[QTE],Tableau13[Repère],"78"),SUMIFS(Tableau134[QTE],Tableau134[Repère],"78"),SUMIFS(Tableau1345[QTE],Tableau1345[Repère],"78"),SUMIFS(Tableau13456[QTE],Tableau13456[Repère],"78"),SUMIFS(Tableau134567[QTE],Tableau134567[Repère],"78"),SUMIFS(Tableau1345678[QTE],Tableau1345678[Repère],"78"),SUMIFS(Tableau13456789[QTE],Tableau13456789[Repère],"78"),SUMIFS(Tableau1345678910[QTE],Tableau1345678910[Repère],"78"),SUMIFS(Tableau13456789101112[QTE],Tableau13456789101112[Repère],"78"),SUMIFS(Tableau134567891011[QTE],Tableau134567891011[Repère],"78"))</f>
        <v>0</v>
      </c>
      <c r="C79" s="5"/>
      <c r="D79" s="5"/>
      <c r="E79" s="5"/>
      <c r="F79" s="5"/>
      <c r="G79" s="5"/>
      <c r="H79" s="5"/>
      <c r="I79" s="5"/>
      <c r="J79" s="5"/>
      <c r="K79" s="5"/>
      <c r="L79" s="6"/>
      <c r="M79" s="4"/>
    </row>
    <row r="80" spans="1:13" ht="14.25" customHeight="1" x14ac:dyDescent="0.3">
      <c r="A80" s="20">
        <v>79</v>
      </c>
      <c r="B80" s="13">
        <f>SUM(SUMIFS(Tableau13[QTE],Tableau13[Repère],"79"),SUMIFS(Tableau134[QTE],Tableau134[Repère],"79"),SUMIFS(Tableau1345[QTE],Tableau1345[Repère],"79"),SUMIFS(Tableau13456[QTE],Tableau13456[Repère],"79"),SUMIFS(Tableau134567[QTE],Tableau134567[Repère],"79"),SUMIFS(Tableau1345678[QTE],Tableau1345678[Repère],"79"),SUMIFS(Tableau13456789[QTE],Tableau13456789[Repère],"79"),SUMIFS(Tableau1345678910[QTE],Tableau1345678910[Repère],"79"),SUMIFS(Tableau13456789101112[QTE],Tableau13456789101112[Repère],"79"),SUMIFS(Tableau134567891011[QTE],Tableau134567891011[Repère],"79"))</f>
        <v>0</v>
      </c>
      <c r="C80" s="5"/>
      <c r="D80" s="5"/>
      <c r="E80" s="5"/>
      <c r="F80" s="5"/>
      <c r="G80" s="5"/>
      <c r="H80" s="5"/>
      <c r="I80" s="5"/>
      <c r="J80" s="5"/>
      <c r="K80" s="5"/>
      <c r="L80" s="6"/>
      <c r="M80" s="4"/>
    </row>
    <row r="81" spans="1:13" ht="14.25" customHeight="1" x14ac:dyDescent="0.3">
      <c r="A81" s="20">
        <v>80</v>
      </c>
      <c r="B81" s="13">
        <f>SUM(SUMIFS(Tableau13[QTE],Tableau13[Repère],"80"),SUMIFS(Tableau134[QTE],Tableau134[Repère],"80"),SUMIFS(Tableau1345[QTE],Tableau1345[Repère],"80"),SUMIFS(Tableau13456[QTE],Tableau13456[Repère],"80"),SUMIFS(Tableau134567[QTE],Tableau134567[Repère],"80"),SUMIFS(Tableau1345678[QTE],Tableau1345678[Repère],"80"),SUMIFS(Tableau13456789[QTE],Tableau13456789[Repère],"80"),SUMIFS(Tableau1345678910[QTE],Tableau1345678910[Repère],"80"),SUMIFS(Tableau13456789101112[QTE],Tableau13456789101112[Repère],"80"),SUMIFS(Tableau134567891011[QTE],Tableau134567891011[Repère],"80"))</f>
        <v>0</v>
      </c>
      <c r="C81" s="5"/>
      <c r="D81" s="5"/>
      <c r="E81" s="5"/>
      <c r="F81" s="5"/>
      <c r="G81" s="5"/>
      <c r="H81" s="5"/>
      <c r="I81" s="5"/>
      <c r="J81" s="5"/>
      <c r="K81" s="5"/>
      <c r="L81" s="6"/>
      <c r="M81" s="4"/>
    </row>
    <row r="82" spans="1:13" ht="14.25" customHeight="1" x14ac:dyDescent="0.3">
      <c r="A82" s="20">
        <v>81</v>
      </c>
      <c r="B82" s="13">
        <f>SUM(SUMIFS(Tableau13[QTE],Tableau13[Repère],"81"),SUMIFS(Tableau134[QTE],Tableau134[Repère],"81"),SUMIFS(Tableau1345[QTE],Tableau1345[Repère],"81"),SUMIFS(Tableau13456[QTE],Tableau13456[Repère],"81"),SUMIFS(Tableau134567[QTE],Tableau134567[Repère],"81"),SUMIFS(Tableau1345678[QTE],Tableau1345678[Repère],"81"),SUMIFS(Tableau13456789[QTE],Tableau13456789[Repère],"81"),SUMIFS(Tableau1345678910[QTE],Tableau1345678910[Repère],"81"),SUMIFS(Tableau13456789101112[QTE],Tableau13456789101112[Repère],"81"),SUMIFS(Tableau134567891011[QTE],Tableau134567891011[Repère],"81"))</f>
        <v>0</v>
      </c>
      <c r="C82" s="5"/>
      <c r="D82" s="5"/>
      <c r="E82" s="5"/>
      <c r="F82" s="5"/>
      <c r="G82" s="5"/>
      <c r="H82" s="5"/>
      <c r="I82" s="5"/>
      <c r="J82" s="5"/>
      <c r="K82" s="5"/>
      <c r="L82" s="6"/>
      <c r="M82" s="4"/>
    </row>
    <row r="83" spans="1:13" ht="14.25" customHeight="1" x14ac:dyDescent="0.3">
      <c r="A83" s="20">
        <v>82</v>
      </c>
      <c r="B83" s="13">
        <f>SUM(SUMIFS(Tableau13[QTE],Tableau13[Repère],"82"),SUMIFS(Tableau134[QTE],Tableau134[Repère],"82"),SUMIFS(Tableau1345[QTE],Tableau1345[Repère],"82"),SUMIFS(Tableau13456[QTE],Tableau13456[Repère],"82"),SUMIFS(Tableau134567[QTE],Tableau134567[Repère],"82"),SUMIFS(Tableau1345678[QTE],Tableau1345678[Repère],"82"),SUMIFS(Tableau13456789[QTE],Tableau13456789[Repère],"82"),SUMIFS(Tableau1345678910[QTE],Tableau1345678910[Repère],"82"),SUMIFS(Tableau13456789101112[QTE],Tableau13456789101112[Repère],"82"),SUMIFS(Tableau134567891011[QTE],Tableau134567891011[Repère],"82"))</f>
        <v>0</v>
      </c>
      <c r="C83" s="5"/>
      <c r="D83" s="5"/>
      <c r="E83" s="5"/>
      <c r="F83" s="5"/>
      <c r="G83" s="5"/>
      <c r="H83" s="5"/>
      <c r="I83" s="5"/>
      <c r="J83" s="5"/>
      <c r="K83" s="5"/>
      <c r="L83" s="6"/>
      <c r="M83" s="4"/>
    </row>
    <row r="84" spans="1:13" ht="14.25" customHeight="1" x14ac:dyDescent="0.3">
      <c r="A84" s="20">
        <v>83</v>
      </c>
      <c r="B84" s="13">
        <f>SUM(SUMIFS(Tableau13[QTE],Tableau13[Repère],"83"),SUMIFS(Tableau134[QTE],Tableau134[Repère],"83"),SUMIFS(Tableau1345[QTE],Tableau1345[Repère],"83"),SUMIFS(Tableau13456[QTE],Tableau13456[Repère],"83"),SUMIFS(Tableau134567[QTE],Tableau134567[Repère],"83"),SUMIFS(Tableau1345678[QTE],Tableau1345678[Repère],"83"),SUMIFS(Tableau13456789[QTE],Tableau13456789[Repère],"83"),SUMIFS(Tableau1345678910[QTE],Tableau1345678910[Repère],"83"),SUMIFS(Tableau13456789101112[QTE],Tableau13456789101112[Repère],"83"),SUMIFS(Tableau134567891011[QTE],Tableau134567891011[Repère],"83"))</f>
        <v>0</v>
      </c>
      <c r="C84" s="5"/>
      <c r="D84" s="5"/>
      <c r="E84" s="5"/>
      <c r="F84" s="5"/>
      <c r="G84" s="5"/>
      <c r="H84" s="5"/>
      <c r="I84" s="5"/>
      <c r="J84" s="5"/>
      <c r="K84" s="5"/>
      <c r="L84" s="6"/>
      <c r="M84" s="4"/>
    </row>
    <row r="85" spans="1:13" ht="14.25" customHeight="1" x14ac:dyDescent="0.3">
      <c r="A85" s="20">
        <v>84</v>
      </c>
      <c r="B85" s="13">
        <f>SUM(SUMIFS(Tableau13[QTE],Tableau13[Repère],"84"),SUMIFS(Tableau134[QTE],Tableau134[Repère],"84"),SUMIFS(Tableau1345[QTE],Tableau1345[Repère],"84"),SUMIFS(Tableau13456[QTE],Tableau13456[Repère],"84"),SUMIFS(Tableau134567[QTE],Tableau134567[Repère],"84"),SUMIFS(Tableau1345678[QTE],Tableau1345678[Repère],"84"),SUMIFS(Tableau13456789[QTE],Tableau13456789[Repère],"84"),SUMIFS(Tableau1345678910[QTE],Tableau1345678910[Repère],"84"),SUMIFS(Tableau13456789101112[QTE],Tableau13456789101112[Repère],"84"),SUMIFS(Tableau134567891011[QTE],Tableau134567891011[Repère],"84"))</f>
        <v>0</v>
      </c>
      <c r="C85" s="5"/>
      <c r="D85" s="5"/>
      <c r="E85" s="5"/>
      <c r="F85" s="5"/>
      <c r="G85" s="5"/>
      <c r="H85" s="5"/>
      <c r="I85" s="5"/>
      <c r="J85" s="5"/>
      <c r="K85" s="5"/>
      <c r="L85" s="6"/>
      <c r="M85" s="4"/>
    </row>
    <row r="86" spans="1:13" ht="14.25" customHeight="1" x14ac:dyDescent="0.3">
      <c r="A86" s="20">
        <v>85</v>
      </c>
      <c r="B86" s="13">
        <f>SUM(SUMIFS(Tableau13[QTE],Tableau13[Repère],"85"),SUMIFS(Tableau134[QTE],Tableau134[Repère],"85"),SUMIFS(Tableau1345[QTE],Tableau1345[Repère],"85"),SUMIFS(Tableau13456[QTE],Tableau13456[Repère],"85"),SUMIFS(Tableau134567[QTE],Tableau134567[Repère],"85"),SUMIFS(Tableau1345678[QTE],Tableau1345678[Repère],"85"),SUMIFS(Tableau13456789[QTE],Tableau13456789[Repère],"85"),SUMIFS(Tableau1345678910[QTE],Tableau1345678910[Repère],"85"),SUMIFS(Tableau13456789101112[QTE],Tableau13456789101112[Repère],"85"),SUMIFS(Tableau134567891011[QTE],Tableau134567891011[Repère],"85"))</f>
        <v>0</v>
      </c>
      <c r="C86" s="5"/>
      <c r="D86" s="5"/>
      <c r="E86" s="5"/>
      <c r="F86" s="5"/>
      <c r="G86" s="5"/>
      <c r="H86" s="5"/>
      <c r="I86" s="5"/>
      <c r="J86" s="5"/>
      <c r="K86" s="5"/>
      <c r="L86" s="6"/>
      <c r="M86" s="4"/>
    </row>
    <row r="87" spans="1:13" ht="14.25" customHeight="1" x14ac:dyDescent="0.3">
      <c r="A87" s="20">
        <v>86</v>
      </c>
      <c r="B87" s="13">
        <f>SUM(SUMIFS(Tableau13[QTE],Tableau13[Repère],"86"),SUMIFS(Tableau134[QTE],Tableau134[Repère],"86"),SUMIFS(Tableau1345[QTE],Tableau1345[Repère],"86"),SUMIFS(Tableau13456[QTE],Tableau13456[Repère],"86"),SUMIFS(Tableau134567[QTE],Tableau134567[Repère],"86"),SUMIFS(Tableau1345678[QTE],Tableau1345678[Repère],"86"),SUMIFS(Tableau13456789[QTE],Tableau13456789[Repère],"86"),SUMIFS(Tableau1345678910[QTE],Tableau1345678910[Repère],"86"),SUMIFS(Tableau13456789101112[QTE],Tableau13456789101112[Repère],"86"),SUMIFS(Tableau134567891011[QTE],Tableau134567891011[Repère],"86"))</f>
        <v>0</v>
      </c>
      <c r="C87" s="5"/>
      <c r="D87" s="5"/>
      <c r="E87" s="5"/>
      <c r="F87" s="5"/>
      <c r="G87" s="5"/>
      <c r="H87" s="5"/>
      <c r="I87" s="5"/>
      <c r="J87" s="5"/>
      <c r="K87" s="5"/>
      <c r="L87" s="6"/>
      <c r="M87" s="4"/>
    </row>
    <row r="88" spans="1:13" ht="14.25" customHeight="1" x14ac:dyDescent="0.3">
      <c r="A88" s="20">
        <v>87</v>
      </c>
      <c r="B88" s="13">
        <f>SUM(SUMIFS(Tableau13[QTE],Tableau13[Repère],"87"),SUMIFS(Tableau134[QTE],Tableau134[Repère],"87"),SUMIFS(Tableau1345[QTE],Tableau1345[Repère],"87"),SUMIFS(Tableau13456[QTE],Tableau13456[Repère],"87"),SUMIFS(Tableau134567[QTE],Tableau134567[Repère],"87"),SUMIFS(Tableau1345678[QTE],Tableau1345678[Repère],"87"),SUMIFS(Tableau13456789[QTE],Tableau13456789[Repère],"87"),SUMIFS(Tableau1345678910[QTE],Tableau1345678910[Repère],"87"),SUMIFS(Tableau13456789101112[QTE],Tableau13456789101112[Repère],"87"),SUMIFS(Tableau134567891011[QTE],Tableau134567891011[Repère],"87"))</f>
        <v>0</v>
      </c>
      <c r="C88" s="5"/>
      <c r="D88" s="5"/>
      <c r="E88" s="5"/>
      <c r="F88" s="5"/>
      <c r="G88" s="5"/>
      <c r="H88" s="5"/>
      <c r="I88" s="5"/>
      <c r="J88" s="5"/>
      <c r="K88" s="5"/>
      <c r="L88" s="6"/>
      <c r="M88" s="4"/>
    </row>
    <row r="89" spans="1:13" ht="14.25" customHeight="1" x14ac:dyDescent="0.3">
      <c r="A89" s="20">
        <v>88</v>
      </c>
      <c r="B89" s="13">
        <f>SUM(SUMIFS(Tableau13[QTE],Tableau13[Repère],"88"),SUMIFS(Tableau134[QTE],Tableau134[Repère],"88"),SUMIFS(Tableau1345[QTE],Tableau1345[Repère],"88"),SUMIFS(Tableau13456[QTE],Tableau13456[Repère],"88"),SUMIFS(Tableau134567[QTE],Tableau134567[Repère],"88"),SUMIFS(Tableau1345678[QTE],Tableau1345678[Repère],"88"),SUMIFS(Tableau13456789[QTE],Tableau13456789[Repère],"88"),SUMIFS(Tableau1345678910[QTE],Tableau1345678910[Repère],"88"),SUMIFS(Tableau13456789101112[QTE],Tableau13456789101112[Repère],"88"),SUMIFS(Tableau134567891011[QTE],Tableau134567891011[Repère],"88"))</f>
        <v>0</v>
      </c>
      <c r="C89" s="5"/>
      <c r="D89" s="5"/>
      <c r="E89" s="5"/>
      <c r="F89" s="5"/>
      <c r="G89" s="5"/>
      <c r="H89" s="5"/>
      <c r="I89" s="5"/>
      <c r="J89" s="5"/>
      <c r="K89" s="5"/>
      <c r="L89" s="6"/>
      <c r="M89" s="4"/>
    </row>
    <row r="90" spans="1:13" ht="14.25" customHeight="1" x14ac:dyDescent="0.3">
      <c r="A90" s="20">
        <v>89</v>
      </c>
      <c r="B90" s="13">
        <f>SUM(SUMIFS(Tableau13[QTE],Tableau13[Repère],"89"),SUMIFS(Tableau134[QTE],Tableau134[Repère],"89"),SUMIFS(Tableau1345[QTE],Tableau1345[Repère],"89"),SUMIFS(Tableau13456[QTE],Tableau13456[Repère],"89"),SUMIFS(Tableau134567[QTE],Tableau134567[Repère],"89"),SUMIFS(Tableau1345678[QTE],Tableau1345678[Repère],"89"),SUMIFS(Tableau13456789[QTE],Tableau13456789[Repère],"89"),SUMIFS(Tableau1345678910[QTE],Tableau1345678910[Repère],"89"),SUMIFS(Tableau13456789101112[QTE],Tableau13456789101112[Repère],"89"),SUMIFS(Tableau134567891011[QTE],Tableau134567891011[Repère],"89"))</f>
        <v>0</v>
      </c>
      <c r="C90" s="5"/>
      <c r="D90" s="5"/>
      <c r="E90" s="5"/>
      <c r="F90" s="5"/>
      <c r="G90" s="5"/>
      <c r="H90" s="5"/>
      <c r="I90" s="5"/>
      <c r="J90" s="5"/>
      <c r="K90" s="5"/>
      <c r="L90" s="6"/>
      <c r="M90" s="4"/>
    </row>
    <row r="91" spans="1:13" ht="14.25" customHeight="1" x14ac:dyDescent="0.3">
      <c r="A91" s="20">
        <v>90</v>
      </c>
      <c r="B91" s="13">
        <f>SUM(SUMIFS(Tableau13[QTE],Tableau13[Repère],"90"),SUMIFS(Tableau134[QTE],Tableau134[Repère],"90"),SUMIFS(Tableau1345[QTE],Tableau1345[Repère],"90"),SUMIFS(Tableau13456[QTE],Tableau13456[Repère],"90"),SUMIFS(Tableau134567[QTE],Tableau134567[Repère],"90"),SUMIFS(Tableau1345678[QTE],Tableau1345678[Repère],"90"),SUMIFS(Tableau13456789[QTE],Tableau13456789[Repère],"90"),SUMIFS(Tableau1345678910[QTE],Tableau1345678910[Repère],"90"),SUMIFS(Tableau13456789101112[QTE],Tableau13456789101112[Repère],"90"),SUMIFS(Tableau134567891011[QTE],Tableau134567891011[Repère],"90"))</f>
        <v>0</v>
      </c>
      <c r="C91" s="5"/>
      <c r="D91" s="5"/>
      <c r="E91" s="5"/>
      <c r="F91" s="5"/>
      <c r="G91" s="5"/>
      <c r="H91" s="5"/>
      <c r="I91" s="5"/>
      <c r="J91" s="5"/>
      <c r="K91" s="5"/>
      <c r="L91" s="6"/>
      <c r="M91" s="4"/>
    </row>
    <row r="92" spans="1:13" ht="14.25" customHeight="1" x14ac:dyDescent="0.3">
      <c r="A92" s="20">
        <v>91</v>
      </c>
      <c r="B92" s="13">
        <f>SUM(SUMIFS(Tableau13[QTE],Tableau13[Repère],"91"),SUMIFS(Tableau134[QTE],Tableau134[Repère],"91"),SUMIFS(Tableau1345[QTE],Tableau1345[Repère],"91"),SUMIFS(Tableau13456[QTE],Tableau13456[Repère],"91"),SUMIFS(Tableau134567[QTE],Tableau134567[Repère],"91"),SUMIFS(Tableau1345678[QTE],Tableau1345678[Repère],"91"),SUMIFS(Tableau13456789[QTE],Tableau13456789[Repère],"91"),SUMIFS(Tableau1345678910[QTE],Tableau1345678910[Repère],"91"),SUMIFS(Tableau13456789101112[QTE],Tableau13456789101112[Repère],"91"),SUMIFS(Tableau134567891011[QTE],Tableau134567891011[Repère],"91"))</f>
        <v>0</v>
      </c>
      <c r="C92" s="5"/>
      <c r="D92" s="5"/>
      <c r="E92" s="5"/>
      <c r="F92" s="5"/>
      <c r="G92" s="5"/>
      <c r="H92" s="5"/>
      <c r="I92" s="5"/>
      <c r="J92" s="5"/>
      <c r="K92" s="5"/>
      <c r="L92" s="6"/>
      <c r="M92" s="4"/>
    </row>
    <row r="93" spans="1:13" ht="14.25" customHeight="1" x14ac:dyDescent="0.3">
      <c r="A93" s="20">
        <v>92</v>
      </c>
      <c r="B93" s="13">
        <f>SUM(SUMIFS(Tableau13[QTE],Tableau13[Repère],"92"),SUMIFS(Tableau134[QTE],Tableau134[Repère],"92"),SUMIFS(Tableau1345[QTE],Tableau1345[Repère],"92"),SUMIFS(Tableau13456[QTE],Tableau13456[Repère],"92"),SUMIFS(Tableau134567[QTE],Tableau134567[Repère],"92"),SUMIFS(Tableau1345678[QTE],Tableau1345678[Repère],"92"),SUMIFS(Tableau13456789[QTE],Tableau13456789[Repère],"92"),SUMIFS(Tableau1345678910[QTE],Tableau1345678910[Repère],"92"),SUMIFS(Tableau13456789101112[QTE],Tableau13456789101112[Repère],"92"),SUMIFS(Tableau134567891011[QTE],Tableau134567891011[Repère],"92"))</f>
        <v>0</v>
      </c>
      <c r="C93" s="5"/>
      <c r="D93" s="5"/>
      <c r="E93" s="5"/>
      <c r="F93" s="5"/>
      <c r="G93" s="5"/>
      <c r="H93" s="5"/>
      <c r="I93" s="5"/>
      <c r="J93" s="5"/>
      <c r="K93" s="5"/>
      <c r="L93" s="6"/>
      <c r="M93" s="4"/>
    </row>
    <row r="94" spans="1:13" ht="14.25" customHeight="1" x14ac:dyDescent="0.3">
      <c r="A94" s="20">
        <v>93</v>
      </c>
      <c r="B94" s="13">
        <f>SUM(SUMIFS(Tableau13[QTE],Tableau13[Repère],"93"),SUMIFS(Tableau134[QTE],Tableau134[Repère],"93"),SUMIFS(Tableau1345[QTE],Tableau1345[Repère],"93"),SUMIFS(Tableau13456[QTE],Tableau13456[Repère],"93"),SUMIFS(Tableau134567[QTE],Tableau134567[Repère],"93"),SUMIFS(Tableau1345678[QTE],Tableau1345678[Repère],"93"),SUMIFS(Tableau13456789[QTE],Tableau13456789[Repère],"93"),SUMIFS(Tableau1345678910[QTE],Tableau1345678910[Repère],"93"),SUMIFS(Tableau13456789101112[QTE],Tableau13456789101112[Repère],"93"),SUMIFS(Tableau134567891011[QTE],Tableau134567891011[Repère],"93"))</f>
        <v>0</v>
      </c>
      <c r="C94" s="5"/>
      <c r="D94" s="5"/>
      <c r="E94" s="5"/>
      <c r="F94" s="5"/>
      <c r="G94" s="5"/>
      <c r="H94" s="5"/>
      <c r="I94" s="5"/>
      <c r="J94" s="5"/>
      <c r="K94" s="5"/>
      <c r="L94" s="6"/>
      <c r="M94" s="4"/>
    </row>
    <row r="95" spans="1:13" ht="14.25" customHeight="1" x14ac:dyDescent="0.3">
      <c r="A95" s="20">
        <v>94</v>
      </c>
      <c r="B95" s="13">
        <f>SUM(SUMIFS(Tableau13[QTE],Tableau13[Repère],"94"),SUMIFS(Tableau134[QTE],Tableau134[Repère],"94"),SUMIFS(Tableau1345[QTE],Tableau1345[Repère],"94"),SUMIFS(Tableau13456[QTE],Tableau13456[Repère],"94"),SUMIFS(Tableau134567[QTE],Tableau134567[Repère],"94"),SUMIFS(Tableau1345678[QTE],Tableau1345678[Repère],"94"),SUMIFS(Tableau13456789[QTE],Tableau13456789[Repère],"94"),SUMIFS(Tableau1345678910[QTE],Tableau1345678910[Repère],"94"),SUMIFS(Tableau13456789101112[QTE],Tableau13456789101112[Repère],"94"),SUMIFS(Tableau134567891011[QTE],Tableau134567891011[Repère],"94"))</f>
        <v>0</v>
      </c>
      <c r="C95" s="5"/>
      <c r="D95" s="5"/>
      <c r="E95" s="5"/>
      <c r="F95" s="5"/>
      <c r="G95" s="5"/>
      <c r="H95" s="5"/>
      <c r="I95" s="5"/>
      <c r="J95" s="5"/>
      <c r="K95" s="5"/>
      <c r="L95" s="6"/>
      <c r="M95" s="4"/>
    </row>
    <row r="96" spans="1:13" x14ac:dyDescent="0.3">
      <c r="A96" s="20">
        <v>95</v>
      </c>
      <c r="B96" s="13">
        <f>SUM(SUMIFS(Tableau13[QTE],Tableau13[Repère],"95"),SUMIFS(Tableau134[QTE],Tableau134[Repère],"95"),SUMIFS(Tableau1345[QTE],Tableau1345[Repère],"95"),SUMIFS(Tableau13456[QTE],Tableau13456[Repère],"95"),SUMIFS(Tableau134567[QTE],Tableau134567[Repère],"95"),SUMIFS(Tableau1345678[QTE],Tableau1345678[Repère],"95"),SUMIFS(Tableau13456789[QTE],Tableau13456789[Repère],"95"),SUMIFS(Tableau1345678910[QTE],Tableau1345678910[Repère],"95"),SUMIFS(Tableau13456789101112[QTE],Tableau13456789101112[Repère],"95"),SUMIFS(Tableau134567891011[QTE],Tableau134567891011[Repère],"95"))</f>
        <v>0</v>
      </c>
      <c r="C96" s="5"/>
      <c r="D96" s="5"/>
      <c r="E96" s="5"/>
      <c r="F96" s="5"/>
      <c r="G96" s="5"/>
      <c r="H96" s="5"/>
      <c r="I96" s="5"/>
      <c r="J96" s="5"/>
      <c r="K96" s="5"/>
      <c r="L96" s="6"/>
      <c r="M96" s="4"/>
    </row>
    <row r="97" spans="1:13" x14ac:dyDescent="0.3">
      <c r="A97" s="20">
        <v>96</v>
      </c>
      <c r="B97" s="13">
        <f>SUM(SUMIFS(Tableau13[QTE],Tableau13[Repère],"96"),SUMIFS(Tableau134[QTE],Tableau134[Repère],"96"),SUMIFS(Tableau1345[QTE],Tableau1345[Repère],"96"),SUMIFS(Tableau13456[QTE],Tableau13456[Repère],"96"),SUMIFS(Tableau134567[QTE],Tableau134567[Repère],"96"),SUMIFS(Tableau1345678[QTE],Tableau1345678[Repère],"96"),SUMIFS(Tableau13456789[QTE],Tableau13456789[Repère],"96"),SUMIFS(Tableau1345678910[QTE],Tableau1345678910[Repère],"96"),SUMIFS(Tableau13456789101112[QTE],Tableau13456789101112[Repère],"96"),SUMIFS(Tableau134567891011[QTE],Tableau134567891011[Repère],"96"))</f>
        <v>0</v>
      </c>
      <c r="C97" s="5"/>
      <c r="D97" s="5"/>
      <c r="E97" s="5"/>
      <c r="F97" s="5"/>
      <c r="G97" s="5"/>
      <c r="H97" s="5"/>
      <c r="I97" s="5"/>
      <c r="J97" s="5"/>
      <c r="K97" s="5"/>
      <c r="L97" s="6"/>
      <c r="M97" s="4"/>
    </row>
    <row r="98" spans="1:13" x14ac:dyDescent="0.3">
      <c r="A98" s="20">
        <v>97</v>
      </c>
      <c r="B98" s="13">
        <f>SUM(SUMIFS(Tableau13[QTE],Tableau13[Repère],"97"),SUMIFS(Tableau134[QTE],Tableau134[Repère],"97"),SUMIFS(Tableau1345[QTE],Tableau1345[Repère],"97"),SUMIFS(Tableau13456[QTE],Tableau13456[Repère],"97"),SUMIFS(Tableau134567[QTE],Tableau134567[Repère],"97"),SUMIFS(Tableau1345678[QTE],Tableau1345678[Repère],"97"),SUMIFS(Tableau13456789[QTE],Tableau13456789[Repère],"97"),SUMIFS(Tableau1345678910[QTE],Tableau1345678910[Repère],"97"),SUMIFS(Tableau13456789101112[QTE],Tableau13456789101112[Repère],"97"),SUMIFS(Tableau134567891011[QTE],Tableau134567891011[Repère],"97"))</f>
        <v>0</v>
      </c>
      <c r="C98" s="5"/>
      <c r="D98" s="5"/>
      <c r="E98" s="5"/>
      <c r="F98" s="5"/>
      <c r="G98" s="5"/>
      <c r="H98" s="5"/>
      <c r="I98" s="5"/>
      <c r="J98" s="5"/>
      <c r="K98" s="5"/>
      <c r="L98" s="6"/>
      <c r="M98" s="4"/>
    </row>
    <row r="99" spans="1:13" x14ac:dyDescent="0.3">
      <c r="A99" s="20">
        <v>98</v>
      </c>
      <c r="B99" s="13">
        <f>SUM(SUMIFS(Tableau13[QTE],Tableau13[Repère],"98"),SUMIFS(Tableau134[QTE],Tableau134[Repère],"98"),SUMIFS(Tableau1345[QTE],Tableau1345[Repère],"98"),SUMIFS(Tableau13456[QTE],Tableau13456[Repère],"98"),SUMIFS(Tableau134567[QTE],Tableau134567[Repère],"98"),SUMIFS(Tableau1345678[QTE],Tableau1345678[Repère],"98"),SUMIFS(Tableau13456789[QTE],Tableau13456789[Repère],"98"),SUMIFS(Tableau1345678910[QTE],Tableau1345678910[Repère],"98"),SUMIFS(Tableau13456789101112[QTE],Tableau13456789101112[Repère],"98"),SUMIFS(Tableau134567891011[QTE],Tableau134567891011[Repère],"98"))</f>
        <v>0</v>
      </c>
      <c r="C99" s="5"/>
      <c r="D99" s="5"/>
      <c r="E99" s="5"/>
      <c r="F99" s="5"/>
      <c r="G99" s="5"/>
      <c r="H99" s="5"/>
      <c r="I99" s="5"/>
      <c r="J99" s="5"/>
      <c r="K99" s="5"/>
      <c r="L99" s="6"/>
      <c r="M99" s="4"/>
    </row>
    <row r="100" spans="1:13" x14ac:dyDescent="0.3">
      <c r="A100" s="20">
        <v>99</v>
      </c>
      <c r="B100" s="13">
        <f>SUM(SUMIFS(Tableau13[QTE],Tableau13[Repère],"99"),SUMIFS(Tableau134[QTE],Tableau134[Repère],"99"),SUMIFS(Tableau1345[QTE],Tableau1345[Repère],"99"),SUMIFS(Tableau13456[QTE],Tableau13456[Repère],"99"),SUMIFS(Tableau134567[QTE],Tableau134567[Repère],"99"),SUMIFS(Tableau1345678[QTE],Tableau1345678[Repère],"99"),SUMIFS(Tableau13456789[QTE],Tableau13456789[Repère],"99"),SUMIFS(Tableau1345678910[QTE],Tableau1345678910[Repère],"99"),SUMIFS(Tableau13456789101112[QTE],Tableau13456789101112[Repère],"99"),SUMIFS(Tableau134567891011[QTE],Tableau134567891011[Repère],"99"))</f>
        <v>0</v>
      </c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4"/>
    </row>
    <row r="101" spans="1:13" x14ac:dyDescent="0.3">
      <c r="A101" s="20">
        <v>100</v>
      </c>
      <c r="B101" s="13">
        <f>SUM(SUMIFS(Tableau13[QTE],Tableau13[Repère],"100"),SUMIFS(Tableau134[QTE],Tableau134[Repère],"100"),SUMIFS(Tableau1345[QTE],Tableau1345[Repère],"100"),SUMIFS(Tableau13456[QTE],Tableau13456[Repère],"100"),SUMIFS(Tableau134567[QTE],Tableau134567[Repère],"100"),SUMIFS(Tableau1345678[QTE],Tableau1345678[Repère],"100"),SUMIFS(Tableau13456789[QTE],Tableau13456789[Repère],"100"),SUMIFS(Tableau1345678910[QTE],Tableau1345678910[Repère],"100"),SUMIFS(Tableau13456789101112[QTE],Tableau13456789101112[Repère],"100"),SUMIFS(Tableau134567891011[QTE],Tableau134567891011[Repère],"100"))</f>
        <v>0</v>
      </c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4"/>
    </row>
    <row r="102" spans="1:13" x14ac:dyDescent="0.3">
      <c r="A102" s="21">
        <v>101</v>
      </c>
      <c r="B102" s="13">
        <f>SUM(SUMIFS(Tableau13[QTE],Tableau13[Repère],"101"),SUMIFS(Tableau134[QTE],Tableau134[Repère],"101"),SUMIFS(Tableau1345[QTE],Tableau1345[Repère],"101"),SUMIFS(Tableau13456[QTE],Tableau13456[Repère],"101"),SUMIFS(Tableau134567[QTE],Tableau134567[Repère],"101"),SUMIFS(Tableau1345678[QTE],Tableau1345678[Repère],"101"),SUMIFS(Tableau13456789[QTE],Tableau13456789[Repère],"101"),SUMIFS(Tableau1345678910[QTE],Tableau1345678910[Repère],"101"),SUMIFS(Tableau13456789101112[QTE],Tableau13456789101112[Repère],"101"),SUMIFS(Tableau134567891011[QTE],Tableau134567891011[Repère],"101"))</f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8"/>
      <c r="M102" s="4"/>
    </row>
    <row r="103" spans="1:13" x14ac:dyDescent="0.3">
      <c r="A103" s="21">
        <v>102</v>
      </c>
      <c r="B103" s="13">
        <f>SUM(SUMIFS(Tableau13[QTE],Tableau13[Repère],"102"),SUMIFS(Tableau134[QTE],Tableau134[Repère],"102"),SUMIFS(Tableau1345[QTE],Tableau1345[Repère],"102"),SUMIFS(Tableau13456[QTE],Tableau13456[Repère],"102"),SUMIFS(Tableau134567[QTE],Tableau134567[Repère],"102"),SUMIFS(Tableau1345678[QTE],Tableau1345678[Repère],"102"),SUMIFS(Tableau13456789[QTE],Tableau13456789[Repère],"102"),SUMIFS(Tableau1345678910[QTE],Tableau1345678910[Repère],"102"),SUMIFS(Tableau13456789101112[QTE],Tableau13456789101112[Repère],"102"),SUMIFS(Tableau134567891011[QTE],Tableau134567891011[Repère],"102"))</f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4"/>
    </row>
    <row r="104" spans="1:13" x14ac:dyDescent="0.3">
      <c r="A104" s="21">
        <v>103</v>
      </c>
      <c r="B104" s="13">
        <f>SUM(SUMIFS(Tableau13[QTE],Tableau13[Repère],"103"),SUMIFS(Tableau134[QTE],Tableau134[Repère],"103"),SUMIFS(Tableau1345[QTE],Tableau1345[Repère],"103"),SUMIFS(Tableau13456[QTE],Tableau13456[Repère],"103"),SUMIFS(Tableau134567[QTE],Tableau134567[Repère],"103"),SUMIFS(Tableau1345678[QTE],Tableau1345678[Repère],"103"),SUMIFS(Tableau13456789[QTE],Tableau13456789[Repère],"103"),SUMIFS(Tableau1345678910[QTE],Tableau1345678910[Repère],"103"),SUMIFS(Tableau13456789101112[QTE],Tableau13456789101112[Repère],"103"),SUMIFS(Tableau134567891011[QTE],Tableau134567891011[Repère],"103"))</f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8"/>
      <c r="M104" s="4"/>
    </row>
    <row r="105" spans="1:13" x14ac:dyDescent="0.3">
      <c r="A105" s="21">
        <v>104</v>
      </c>
      <c r="B105" s="13">
        <f>SUM(SUMIFS(Tableau13[QTE],Tableau13[Repère],"104"),SUMIFS(Tableau134[QTE],Tableau134[Repère],"104"),SUMIFS(Tableau1345[QTE],Tableau1345[Repère],"104"),SUMIFS(Tableau13456[QTE],Tableau13456[Repère],"104"),SUMIFS(Tableau134567[QTE],Tableau134567[Repère],"104"),SUMIFS(Tableau1345678[QTE],Tableau1345678[Repère],"104"),SUMIFS(Tableau13456789[QTE],Tableau13456789[Repère],"104"),SUMIFS(Tableau1345678910[QTE],Tableau1345678910[Repère],"104"),SUMIFS(Tableau13456789101112[QTE],Tableau13456789101112[Repère],"104"),SUMIFS(Tableau134567891011[QTE],Tableau134567891011[Repère],"104"))</f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8"/>
      <c r="M105" s="4"/>
    </row>
    <row r="106" spans="1:13" x14ac:dyDescent="0.3">
      <c r="A106" s="21">
        <v>105</v>
      </c>
      <c r="B106" s="13">
        <f>SUM(SUMIFS(Tableau13[QTE],Tableau13[Repère],"105"),SUMIFS(Tableau134[QTE],Tableau134[Repère],"105"),SUMIFS(Tableau1345[QTE],Tableau1345[Repère],"105"),SUMIFS(Tableau13456[QTE],Tableau13456[Repère],"105"),SUMIFS(Tableau134567[QTE],Tableau134567[Repère],"105"),SUMIFS(Tableau1345678[QTE],Tableau1345678[Repère],"105"),SUMIFS(Tableau13456789[QTE],Tableau13456789[Repère],"105"),SUMIFS(Tableau1345678910[QTE],Tableau1345678910[Repère],"105"),SUMIFS(Tableau13456789101112[QTE],Tableau13456789101112[Repère],"105"),SUMIFS(Tableau134567891011[QTE],Tableau134567891011[Repère],"105"))</f>
        <v>0</v>
      </c>
      <c r="C106" s="7"/>
      <c r="D106" s="7"/>
      <c r="E106" s="7"/>
      <c r="F106" s="7"/>
      <c r="G106" s="7"/>
      <c r="H106" s="7"/>
      <c r="I106" s="7"/>
      <c r="J106" s="7"/>
      <c r="K106" s="7"/>
      <c r="L106" s="8"/>
      <c r="M106" s="4"/>
    </row>
    <row r="107" spans="1:13" x14ac:dyDescent="0.3">
      <c r="A107" s="21">
        <v>106</v>
      </c>
      <c r="B107" s="13">
        <f>SUM(SUMIFS(Tableau13[QTE],Tableau13[Repère],"106"),SUMIFS(Tableau134[QTE],Tableau134[Repère],"106"),SUMIFS(Tableau1345[QTE],Tableau1345[Repère],"106"),SUMIFS(Tableau13456[QTE],Tableau13456[Repère],"106"),SUMIFS(Tableau134567[QTE],Tableau134567[Repère],"106"),SUMIFS(Tableau1345678[QTE],Tableau1345678[Repère],"106"),SUMIFS(Tableau13456789[QTE],Tableau13456789[Repère],"106"),SUMIFS(Tableau1345678910[QTE],Tableau1345678910[Repère],"106"),SUMIFS(Tableau13456789101112[QTE],Tableau13456789101112[Repère],"106"),SUMIFS(Tableau134567891011[QTE],Tableau134567891011[Repère],"106"))</f>
        <v>0</v>
      </c>
      <c r="C107" s="7"/>
      <c r="D107" s="7"/>
      <c r="E107" s="7"/>
      <c r="F107" s="7"/>
      <c r="G107" s="7"/>
      <c r="H107" s="7"/>
      <c r="I107" s="7"/>
      <c r="J107" s="7"/>
      <c r="K107" s="7"/>
      <c r="L107" s="8"/>
      <c r="M107" s="4"/>
    </row>
    <row r="108" spans="1:13" x14ac:dyDescent="0.3">
      <c r="A108" s="21">
        <v>107</v>
      </c>
      <c r="B108" s="13">
        <f>SUM(SUMIFS(Tableau13[QTE],Tableau13[Repère],"107"),SUMIFS(Tableau134[QTE],Tableau134[Repère],"107"),SUMIFS(Tableau1345[QTE],Tableau1345[Repère],"107"),SUMIFS(Tableau13456[QTE],Tableau13456[Repère],"107"),SUMIFS(Tableau134567[QTE],Tableau134567[Repère],"107"),SUMIFS(Tableau1345678[QTE],Tableau1345678[Repère],"107"),SUMIFS(Tableau13456789[QTE],Tableau13456789[Repère],"107"),SUMIFS(Tableau1345678910[QTE],Tableau1345678910[Repère],"107"),SUMIFS(Tableau13456789101112[QTE],Tableau13456789101112[Repère],"107"),SUMIFS(Tableau134567891011[QTE],Tableau134567891011[Repère],"107"))</f>
        <v>0</v>
      </c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4"/>
    </row>
    <row r="109" spans="1:13" x14ac:dyDescent="0.3">
      <c r="A109" s="21">
        <v>108</v>
      </c>
      <c r="B109" s="13">
        <f>SUM(SUMIFS(Tableau13[QTE],Tableau13[Repère],"108"),SUMIFS(Tableau134[QTE],Tableau134[Repère],"108"),SUMIFS(Tableau1345[QTE],Tableau1345[Repère],"108"),SUMIFS(Tableau13456[QTE],Tableau13456[Repère],"108"),SUMIFS(Tableau134567[QTE],Tableau134567[Repère],"108"),SUMIFS(Tableau1345678[QTE],Tableau1345678[Repère],"108"),SUMIFS(Tableau13456789[QTE],Tableau13456789[Repère],"108"),SUMIFS(Tableau1345678910[QTE],Tableau1345678910[Repère],"108"),SUMIFS(Tableau13456789101112[QTE],Tableau13456789101112[Repère],"108"),SUMIFS(Tableau134567891011[QTE],Tableau134567891011[Repère],"108"))</f>
        <v>0</v>
      </c>
      <c r="C109" s="7"/>
      <c r="D109" s="7"/>
      <c r="E109" s="7"/>
      <c r="F109" s="7"/>
      <c r="G109" s="7"/>
      <c r="H109" s="7"/>
      <c r="I109" s="7"/>
      <c r="J109" s="7"/>
      <c r="K109" s="7"/>
      <c r="L109" s="8"/>
      <c r="M109" s="4"/>
    </row>
    <row r="110" spans="1:13" x14ac:dyDescent="0.3">
      <c r="A110" s="21">
        <v>109</v>
      </c>
      <c r="B110" s="13">
        <f>SUM(SUMIFS(Tableau13[QTE],Tableau13[Repère],"109"),SUMIFS(Tableau134[QTE],Tableau134[Repère],"109"),SUMIFS(Tableau1345[QTE],Tableau1345[Repère],"109"),SUMIFS(Tableau13456[QTE],Tableau13456[Repère],"109"),SUMIFS(Tableau134567[QTE],Tableau134567[Repère],"109"),SUMIFS(Tableau1345678[QTE],Tableau1345678[Repère],"109"),SUMIFS(Tableau13456789[QTE],Tableau13456789[Repère],"109"),SUMIFS(Tableau1345678910[QTE],Tableau1345678910[Repère],"109"),SUMIFS(Tableau13456789101112[QTE],Tableau13456789101112[Repère],"109"),SUMIFS(Tableau134567891011[QTE],Tableau134567891011[Repère],"109"))</f>
        <v>0</v>
      </c>
      <c r="C110" s="7"/>
      <c r="D110" s="7"/>
      <c r="E110" s="7"/>
      <c r="F110" s="7"/>
      <c r="G110" s="7"/>
      <c r="H110" s="7"/>
      <c r="I110" s="7"/>
      <c r="J110" s="7"/>
      <c r="K110" s="7"/>
      <c r="L110" s="8"/>
      <c r="M110" s="4"/>
    </row>
    <row r="111" spans="1:13" x14ac:dyDescent="0.3">
      <c r="A111" s="21">
        <v>110</v>
      </c>
      <c r="B111" s="13">
        <f>SUM(SUMIFS(Tableau13[QTE],Tableau13[Repère],"110"),SUMIFS(Tableau134[QTE],Tableau134[Repère],"110"),SUMIFS(Tableau1345[QTE],Tableau1345[Repère],"110"),SUMIFS(Tableau13456[QTE],Tableau13456[Repère],"110"),SUMIFS(Tableau134567[QTE],Tableau134567[Repère],"110"),SUMIFS(Tableau1345678[QTE],Tableau1345678[Repère],"110"),SUMIFS(Tableau13456789[QTE],Tableau13456789[Repère],"110"),SUMIFS(Tableau1345678910[QTE],Tableau1345678910[Repère],"110"),SUMIFS(Tableau13456789101112[QTE],Tableau13456789101112[Repère],"110"),SUMIFS(Tableau134567891011[QTE],Tableau134567891011[Repère],"110"))</f>
        <v>0</v>
      </c>
      <c r="C111" s="7"/>
      <c r="D111" s="7"/>
      <c r="E111" s="7"/>
      <c r="F111" s="7"/>
      <c r="G111" s="7"/>
      <c r="H111" s="7"/>
      <c r="I111" s="7"/>
      <c r="J111" s="7"/>
      <c r="K111" s="7"/>
      <c r="L111" s="8"/>
      <c r="M111" s="4"/>
    </row>
    <row r="112" spans="1:13" x14ac:dyDescent="0.3">
      <c r="A112" s="21">
        <v>111</v>
      </c>
      <c r="B112" s="13">
        <f>SUM(SUMIFS(Tableau13[QTE],Tableau13[Repère],"111"),SUMIFS(Tableau134[QTE],Tableau134[Repère],"111"),SUMIFS(Tableau1345[QTE],Tableau1345[Repère],"111"),SUMIFS(Tableau13456[QTE],Tableau13456[Repère],"111"),SUMIFS(Tableau134567[QTE],Tableau134567[Repère],"111"),SUMIFS(Tableau1345678[QTE],Tableau1345678[Repère],"111"),SUMIFS(Tableau13456789[QTE],Tableau13456789[Repère],"111"),SUMIFS(Tableau1345678910[QTE],Tableau1345678910[Repère],"111"),SUMIFS(Tableau13456789101112[QTE],Tableau13456789101112[Repère],"111"),SUMIFS(Tableau134567891011[QTE],Tableau134567891011[Repère],"111"))</f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8"/>
      <c r="M112" s="4"/>
    </row>
    <row r="113" spans="1:13" x14ac:dyDescent="0.3">
      <c r="A113" s="21">
        <v>112</v>
      </c>
      <c r="B113" s="13">
        <f>SUM(SUMIFS(Tableau13[QTE],Tableau13[Repère],"112"),SUMIFS(Tableau134[QTE],Tableau134[Repère],"112"),SUMIFS(Tableau1345[QTE],Tableau1345[Repère],"112"),SUMIFS(Tableau13456[QTE],Tableau13456[Repère],"112"),SUMIFS(Tableau134567[QTE],Tableau134567[Repère],"112"),SUMIFS(Tableau1345678[QTE],Tableau1345678[Repère],"112"),SUMIFS(Tableau13456789[QTE],Tableau13456789[Repère],"112"),SUMIFS(Tableau1345678910[QTE],Tableau1345678910[Repère],"112"),SUMIFS(Tableau13456789101112[QTE],Tableau13456789101112[Repère],"112"),SUMIFS(Tableau134567891011[QTE],Tableau134567891011[Repère],"112"))</f>
        <v>0</v>
      </c>
      <c r="C113" s="7"/>
      <c r="D113" s="7"/>
      <c r="E113" s="7"/>
      <c r="F113" s="7"/>
      <c r="G113" s="7"/>
      <c r="H113" s="7"/>
      <c r="I113" s="7"/>
      <c r="J113" s="7"/>
      <c r="K113" s="7"/>
      <c r="L113" s="8"/>
      <c r="M113" s="4"/>
    </row>
    <row r="114" spans="1:13" x14ac:dyDescent="0.3">
      <c r="A114" s="21">
        <v>113</v>
      </c>
      <c r="B114" s="13">
        <f>SUM(SUMIFS(Tableau13[QTE],Tableau13[Repère],"113"),SUMIFS(Tableau134[QTE],Tableau134[Repère],"113"),SUMIFS(Tableau1345[QTE],Tableau1345[Repère],"113"),SUMIFS(Tableau13456[QTE],Tableau13456[Repère],"113"),SUMIFS(Tableau134567[QTE],Tableau134567[Repère],"113"),SUMIFS(Tableau1345678[QTE],Tableau1345678[Repère],"113"),SUMIFS(Tableau13456789[QTE],Tableau13456789[Repère],"113"),SUMIFS(Tableau1345678910[QTE],Tableau1345678910[Repère],"113"),SUMIFS(Tableau13456789101112[QTE],Tableau13456789101112[Repère],"113"),SUMIFS(Tableau134567891011[QTE],Tableau134567891011[Repère],"113"))</f>
        <v>0</v>
      </c>
      <c r="C114" s="7"/>
      <c r="D114" s="7"/>
      <c r="E114" s="7"/>
      <c r="F114" s="7"/>
      <c r="G114" s="7"/>
      <c r="H114" s="7"/>
      <c r="I114" s="7"/>
      <c r="J114" s="7"/>
      <c r="K114" s="7"/>
      <c r="L114" s="8"/>
      <c r="M114" s="4"/>
    </row>
    <row r="115" spans="1:13" x14ac:dyDescent="0.3">
      <c r="A115" s="21">
        <v>114</v>
      </c>
      <c r="B115" s="13">
        <f>SUM(SUMIFS(Tableau13[QTE],Tableau13[Repère],"114"),SUMIFS(Tableau134[QTE],Tableau134[Repère],"114"),SUMIFS(Tableau1345[QTE],Tableau1345[Repère],"114"),SUMIFS(Tableau13456[QTE],Tableau13456[Repère],"114"),SUMIFS(Tableau134567[QTE],Tableau134567[Repère],"114"),SUMIFS(Tableau1345678[QTE],Tableau1345678[Repère],"114"),SUMIFS(Tableau13456789[QTE],Tableau13456789[Repère],"114"),SUMIFS(Tableau1345678910[QTE],Tableau1345678910[Repère],"114"),SUMIFS(Tableau13456789101112[QTE],Tableau13456789101112[Repère],"114"),SUMIFS(Tableau134567891011[QTE],Tableau134567891011[Repère],"114"))</f>
        <v>0</v>
      </c>
      <c r="C115" s="7"/>
      <c r="D115" s="7"/>
      <c r="E115" s="7"/>
      <c r="F115" s="7"/>
      <c r="G115" s="7"/>
      <c r="H115" s="7"/>
      <c r="I115" s="7"/>
      <c r="J115" s="7"/>
      <c r="K115" s="7"/>
      <c r="L115" s="8"/>
      <c r="M115" s="4"/>
    </row>
    <row r="116" spans="1:13" ht="14.25" customHeight="1" x14ac:dyDescent="0.3">
      <c r="A116" s="21">
        <v>115</v>
      </c>
      <c r="B116" s="13">
        <f>SUM(SUMIFS(Tableau13[QTE],Tableau13[Repère],"115"),SUMIFS(Tableau134[QTE],Tableau134[Repère],"115"),SUMIFS(Tableau1345[QTE],Tableau1345[Repère],"115"),SUMIFS(Tableau13456[QTE],Tableau13456[Repère],"115"),SUMIFS(Tableau134567[QTE],Tableau134567[Repère],"115"),SUMIFS(Tableau1345678[QTE],Tableau1345678[Repère],"115"),SUMIFS(Tableau13456789[QTE],Tableau13456789[Repère],"115"),SUMIFS(Tableau1345678910[QTE],Tableau1345678910[Repère],"115"),SUMIFS(Tableau13456789101112[QTE],Tableau13456789101112[Repère],"115"),SUMIFS(Tableau134567891011[QTE],Tableau134567891011[Repère],"115"))</f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8"/>
      <c r="M116" s="4"/>
    </row>
    <row r="117" spans="1:13" ht="14.25" customHeight="1" x14ac:dyDescent="0.3">
      <c r="A117" s="21">
        <v>116</v>
      </c>
      <c r="B117" s="13">
        <f>SUM(SUMIFS(Tableau13[QTE],Tableau13[Repère],"116"),SUMIFS(Tableau134[QTE],Tableau134[Repère],"116"),SUMIFS(Tableau1345[QTE],Tableau1345[Repère],"116"),SUMIFS(Tableau13456[QTE],Tableau13456[Repère],"116"),SUMIFS(Tableau134567[QTE],Tableau134567[Repère],"116"),SUMIFS(Tableau1345678[QTE],Tableau1345678[Repère],"116"),SUMIFS(Tableau13456789[QTE],Tableau13456789[Repère],"116"),SUMIFS(Tableau1345678910[QTE],Tableau1345678910[Repère],"116"),SUMIFS(Tableau13456789101112[QTE],Tableau13456789101112[Repère],"116"),SUMIFS(Tableau134567891011[QTE],Tableau134567891011[Repère],"116"))</f>
        <v>0</v>
      </c>
      <c r="C117" s="7"/>
      <c r="D117" s="7"/>
      <c r="E117" s="7"/>
      <c r="F117" s="7"/>
      <c r="G117" s="7"/>
      <c r="H117" s="7"/>
      <c r="I117" s="7"/>
      <c r="J117" s="7"/>
      <c r="K117" s="7"/>
      <c r="L117" s="8"/>
      <c r="M117" s="4"/>
    </row>
    <row r="118" spans="1:13" x14ac:dyDescent="0.3">
      <c r="A118" s="21">
        <v>117</v>
      </c>
      <c r="B118" s="13">
        <f>SUM(SUMIFS(Tableau13[QTE],Tableau13[Repère],"117"),SUMIFS(Tableau134[QTE],Tableau134[Repère],"117"),SUMIFS(Tableau1345[QTE],Tableau1345[Repère],"117"),SUMIFS(Tableau13456[QTE],Tableau13456[Repère],"117"),SUMIFS(Tableau134567[QTE],Tableau134567[Repère],"117"),SUMIFS(Tableau1345678[QTE],Tableau1345678[Repère],"117"),SUMIFS(Tableau13456789[QTE],Tableau13456789[Repère],"117"),SUMIFS(Tableau1345678910[QTE],Tableau1345678910[Repère],"117"),SUMIFS(Tableau13456789101112[QTE],Tableau13456789101112[Repère],"117"),SUMIFS(Tableau134567891011[QTE],Tableau134567891011[Repère],"117"))</f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8"/>
      <c r="M118" s="4"/>
    </row>
    <row r="119" spans="1:13" x14ac:dyDescent="0.3">
      <c r="A119" s="21">
        <v>118</v>
      </c>
      <c r="B119" s="13">
        <f>SUM(SUMIFS(Tableau13[QTE],Tableau13[Repère],"118"),SUMIFS(Tableau134[QTE],Tableau134[Repère],"118"),SUMIFS(Tableau1345[QTE],Tableau1345[Repère],"118"),SUMIFS(Tableau13456[QTE],Tableau13456[Repère],"118"),SUMIFS(Tableau134567[QTE],Tableau134567[Repère],"118"),SUMIFS(Tableau1345678[QTE],Tableau1345678[Repère],"118"),SUMIFS(Tableau13456789[QTE],Tableau13456789[Repère],"118"),SUMIFS(Tableau1345678910[QTE],Tableau1345678910[Repère],"118"),SUMIFS(Tableau13456789101112[QTE],Tableau13456789101112[Repère],"118"),SUMIFS(Tableau134567891011[QTE],Tableau134567891011[Repère],"118"))</f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8"/>
      <c r="M119" s="4"/>
    </row>
    <row r="120" spans="1:13" x14ac:dyDescent="0.3">
      <c r="A120" s="21">
        <v>119</v>
      </c>
      <c r="B120" s="13">
        <f>SUM(SUMIFS(Tableau13[QTE],Tableau13[Repère],"119"),SUMIFS(Tableau134[QTE],Tableau134[Repère],"119"),SUMIFS(Tableau1345[QTE],Tableau1345[Repère],"119"),SUMIFS(Tableau13456[QTE],Tableau13456[Repère],"119"),SUMIFS(Tableau134567[QTE],Tableau134567[Repère],"119"),SUMIFS(Tableau1345678[QTE],Tableau1345678[Repère],"119"),SUMIFS(Tableau13456789[QTE],Tableau13456789[Repère],"119"),SUMIFS(Tableau1345678910[QTE],Tableau1345678910[Repère],"119"),SUMIFS(Tableau13456789101112[QTE],Tableau13456789101112[Repère],"119"),SUMIFS(Tableau134567891011[QTE],Tableau134567891011[Repère],"119"))</f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8"/>
      <c r="M120" s="4"/>
    </row>
    <row r="121" spans="1:13" x14ac:dyDescent="0.3">
      <c r="A121" s="21">
        <v>120</v>
      </c>
      <c r="B121" s="13">
        <f>SUM(SUMIFS(Tableau13[QTE],Tableau13[Repère],"120"),SUMIFS(Tableau134[QTE],Tableau134[Repère],"120"),SUMIFS(Tableau1345[QTE],Tableau1345[Repère],"120"),SUMIFS(Tableau13456[QTE],Tableau13456[Repère],"120"),SUMIFS(Tableau134567[QTE],Tableau134567[Repère],"120"),SUMIFS(Tableau1345678[QTE],Tableau1345678[Repère],"120"),SUMIFS(Tableau13456789[QTE],Tableau13456789[Repère],"120"),SUMIFS(Tableau1345678910[QTE],Tableau1345678910[Repère],"120"),SUMIFS(Tableau13456789101112[QTE],Tableau13456789101112[Repère],"120"),SUMIFS(Tableau134567891011[QTE],Tableau134567891011[Repère],"120"))</f>
        <v>0</v>
      </c>
      <c r="C121" s="7"/>
      <c r="D121" s="7"/>
      <c r="E121" s="7"/>
      <c r="F121" s="7"/>
      <c r="G121" s="7"/>
      <c r="H121" s="7"/>
      <c r="I121" s="7"/>
      <c r="J121" s="7"/>
      <c r="K121" s="7"/>
      <c r="L121" s="8"/>
      <c r="M121" s="4"/>
    </row>
    <row r="122" spans="1:13" x14ac:dyDescent="0.3">
      <c r="A122" s="21">
        <v>121</v>
      </c>
      <c r="B122" s="13">
        <f>SUM(SUMIFS(Tableau13[QTE],Tableau13[Repère],"121"),SUMIFS(Tableau134[QTE],Tableau134[Repère],"121"),SUMIFS(Tableau1345[QTE],Tableau1345[Repère],"121"),SUMIFS(Tableau13456[QTE],Tableau13456[Repère],"121"),SUMIFS(Tableau134567[QTE],Tableau134567[Repère],"121"),SUMIFS(Tableau1345678[QTE],Tableau1345678[Repère],"121"),SUMIFS(Tableau13456789[QTE],Tableau13456789[Repère],"121"),SUMIFS(Tableau1345678910[QTE],Tableau1345678910[Repère],"121"),SUMIFS(Tableau13456789101112[QTE],Tableau13456789101112[Repère],"121"),SUMIFS(Tableau134567891011[QTE],Tableau134567891011[Repère],"121"))</f>
        <v>0</v>
      </c>
      <c r="C122" s="7"/>
      <c r="D122" s="7"/>
      <c r="E122" s="7"/>
      <c r="F122" s="7"/>
      <c r="G122" s="7"/>
      <c r="H122" s="7"/>
      <c r="I122" s="7"/>
      <c r="J122" s="7"/>
      <c r="K122" s="7"/>
      <c r="L122" s="8"/>
      <c r="M122" s="4"/>
    </row>
    <row r="123" spans="1:13" x14ac:dyDescent="0.3">
      <c r="A123" s="21">
        <v>122</v>
      </c>
      <c r="B123" s="13">
        <f>SUM(SUMIFS(Tableau13[QTE],Tableau13[Repère],"122"),SUMIFS(Tableau134[QTE],Tableau134[Repère],"122"),SUMIFS(Tableau1345[QTE],Tableau1345[Repère],"122"),SUMIFS(Tableau13456[QTE],Tableau13456[Repère],"122"),SUMIFS(Tableau134567[QTE],Tableau134567[Repère],"122"),SUMIFS(Tableau1345678[QTE],Tableau1345678[Repère],"122"),SUMIFS(Tableau13456789[QTE],Tableau13456789[Repère],"122"),SUMIFS(Tableau1345678910[QTE],Tableau1345678910[Repère],"122"),SUMIFS(Tableau13456789101112[QTE],Tableau13456789101112[Repère],"122"),SUMIFS(Tableau134567891011[QTE],Tableau134567891011[Repère],"122"))</f>
        <v>0</v>
      </c>
      <c r="C123" s="7"/>
      <c r="D123" s="7"/>
      <c r="E123" s="7"/>
      <c r="F123" s="7"/>
      <c r="G123" s="7"/>
      <c r="H123" s="7"/>
      <c r="I123" s="7"/>
      <c r="J123" s="7"/>
      <c r="K123" s="7"/>
      <c r="L123" s="8"/>
      <c r="M123" s="4"/>
    </row>
    <row r="124" spans="1:13" x14ac:dyDescent="0.3">
      <c r="A124" s="21">
        <v>123</v>
      </c>
      <c r="B124" s="13">
        <f>SUM(SUMIFS(Tableau13[QTE],Tableau13[Repère],"123"),SUMIFS(Tableau134[QTE],Tableau134[Repère],"123"),SUMIFS(Tableau1345[QTE],Tableau1345[Repère],"123"),SUMIFS(Tableau13456[QTE],Tableau13456[Repère],"123"),SUMIFS(Tableau134567[QTE],Tableau134567[Repère],"123"),SUMIFS(Tableau1345678[QTE],Tableau1345678[Repère],"123"),SUMIFS(Tableau13456789[QTE],Tableau13456789[Repère],"123"),SUMIFS(Tableau1345678910[QTE],Tableau1345678910[Repère],"123"),SUMIFS(Tableau13456789101112[QTE],Tableau13456789101112[Repère],"123"),SUMIFS(Tableau134567891011[QTE],Tableau134567891011[Repère],"123"))</f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8"/>
      <c r="M124" s="4"/>
    </row>
    <row r="125" spans="1:13" x14ac:dyDescent="0.3">
      <c r="A125" s="21">
        <v>124</v>
      </c>
      <c r="B125" s="13">
        <f>SUM(SUMIFS(Tableau13[QTE],Tableau13[Repère],"124"),SUMIFS(Tableau134[QTE],Tableau134[Repère],"124"),SUMIFS(Tableau1345[QTE],Tableau1345[Repère],"124"),SUMIFS(Tableau13456[QTE],Tableau13456[Repère],"124"),SUMIFS(Tableau134567[QTE],Tableau134567[Repère],"124"),SUMIFS(Tableau1345678[QTE],Tableau1345678[Repère],"124"),SUMIFS(Tableau13456789[QTE],Tableau13456789[Repère],"124"),SUMIFS(Tableau1345678910[QTE],Tableau1345678910[Repère],"124"),SUMIFS(Tableau13456789101112[QTE],Tableau13456789101112[Repère],"124"),SUMIFS(Tableau134567891011[QTE],Tableau134567891011[Repère],"124"))</f>
        <v>0</v>
      </c>
      <c r="C125" s="7"/>
      <c r="D125" s="7"/>
      <c r="E125" s="7"/>
      <c r="F125" s="7"/>
      <c r="G125" s="7"/>
      <c r="H125" s="7"/>
      <c r="I125" s="7"/>
      <c r="J125" s="7"/>
      <c r="K125" s="7"/>
      <c r="L125" s="8"/>
      <c r="M125" s="4"/>
    </row>
    <row r="126" spans="1:13" x14ac:dyDescent="0.3">
      <c r="A126" s="21">
        <v>125</v>
      </c>
      <c r="B126" s="13">
        <f>SUM(SUMIFS(Tableau13[QTE],Tableau13[Repère],"125"),SUMIFS(Tableau134[QTE],Tableau134[Repère],"125"),SUMIFS(Tableau1345[QTE],Tableau1345[Repère],"125"),SUMIFS(Tableau13456[QTE],Tableau13456[Repère],"125"),SUMIFS(Tableau134567[QTE],Tableau134567[Repère],"125"),SUMIFS(Tableau1345678[QTE],Tableau1345678[Repère],"125"),SUMIFS(Tableau13456789[QTE],Tableau13456789[Repère],"125"),SUMIFS(Tableau1345678910[QTE],Tableau1345678910[Repère],"125"),SUMIFS(Tableau13456789101112[QTE],Tableau13456789101112[Repère],"125"),SUMIFS(Tableau134567891011[QTE],Tableau134567891011[Repère],"125"))</f>
        <v>0</v>
      </c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4"/>
    </row>
    <row r="127" spans="1:13" x14ac:dyDescent="0.3">
      <c r="A127" s="21">
        <v>126</v>
      </c>
      <c r="B127" s="13">
        <f>SUM(SUMIFS(Tableau13[QTE],Tableau13[Repère],"126"),SUMIFS(Tableau134[QTE],Tableau134[Repère],"126"),SUMIFS(Tableau1345[QTE],Tableau1345[Repère],"126"),SUMIFS(Tableau13456[QTE],Tableau13456[Repère],"126"),SUMIFS(Tableau134567[QTE],Tableau134567[Repère],"126"),SUMIFS(Tableau1345678[QTE],Tableau1345678[Repère],"126"),SUMIFS(Tableau13456789[QTE],Tableau13456789[Repère],"126"),SUMIFS(Tableau1345678910[QTE],Tableau1345678910[Repère],"126"),SUMIFS(Tableau13456789101112[QTE],Tableau13456789101112[Repère],"126"),SUMIFS(Tableau134567891011[QTE],Tableau134567891011[Repère],"126"))</f>
        <v>0</v>
      </c>
      <c r="C127" s="7"/>
      <c r="D127" s="7"/>
      <c r="E127" s="7"/>
      <c r="F127" s="7"/>
      <c r="G127" s="7"/>
      <c r="H127" s="7"/>
      <c r="I127" s="7"/>
      <c r="J127" s="7"/>
      <c r="K127" s="7"/>
      <c r="L127" s="8"/>
      <c r="M127" s="4"/>
    </row>
    <row r="128" spans="1:13" x14ac:dyDescent="0.3">
      <c r="A128" s="21">
        <v>127</v>
      </c>
      <c r="B128" s="13">
        <f>SUM(SUMIFS(Tableau13[QTE],Tableau13[Repère],"127"),SUMIFS(Tableau134[QTE],Tableau134[Repère],"127"),SUMIFS(Tableau1345[QTE],Tableau1345[Repère],"127"),SUMIFS(Tableau13456[QTE],Tableau13456[Repère],"127"),SUMIFS(Tableau134567[QTE],Tableau134567[Repère],"127"),SUMIFS(Tableau1345678[QTE],Tableau1345678[Repère],"127"),SUMIFS(Tableau13456789[QTE],Tableau13456789[Repère],"127"),SUMIFS(Tableau1345678910[QTE],Tableau1345678910[Repère],"127"),SUMIFS(Tableau13456789101112[QTE],Tableau13456789101112[Repère],"127"),SUMIFS(Tableau134567891011[QTE],Tableau134567891011[Repère],"127"))</f>
        <v>0</v>
      </c>
      <c r="C128" s="7"/>
      <c r="D128" s="7"/>
      <c r="E128" s="7"/>
      <c r="F128" s="7"/>
      <c r="G128" s="7"/>
      <c r="H128" s="7"/>
      <c r="I128" s="7"/>
      <c r="J128" s="7"/>
      <c r="K128" s="7"/>
      <c r="L128" s="8"/>
      <c r="M128" s="4"/>
    </row>
    <row r="129" spans="1:13" x14ac:dyDescent="0.3">
      <c r="A129" s="21">
        <v>128</v>
      </c>
      <c r="B129" s="13">
        <f>SUM(SUMIFS(Tableau13[QTE],Tableau13[Repère],"128"),SUMIFS(Tableau134[QTE],Tableau134[Repère],"128"),SUMIFS(Tableau1345[QTE],Tableau1345[Repère],"128"),SUMIFS(Tableau13456[QTE],Tableau13456[Repère],"128"),SUMIFS(Tableau134567[QTE],Tableau134567[Repère],"128"),SUMIFS(Tableau1345678[QTE],Tableau1345678[Repère],"128"),SUMIFS(Tableau13456789[QTE],Tableau13456789[Repère],"128"),SUMIFS(Tableau1345678910[QTE],Tableau1345678910[Repère],"128"),SUMIFS(Tableau13456789101112[QTE],Tableau13456789101112[Repère],"128"),SUMIFS(Tableau134567891011[QTE],Tableau134567891011[Repère],"128"))</f>
        <v>0</v>
      </c>
      <c r="C129" s="7"/>
      <c r="D129" s="7"/>
      <c r="E129" s="7"/>
      <c r="F129" s="7"/>
      <c r="G129" s="7"/>
      <c r="H129" s="7"/>
      <c r="I129" s="7"/>
      <c r="J129" s="7"/>
      <c r="K129" s="7"/>
      <c r="L129" s="8"/>
      <c r="M129" s="4"/>
    </row>
    <row r="130" spans="1:13" ht="17.25" customHeight="1" x14ac:dyDescent="0.3">
      <c r="A130" s="21">
        <v>129</v>
      </c>
      <c r="B130" s="13">
        <f>SUM(SUMIFS(Tableau13[QTE],Tableau13[Repère],"129"),SUMIFS(Tableau134[QTE],Tableau134[Repère],"129"),SUMIFS(Tableau1345[QTE],Tableau1345[Repère],"129"),SUMIFS(Tableau13456[QTE],Tableau13456[Repère],"129"),SUMIFS(Tableau134567[QTE],Tableau134567[Repère],"129"),SUMIFS(Tableau1345678[QTE],Tableau1345678[Repère],"129"),SUMIFS(Tableau13456789[QTE],Tableau13456789[Repère],"129"),SUMIFS(Tableau1345678910[QTE],Tableau1345678910[Repère],"129"),SUMIFS(Tableau13456789101112[QTE],Tableau13456789101112[Repère],"129"),SUMIFS(Tableau134567891011[QTE],Tableau134567891011[Repère],"129"))</f>
        <v>0</v>
      </c>
      <c r="C130" s="7"/>
      <c r="D130" s="7"/>
      <c r="E130" s="7"/>
      <c r="F130" s="7"/>
      <c r="G130" s="7"/>
      <c r="H130" s="7"/>
      <c r="I130" s="7"/>
      <c r="J130" s="7"/>
      <c r="K130" s="7"/>
      <c r="L130" s="8"/>
      <c r="M130" s="4"/>
    </row>
    <row r="131" spans="1:13" x14ac:dyDescent="0.3">
      <c r="A131" s="21">
        <v>130</v>
      </c>
      <c r="B131" s="13">
        <f>SUM(SUMIFS(Tableau13[QTE],Tableau13[Repère],"130"),SUMIFS(Tableau134[QTE],Tableau134[Repère],"130"),SUMIFS(Tableau1345[QTE],Tableau1345[Repère],"130"),SUMIFS(Tableau13456[QTE],Tableau13456[Repère],"130"),SUMIFS(Tableau134567[QTE],Tableau134567[Repère],"130"),SUMIFS(Tableau1345678[QTE],Tableau1345678[Repère],"130"),SUMIFS(Tableau13456789[QTE],Tableau13456789[Repère],"130"),SUMIFS(Tableau1345678910[QTE],Tableau1345678910[Repère],"130"),SUMIFS(Tableau13456789101112[QTE],Tableau13456789101112[Repère],"130"),SUMIFS(Tableau134567891011[QTE],Tableau134567891011[Repère],"130"))</f>
        <v>0</v>
      </c>
      <c r="C131" s="7"/>
      <c r="D131" s="7"/>
      <c r="E131" s="7"/>
      <c r="F131" s="7"/>
      <c r="G131" s="7"/>
      <c r="H131" s="7"/>
      <c r="I131" s="7"/>
      <c r="J131" s="7"/>
      <c r="K131" s="7"/>
      <c r="L131" s="8"/>
      <c r="M131" s="4"/>
    </row>
    <row r="132" spans="1:13" x14ac:dyDescent="0.3">
      <c r="A132" s="21">
        <v>131</v>
      </c>
      <c r="B132" s="13">
        <f>SUM(SUMIFS(Tableau13[QTE],Tableau13[Repère],"131"),SUMIFS(Tableau134[QTE],Tableau134[Repère],"131"),SUMIFS(Tableau1345[QTE],Tableau1345[Repère],"131"),SUMIFS(Tableau13456[QTE],Tableau13456[Repère],"131"),SUMIFS(Tableau134567[QTE],Tableau134567[Repère],"131"),SUMIFS(Tableau1345678[QTE],Tableau1345678[Repère],"131"),SUMIFS(Tableau13456789[QTE],Tableau13456789[Repère],"131"),SUMIFS(Tableau1345678910[QTE],Tableau1345678910[Repère],"131"),SUMIFS(Tableau13456789101112[QTE],Tableau13456789101112[Repère],"131"),SUMIFS(Tableau134567891011[QTE],Tableau134567891011[Repère],"131"))</f>
        <v>0</v>
      </c>
      <c r="C132" s="7"/>
      <c r="D132" s="7"/>
      <c r="E132" s="7"/>
      <c r="F132" s="7"/>
      <c r="G132" s="7"/>
      <c r="H132" s="7"/>
      <c r="I132" s="7"/>
      <c r="J132" s="7"/>
      <c r="K132" s="7"/>
      <c r="L132" s="8"/>
      <c r="M132" s="4"/>
    </row>
    <row r="133" spans="1:13" x14ac:dyDescent="0.3">
      <c r="A133" s="21">
        <v>132</v>
      </c>
      <c r="B133" s="13">
        <f>SUM(SUMIFS(Tableau13[QTE],Tableau13[Repère],"132"),SUMIFS(Tableau134[QTE],Tableau134[Repère],"132"),SUMIFS(Tableau1345[QTE],Tableau1345[Repère],"132"),SUMIFS(Tableau13456[QTE],Tableau13456[Repère],"132"),SUMIFS(Tableau134567[QTE],Tableau134567[Repère],"132"),SUMIFS(Tableau1345678[QTE],Tableau1345678[Repère],"132"),SUMIFS(Tableau13456789[QTE],Tableau13456789[Repère],"132"),SUMIFS(Tableau1345678910[QTE],Tableau1345678910[Repère],"132"),SUMIFS(Tableau13456789101112[QTE],Tableau13456789101112[Repère],"132"),SUMIFS(Tableau134567891011[QTE],Tableau134567891011[Repère],"132"))</f>
        <v>0</v>
      </c>
      <c r="C133" s="7"/>
      <c r="D133" s="7"/>
      <c r="E133" s="7"/>
      <c r="F133" s="7"/>
      <c r="G133" s="7"/>
      <c r="H133" s="7"/>
      <c r="I133" s="7"/>
      <c r="J133" s="7"/>
      <c r="K133" s="7"/>
      <c r="L133" s="8"/>
      <c r="M133" s="4"/>
    </row>
    <row r="134" spans="1:13" x14ac:dyDescent="0.3">
      <c r="A134" s="21">
        <v>133</v>
      </c>
      <c r="B134" s="13">
        <f>SUM(SUMIFS(Tableau13[QTE],Tableau13[Repère],"133"),SUMIFS(Tableau134[QTE],Tableau134[Repère],"133"),SUMIFS(Tableau1345[QTE],Tableau1345[Repère],"133"),SUMIFS(Tableau13456[QTE],Tableau13456[Repère],"133"),SUMIFS(Tableau134567[QTE],Tableau134567[Repère],"133"),SUMIFS(Tableau1345678[QTE],Tableau1345678[Repère],"133"),SUMIFS(Tableau13456789[QTE],Tableau13456789[Repère],"133"),SUMIFS(Tableau1345678910[QTE],Tableau1345678910[Repère],"133"),SUMIFS(Tableau13456789101112[QTE],Tableau13456789101112[Repère],"133"),SUMIFS(Tableau134567891011[QTE],Tableau134567891011[Repère],"133"))</f>
        <v>0</v>
      </c>
      <c r="C134" s="7"/>
      <c r="D134" s="7"/>
      <c r="E134" s="7"/>
      <c r="F134" s="7"/>
      <c r="G134" s="7"/>
      <c r="H134" s="7"/>
      <c r="I134" s="7"/>
      <c r="J134" s="7"/>
      <c r="K134" s="7"/>
      <c r="L134" s="8"/>
      <c r="M134" s="4"/>
    </row>
    <row r="135" spans="1:13" ht="15.75" customHeight="1" x14ac:dyDescent="0.3">
      <c r="A135" s="21">
        <v>134</v>
      </c>
      <c r="B135" s="13">
        <f>SUM(SUMIFS(Tableau13[QTE],Tableau13[Repère],"134"),SUMIFS(Tableau134[QTE],Tableau134[Repère],"134"),SUMIFS(Tableau1345[QTE],Tableau1345[Repère],"134"),SUMIFS(Tableau13456[QTE],Tableau13456[Repère],"134"),SUMIFS(Tableau134567[QTE],Tableau134567[Repère],"134"),SUMIFS(Tableau1345678[QTE],Tableau1345678[Repère],"134"),SUMIFS(Tableau13456789[QTE],Tableau13456789[Repère],"134"),SUMIFS(Tableau1345678910[QTE],Tableau1345678910[Repère],"134"),SUMIFS(Tableau13456789101112[QTE],Tableau13456789101112[Repère],"134"),SUMIFS(Tableau134567891011[QTE],Tableau134567891011[Repère],"134"))</f>
        <v>0</v>
      </c>
      <c r="C135" s="7"/>
      <c r="D135" s="7"/>
      <c r="E135" s="7"/>
      <c r="F135" s="7"/>
      <c r="G135" s="7"/>
      <c r="H135" s="7"/>
      <c r="I135" s="7"/>
      <c r="J135" s="7"/>
      <c r="K135" s="7"/>
      <c r="L135" s="8"/>
      <c r="M135" s="4"/>
    </row>
    <row r="136" spans="1:13" x14ac:dyDescent="0.3">
      <c r="A136" s="21">
        <v>135</v>
      </c>
      <c r="B136" s="13">
        <f>SUM(SUMIFS(Tableau13[QTE],Tableau13[Repère],"135"),SUMIFS(Tableau134[QTE],Tableau134[Repère],"135"),SUMIFS(Tableau1345[QTE],Tableau1345[Repère],"135"),SUMIFS(Tableau13456[QTE],Tableau13456[Repère],"135"),SUMIFS(Tableau134567[QTE],Tableau134567[Repère],"135"),SUMIFS(Tableau1345678[QTE],Tableau1345678[Repère],"135"),SUMIFS(Tableau13456789[QTE],Tableau13456789[Repère],"135"),SUMIFS(Tableau1345678910[QTE],Tableau1345678910[Repère],"135"),SUMIFS(Tableau13456789101112[QTE],Tableau13456789101112[Repère],"135"),SUMIFS(Tableau134567891011[QTE],Tableau134567891011[Repère],"135"))</f>
        <v>0</v>
      </c>
      <c r="C136" s="7"/>
      <c r="D136" s="7"/>
      <c r="E136" s="7"/>
      <c r="F136" s="7"/>
      <c r="G136" s="7"/>
      <c r="H136" s="7"/>
      <c r="I136" s="7"/>
      <c r="J136" s="7"/>
      <c r="K136" s="7"/>
      <c r="L136" s="8"/>
      <c r="M136" s="4"/>
    </row>
    <row r="137" spans="1:13" x14ac:dyDescent="0.3">
      <c r="A137" s="21">
        <v>136</v>
      </c>
      <c r="B137" s="13">
        <f>SUM(SUMIFS(Tableau13[QTE],Tableau13[Repère],"136"),SUMIFS(Tableau134[QTE],Tableau134[Repère],"136"),SUMIFS(Tableau1345[QTE],Tableau1345[Repère],"136"),SUMIFS(Tableau13456[QTE],Tableau13456[Repère],"136"),SUMIFS(Tableau134567[QTE],Tableau134567[Repère],"136"),SUMIFS(Tableau1345678[QTE],Tableau1345678[Repère],"136"),SUMIFS(Tableau13456789[QTE],Tableau13456789[Repère],"136"),SUMIFS(Tableau1345678910[QTE],Tableau1345678910[Repère],"136"),SUMIFS(Tableau13456789101112[QTE],Tableau13456789101112[Repère],"136"),SUMIFS(Tableau134567891011[QTE],Tableau134567891011[Repère],"136"))</f>
        <v>0</v>
      </c>
      <c r="C137" s="7"/>
      <c r="D137" s="7"/>
      <c r="E137" s="7"/>
      <c r="F137" s="7"/>
      <c r="G137" s="7"/>
      <c r="H137" s="7"/>
      <c r="I137" s="7"/>
      <c r="J137" s="7"/>
      <c r="K137" s="7"/>
      <c r="L137" s="8"/>
      <c r="M137" s="4"/>
    </row>
    <row r="138" spans="1:13" x14ac:dyDescent="0.3">
      <c r="A138" s="21">
        <v>137</v>
      </c>
      <c r="B138" s="13">
        <f>SUM(SUMIFS(Tableau13[QTE],Tableau13[Repère],"137"),SUMIFS(Tableau134[QTE],Tableau134[Repère],"137"),SUMIFS(Tableau1345[QTE],Tableau1345[Repère],"137"),SUMIFS(Tableau13456[QTE],Tableau13456[Repère],"137"),SUMIFS(Tableau134567[QTE],Tableau134567[Repère],"137"),SUMIFS(Tableau1345678[QTE],Tableau1345678[Repère],"137"),SUMIFS(Tableau13456789[QTE],Tableau13456789[Repère],"137"),SUMIFS(Tableau1345678910[QTE],Tableau1345678910[Repère],"137"),SUMIFS(Tableau13456789101112[QTE],Tableau13456789101112[Repère],"137"),SUMIFS(Tableau134567891011[QTE],Tableau134567891011[Repère],"137"))</f>
        <v>0</v>
      </c>
      <c r="C138" s="7"/>
      <c r="D138" s="7"/>
      <c r="E138" s="7"/>
      <c r="F138" s="7"/>
      <c r="G138" s="7"/>
      <c r="H138" s="7"/>
      <c r="I138" s="7"/>
      <c r="J138" s="7"/>
      <c r="K138" s="7"/>
      <c r="L138" s="8"/>
      <c r="M138" s="4"/>
    </row>
    <row r="139" spans="1:13" x14ac:dyDescent="0.3">
      <c r="A139" s="21">
        <v>138</v>
      </c>
      <c r="B139" s="13">
        <f>SUM(SUMIFS(Tableau13[QTE],Tableau13[Repère],"138"),SUMIFS(Tableau134[QTE],Tableau134[Repère],"138"),SUMIFS(Tableau1345[QTE],Tableau1345[Repère],"138"),SUMIFS(Tableau13456[QTE],Tableau13456[Repère],"138"),SUMIFS(Tableau134567[QTE],Tableau134567[Repère],"138"),SUMIFS(Tableau1345678[QTE],Tableau1345678[Repère],"138"),SUMIFS(Tableau13456789[QTE],Tableau13456789[Repère],"138"),SUMIFS(Tableau1345678910[QTE],Tableau1345678910[Repère],"138"),SUMIFS(Tableau13456789101112[QTE],Tableau13456789101112[Repère],"138"),SUMIFS(Tableau134567891011[QTE],Tableau134567891011[Repère],"138"))</f>
        <v>0</v>
      </c>
      <c r="C139" s="7"/>
      <c r="D139" s="7"/>
      <c r="E139" s="7"/>
      <c r="F139" s="7"/>
      <c r="G139" s="7"/>
      <c r="H139" s="7"/>
      <c r="I139" s="7"/>
      <c r="J139" s="7"/>
      <c r="K139" s="7"/>
      <c r="L139" s="8"/>
      <c r="M139" s="4"/>
    </row>
    <row r="140" spans="1:13" x14ac:dyDescent="0.3">
      <c r="A140" s="21">
        <v>139</v>
      </c>
      <c r="B140" s="13">
        <f>SUM(SUMIFS(Tableau13[QTE],Tableau13[Repère],"139"),SUMIFS(Tableau134[QTE],Tableau134[Repère],"139"),SUMIFS(Tableau1345[QTE],Tableau1345[Repère],"139"),SUMIFS(Tableau13456[QTE],Tableau13456[Repère],"139"),SUMIFS(Tableau134567[QTE],Tableau134567[Repère],"139"),SUMIFS(Tableau1345678[QTE],Tableau1345678[Repère],"139"),SUMIFS(Tableau13456789[QTE],Tableau13456789[Repère],"139"),SUMIFS(Tableau1345678910[QTE],Tableau1345678910[Repère],"139"),SUMIFS(Tableau13456789101112[QTE],Tableau13456789101112[Repère],"139"),SUMIFS(Tableau134567891011[QTE],Tableau134567891011[Repère],"139"))</f>
        <v>0</v>
      </c>
      <c r="C140" s="7"/>
      <c r="D140" s="7"/>
      <c r="E140" s="7"/>
      <c r="F140" s="7"/>
      <c r="G140" s="7"/>
      <c r="H140" s="7"/>
      <c r="I140" s="7"/>
      <c r="J140" s="7"/>
      <c r="K140" s="7"/>
      <c r="L140" s="8"/>
      <c r="M140" s="4"/>
    </row>
    <row r="141" spans="1:13" x14ac:dyDescent="0.3">
      <c r="A141" s="21">
        <v>140</v>
      </c>
      <c r="B141" s="13">
        <f>SUM(SUMIFS(Tableau13[QTE],Tableau13[Repère],"140"),SUMIFS(Tableau134[QTE],Tableau134[Repère],"140"),SUMIFS(Tableau1345[QTE],Tableau1345[Repère],"140"),SUMIFS(Tableau13456[QTE],Tableau13456[Repère],"140"),SUMIFS(Tableau134567[QTE],Tableau134567[Repère],"140"),SUMIFS(Tableau1345678[QTE],Tableau1345678[Repère],"140"),SUMIFS(Tableau13456789[QTE],Tableau13456789[Repère],"140"),SUMIFS(Tableau1345678910[QTE],Tableau1345678910[Repère],"140"),SUMIFS(Tableau13456789101112[QTE],Tableau13456789101112[Repère],"140"),SUMIFS(Tableau134567891011[QTE],Tableau134567891011[Repère],"140"))</f>
        <v>0</v>
      </c>
      <c r="C141" s="7"/>
      <c r="D141" s="7"/>
      <c r="E141" s="7"/>
      <c r="F141" s="7"/>
      <c r="G141" s="7"/>
      <c r="H141" s="7"/>
      <c r="I141" s="7"/>
      <c r="J141" s="7"/>
      <c r="K141" s="7"/>
      <c r="L141" s="8"/>
      <c r="M141" s="4"/>
    </row>
    <row r="142" spans="1:13" x14ac:dyDescent="0.3">
      <c r="A142" s="21">
        <v>141</v>
      </c>
      <c r="B142" s="13">
        <f>SUM(SUMIFS(Tableau13[QTE],Tableau13[Repère],"141"),SUMIFS(Tableau134[QTE],Tableau134[Repère],"141"),SUMIFS(Tableau1345[QTE],Tableau1345[Repère],"141"),SUMIFS(Tableau13456[QTE],Tableau13456[Repère],"141"),SUMIFS(Tableau134567[QTE],Tableau134567[Repère],"141"),SUMIFS(Tableau1345678[QTE],Tableau1345678[Repère],"141"),SUMIFS(Tableau13456789[QTE],Tableau13456789[Repère],"141"),SUMIFS(Tableau1345678910[QTE],Tableau1345678910[Repère],"141"),SUMIFS(Tableau13456789101112[QTE],Tableau13456789101112[Repère],"141"),SUMIFS(Tableau134567891011[QTE],Tableau134567891011[Repère],"141"))</f>
        <v>0</v>
      </c>
      <c r="C142" s="7"/>
      <c r="D142" s="7"/>
      <c r="E142" s="7"/>
      <c r="F142" s="7"/>
      <c r="G142" s="7"/>
      <c r="H142" s="7"/>
      <c r="I142" s="7"/>
      <c r="J142" s="7"/>
      <c r="K142" s="7"/>
      <c r="L142" s="8"/>
      <c r="M142" s="4"/>
    </row>
    <row r="143" spans="1:13" x14ac:dyDescent="0.3">
      <c r="A143" s="21">
        <v>142</v>
      </c>
      <c r="B143" s="13">
        <f>SUM(SUMIFS(Tableau13[QTE],Tableau13[Repère],"142"),SUMIFS(Tableau134[QTE],Tableau134[Repère],"142"),SUMIFS(Tableau1345[QTE],Tableau1345[Repère],"142"),SUMIFS(Tableau13456[QTE],Tableau13456[Repère],"142"),SUMIFS(Tableau134567[QTE],Tableau134567[Repère],"142"),SUMIFS(Tableau1345678[QTE],Tableau1345678[Repère],"142"),SUMIFS(Tableau13456789[QTE],Tableau13456789[Repère],"142"),SUMIFS(Tableau1345678910[QTE],Tableau1345678910[Repère],"142"),SUMIFS(Tableau13456789101112[QTE],Tableau13456789101112[Repère],"142"),SUMIFS(Tableau134567891011[QTE],Tableau134567891011[Repère],"142"))</f>
        <v>0</v>
      </c>
      <c r="C143" s="7"/>
      <c r="D143" s="7"/>
      <c r="E143" s="7"/>
      <c r="F143" s="7"/>
      <c r="G143" s="7"/>
      <c r="H143" s="7"/>
      <c r="I143" s="7"/>
      <c r="J143" s="7"/>
      <c r="K143" s="7"/>
      <c r="L143" s="8"/>
      <c r="M143" s="4"/>
    </row>
    <row r="144" spans="1:13" x14ac:dyDescent="0.3">
      <c r="A144" s="21">
        <v>143</v>
      </c>
      <c r="B144" s="13">
        <f>SUM(SUMIFS(Tableau13[QTE],Tableau13[Repère],"143"),SUMIFS(Tableau134[QTE],Tableau134[Repère],"143"),SUMIFS(Tableau1345[QTE],Tableau1345[Repère],"143"),SUMIFS(Tableau13456[QTE],Tableau13456[Repère],"143"),SUMIFS(Tableau134567[QTE],Tableau134567[Repère],"143"),SUMIFS(Tableau1345678[QTE],Tableau1345678[Repère],"143"),SUMIFS(Tableau13456789[QTE],Tableau13456789[Repère],"143"),SUMIFS(Tableau1345678910[QTE],Tableau1345678910[Repère],"143"),SUMIFS(Tableau13456789101112[QTE],Tableau13456789101112[Repère],"143"),SUMIFS(Tableau134567891011[QTE],Tableau134567891011[Repère],"143"))</f>
        <v>0</v>
      </c>
      <c r="C144" s="7"/>
      <c r="D144" s="7"/>
      <c r="E144" s="7"/>
      <c r="F144" s="7"/>
      <c r="G144" s="7"/>
      <c r="H144" s="7"/>
      <c r="I144" s="7"/>
      <c r="J144" s="7"/>
      <c r="K144" s="7"/>
      <c r="L144" s="8"/>
      <c r="M144" s="4"/>
    </row>
    <row r="145" spans="1:13" x14ac:dyDescent="0.3">
      <c r="A145" s="21">
        <v>144</v>
      </c>
      <c r="B145" s="13">
        <f>SUM(SUMIFS(Tableau13[QTE],Tableau13[Repère],"144"),SUMIFS(Tableau134[QTE],Tableau134[Repère],"144"),SUMIFS(Tableau1345[QTE],Tableau1345[Repère],"144"),SUMIFS(Tableau13456[QTE],Tableau13456[Repère],"144"),SUMIFS(Tableau134567[QTE],Tableau134567[Repère],"144"),SUMIFS(Tableau1345678[QTE],Tableau1345678[Repère],"144"),SUMIFS(Tableau13456789[QTE],Tableau13456789[Repère],"144"),SUMIFS(Tableau1345678910[QTE],Tableau1345678910[Repère],"144"),SUMIFS(Tableau13456789101112[QTE],Tableau13456789101112[Repère],"144"),SUMIFS(Tableau134567891011[QTE],Tableau134567891011[Repère],"144"))</f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8"/>
      <c r="M145" s="4"/>
    </row>
    <row r="146" spans="1:13" x14ac:dyDescent="0.3">
      <c r="A146" s="21">
        <v>145</v>
      </c>
      <c r="B146" s="13">
        <f>SUM(SUMIFS(Tableau13[QTE],Tableau13[Repère],"145"),SUMIFS(Tableau134[QTE],Tableau134[Repère],"145"),SUMIFS(Tableau1345[QTE],Tableau1345[Repère],"145"),SUMIFS(Tableau13456[QTE],Tableau13456[Repère],"145"),SUMIFS(Tableau134567[QTE],Tableau134567[Repère],"145"),SUMIFS(Tableau1345678[QTE],Tableau1345678[Repère],"145"),SUMIFS(Tableau13456789[QTE],Tableau13456789[Repère],"145"),SUMIFS(Tableau1345678910[QTE],Tableau1345678910[Repère],"145"),SUMIFS(Tableau13456789101112[QTE],Tableau13456789101112[Repère],"145"),SUMIFS(Tableau134567891011[QTE],Tableau134567891011[Repère],"145"))</f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8"/>
      <c r="M146" s="4"/>
    </row>
    <row r="147" spans="1:13" x14ac:dyDescent="0.3">
      <c r="A147" s="21">
        <v>146</v>
      </c>
      <c r="B147" s="13">
        <f>SUM(SUMIFS(Tableau13[QTE],Tableau13[Repère],"146"),SUMIFS(Tableau134[QTE],Tableau134[Repère],"146"),SUMIFS(Tableau1345[QTE],Tableau1345[Repère],"146"),SUMIFS(Tableau13456[QTE],Tableau13456[Repère],"146"),SUMIFS(Tableau134567[QTE],Tableau134567[Repère],"146"),SUMIFS(Tableau1345678[QTE],Tableau1345678[Repère],"146"),SUMIFS(Tableau13456789[QTE],Tableau13456789[Repère],"146"),SUMIFS(Tableau1345678910[QTE],Tableau1345678910[Repère],"146"),SUMIFS(Tableau13456789101112[QTE],Tableau13456789101112[Repère],"146"),SUMIFS(Tableau134567891011[QTE],Tableau134567891011[Repère],"146"))</f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8"/>
      <c r="M147" s="4"/>
    </row>
    <row r="148" spans="1:13" x14ac:dyDescent="0.3">
      <c r="A148" s="21">
        <v>147</v>
      </c>
      <c r="B148" s="13">
        <f>SUM(SUMIFS(Tableau13[QTE],Tableau13[Repère],"147"),SUMIFS(Tableau134[QTE],Tableau134[Repère],"147"),SUMIFS(Tableau1345[QTE],Tableau1345[Repère],"147"),SUMIFS(Tableau13456[QTE],Tableau13456[Repère],"147"),SUMIFS(Tableau134567[QTE],Tableau134567[Repère],"147"),SUMIFS(Tableau1345678[QTE],Tableau1345678[Repère],"147"),SUMIFS(Tableau13456789[QTE],Tableau13456789[Repère],"147"),SUMIFS(Tableau1345678910[QTE],Tableau1345678910[Repère],"147"),SUMIFS(Tableau13456789101112[QTE],Tableau13456789101112[Repère],"147"),SUMIFS(Tableau134567891011[QTE],Tableau134567891011[Repère],"147"))</f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8"/>
      <c r="M148" s="4"/>
    </row>
    <row r="149" spans="1:13" x14ac:dyDescent="0.3">
      <c r="A149" s="21">
        <v>148</v>
      </c>
      <c r="B149" s="13">
        <f>SUM(SUMIFS(Tableau13[QTE],Tableau13[Repère],"148"),SUMIFS(Tableau134[QTE],Tableau134[Repère],"148"),SUMIFS(Tableau1345[QTE],Tableau1345[Repère],"148"),SUMIFS(Tableau13456[QTE],Tableau13456[Repère],"148"),SUMIFS(Tableau134567[QTE],Tableau134567[Repère],"148"),SUMIFS(Tableau1345678[QTE],Tableau1345678[Repère],"148"),SUMIFS(Tableau13456789[QTE],Tableau13456789[Repère],"148"),SUMIFS(Tableau1345678910[QTE],Tableau1345678910[Repère],"148"),SUMIFS(Tableau13456789101112[QTE],Tableau13456789101112[Repère],"148"),SUMIFS(Tableau134567891011[QTE],Tableau134567891011[Repère],"148"))</f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8"/>
      <c r="M149" s="4"/>
    </row>
    <row r="150" spans="1:13" x14ac:dyDescent="0.3">
      <c r="A150" s="21">
        <v>149</v>
      </c>
      <c r="B150" s="13">
        <f>SUM(SUMIFS(Tableau13[QTE],Tableau13[Repère],"149"),SUMIFS(Tableau134[QTE],Tableau134[Repère],"149"),SUMIFS(Tableau1345[QTE],Tableau1345[Repère],"149"),SUMIFS(Tableau13456[QTE],Tableau13456[Repère],"149"),SUMIFS(Tableau134567[QTE],Tableau134567[Repère],"149"),SUMIFS(Tableau1345678[QTE],Tableau1345678[Repère],"149"),SUMIFS(Tableau13456789[QTE],Tableau13456789[Repère],"149"),SUMIFS(Tableau1345678910[QTE],Tableau1345678910[Repère],"149"),SUMIFS(Tableau13456789101112[QTE],Tableau13456789101112[Repère],"149"),SUMIFS(Tableau134567891011[QTE],Tableau134567891011[Repère],"149"))</f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8"/>
      <c r="M150" s="4"/>
    </row>
    <row r="151" spans="1:13" x14ac:dyDescent="0.3">
      <c r="A151" s="21">
        <v>150</v>
      </c>
      <c r="B151" s="13">
        <f>SUM(SUMIFS(Tableau13[QTE],Tableau13[Repère],"150"),SUMIFS(Tableau134[QTE],Tableau134[Repère],"150"),SUMIFS(Tableau1345[QTE],Tableau1345[Repère],"150"),SUMIFS(Tableau13456[QTE],Tableau13456[Repère],"150"),SUMIFS(Tableau134567[QTE],Tableau134567[Repère],"150"),SUMIFS(Tableau1345678[QTE],Tableau1345678[Repère],"150"),SUMIFS(Tableau13456789[QTE],Tableau13456789[Repère],"150"),SUMIFS(Tableau1345678910[QTE],Tableau1345678910[Repère],"150"),SUMIFS(Tableau13456789101112[QTE],Tableau13456789101112[Repère],"150"),SUMIFS(Tableau134567891011[QTE],Tableau134567891011[Repère],"150"))</f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8"/>
      <c r="M151" s="4"/>
    </row>
    <row r="152" spans="1:13" x14ac:dyDescent="0.3">
      <c r="A152" s="21">
        <v>151</v>
      </c>
      <c r="B152" s="13">
        <f>SUM(SUMIFS(Tableau13[QTE],Tableau13[Repère],"151"),SUMIFS(Tableau134[QTE],Tableau134[Repère],"151"),SUMIFS(Tableau1345[QTE],Tableau1345[Repère],"151"),SUMIFS(Tableau13456[QTE],Tableau13456[Repère],"151"),SUMIFS(Tableau134567[QTE],Tableau134567[Repère],"151"),SUMIFS(Tableau1345678[QTE],Tableau1345678[Repère],"151"),SUMIFS(Tableau13456789[QTE],Tableau13456789[Repère],"151"),SUMIFS(Tableau1345678910[QTE],Tableau1345678910[Repère],"151"),SUMIFS(Tableau13456789101112[QTE],Tableau13456789101112[Repère],"151"),SUMIFS(Tableau134567891011[QTE],Tableau134567891011[Repère],"151"))</f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8"/>
      <c r="M152" s="4"/>
    </row>
    <row r="153" spans="1:13" x14ac:dyDescent="0.3">
      <c r="A153" s="21">
        <v>152</v>
      </c>
      <c r="B153" s="13">
        <f>SUM(SUMIFS(Tableau13[QTE],Tableau13[Repère],"152"),SUMIFS(Tableau134[QTE],Tableau134[Repère],"152"),SUMIFS(Tableau1345[QTE],Tableau1345[Repère],"152"),SUMIFS(Tableau13456[QTE],Tableau13456[Repère],"152"),SUMIFS(Tableau134567[QTE],Tableau134567[Repère],"152"),SUMIFS(Tableau1345678[QTE],Tableau1345678[Repère],"152"),SUMIFS(Tableau13456789[QTE],Tableau13456789[Repère],"152"),SUMIFS(Tableau1345678910[QTE],Tableau1345678910[Repère],"152"),SUMIFS(Tableau13456789101112[QTE],Tableau13456789101112[Repère],"152"),SUMIFS(Tableau134567891011[QTE],Tableau134567891011[Repère],"152"))</f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8"/>
      <c r="M153" s="4"/>
    </row>
    <row r="154" spans="1:13" x14ac:dyDescent="0.3">
      <c r="A154" s="21">
        <v>153</v>
      </c>
      <c r="B154" s="13">
        <f>SUM(SUMIFS(Tableau13[QTE],Tableau13[Repère],"153"),SUMIFS(Tableau134[QTE],Tableau134[Repère],"153"),SUMIFS(Tableau1345[QTE],Tableau1345[Repère],"153"),SUMIFS(Tableau13456[QTE],Tableau13456[Repère],"153"),SUMIFS(Tableau134567[QTE],Tableau134567[Repère],"153"),SUMIFS(Tableau1345678[QTE],Tableau1345678[Repère],"153"),SUMIFS(Tableau13456789[QTE],Tableau13456789[Repère],"153"),SUMIFS(Tableau1345678910[QTE],Tableau1345678910[Repère],"153"),SUMIFS(Tableau13456789101112[QTE],Tableau13456789101112[Repère],"153"),SUMIFS(Tableau134567891011[QTE],Tableau134567891011[Repère],"153"))</f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8"/>
      <c r="M154" s="4"/>
    </row>
    <row r="155" spans="1:13" x14ac:dyDescent="0.3">
      <c r="A155" s="21">
        <v>154</v>
      </c>
      <c r="B155" s="13">
        <f>SUM(SUMIFS(Tableau13[QTE],Tableau13[Repère],"154"),SUMIFS(Tableau134[QTE],Tableau134[Repère],"154"),SUMIFS(Tableau1345[QTE],Tableau1345[Repère],"154"),SUMIFS(Tableau13456[QTE],Tableau13456[Repère],"154"),SUMIFS(Tableau134567[QTE],Tableau134567[Repère],"154"),SUMIFS(Tableau1345678[QTE],Tableau1345678[Repère],"154"),SUMIFS(Tableau13456789[QTE],Tableau13456789[Repère],"154"),SUMIFS(Tableau1345678910[QTE],Tableau1345678910[Repère],"154"),SUMIFS(Tableau13456789101112[QTE],Tableau13456789101112[Repère],"154"),SUMIFS(Tableau134567891011[QTE],Tableau134567891011[Repère],"154"))</f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8"/>
      <c r="M155" s="4"/>
    </row>
    <row r="156" spans="1:13" x14ac:dyDescent="0.3">
      <c r="A156" s="21">
        <v>155</v>
      </c>
      <c r="B156" s="13">
        <f>SUM(SUMIFS(Tableau13[QTE],Tableau13[Repère],"155"),SUMIFS(Tableau134[QTE],Tableau134[Repère],"155"),SUMIFS(Tableau1345[QTE],Tableau1345[Repère],"155"),SUMIFS(Tableau13456[QTE],Tableau13456[Repère],"155"),SUMIFS(Tableau134567[QTE],Tableau134567[Repère],"155"),SUMIFS(Tableau1345678[QTE],Tableau1345678[Repère],"155"),SUMIFS(Tableau13456789[QTE],Tableau13456789[Repère],"155"),SUMIFS(Tableau1345678910[QTE],Tableau1345678910[Repère],"155"),SUMIFS(Tableau13456789101112[QTE],Tableau13456789101112[Repère],"155"),SUMIFS(Tableau134567891011[QTE],Tableau134567891011[Repère],"155"))</f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8"/>
      <c r="M156" s="4"/>
    </row>
    <row r="157" spans="1:13" x14ac:dyDescent="0.3">
      <c r="A157" s="21">
        <v>156</v>
      </c>
      <c r="B157" s="13">
        <f>SUM(SUMIFS(Tableau13[QTE],Tableau13[Repère],"156"),SUMIFS(Tableau134[QTE],Tableau134[Repère],"156"),SUMIFS(Tableau1345[QTE],Tableau1345[Repère],"156"),SUMIFS(Tableau13456[QTE],Tableau13456[Repère],"156"),SUMIFS(Tableau134567[QTE],Tableau134567[Repère],"156"),SUMIFS(Tableau1345678[QTE],Tableau1345678[Repère],"156"),SUMIFS(Tableau13456789[QTE],Tableau13456789[Repère],"156"),SUMIFS(Tableau1345678910[QTE],Tableau1345678910[Repère],"156"),SUMIFS(Tableau13456789101112[QTE],Tableau13456789101112[Repère],"156"),SUMIFS(Tableau134567891011[QTE],Tableau134567891011[Repère],"156"))</f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8"/>
      <c r="M157" s="4"/>
    </row>
    <row r="158" spans="1:13" x14ac:dyDescent="0.3">
      <c r="A158" s="21">
        <v>157</v>
      </c>
      <c r="B158" s="13">
        <f>SUM(SUMIFS(Tableau13[QTE],Tableau13[Repère],"157"),SUMIFS(Tableau134[QTE],Tableau134[Repère],"157"),SUMIFS(Tableau1345[QTE],Tableau1345[Repère],"157"),SUMIFS(Tableau13456[QTE],Tableau13456[Repère],"157"),SUMIFS(Tableau134567[QTE],Tableau134567[Repère],"157"),SUMIFS(Tableau1345678[QTE],Tableau1345678[Repère],"157"),SUMIFS(Tableau13456789[QTE],Tableau13456789[Repère],"157"),SUMIFS(Tableau1345678910[QTE],Tableau1345678910[Repère],"157"),SUMIFS(Tableau13456789101112[QTE],Tableau13456789101112[Repère],"157"),SUMIFS(Tableau134567891011[QTE],Tableau134567891011[Repère],"157"))</f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8"/>
      <c r="M158" s="4"/>
    </row>
    <row r="159" spans="1:13" x14ac:dyDescent="0.3">
      <c r="A159" s="21">
        <v>158</v>
      </c>
      <c r="B159" s="13">
        <f>SUM(SUMIFS(Tableau13[QTE],Tableau13[Repère],"158"),SUMIFS(Tableau134[QTE],Tableau134[Repère],"158"),SUMIFS(Tableau1345[QTE],Tableau1345[Repère],"158"),SUMIFS(Tableau13456[QTE],Tableau13456[Repère],"158"),SUMIFS(Tableau134567[QTE],Tableau134567[Repère],"158"),SUMIFS(Tableau1345678[QTE],Tableau1345678[Repère],"158"),SUMIFS(Tableau13456789[QTE],Tableau13456789[Repère],"158"),SUMIFS(Tableau1345678910[QTE],Tableau1345678910[Repère],"158"),SUMIFS(Tableau13456789101112[QTE],Tableau13456789101112[Repère],"158"),SUMIFS(Tableau134567891011[QTE],Tableau134567891011[Repère],"158"))</f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8"/>
      <c r="M159" s="4"/>
    </row>
    <row r="160" spans="1:13" x14ac:dyDescent="0.3">
      <c r="A160" s="21">
        <v>159</v>
      </c>
      <c r="B160" s="13">
        <f>SUM(SUMIFS(Tableau13[QTE],Tableau13[Repère],"159"),SUMIFS(Tableau134[QTE],Tableau134[Repère],"159"),SUMIFS(Tableau1345[QTE],Tableau1345[Repère],"159"),SUMIFS(Tableau13456[QTE],Tableau13456[Repère],"159"),SUMIFS(Tableau134567[QTE],Tableau134567[Repère],"159"),SUMIFS(Tableau1345678[QTE],Tableau1345678[Repère],"159"),SUMIFS(Tableau13456789[QTE],Tableau13456789[Repère],"159"),SUMIFS(Tableau1345678910[QTE],Tableau1345678910[Repère],"159"),SUMIFS(Tableau13456789101112[QTE],Tableau13456789101112[Repère],"159"),SUMIFS(Tableau134567891011[QTE],Tableau134567891011[Repère],"159"))</f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8"/>
      <c r="M160" s="4"/>
    </row>
    <row r="161" spans="1:13" x14ac:dyDescent="0.3">
      <c r="A161" s="21">
        <v>160</v>
      </c>
      <c r="B161" s="13">
        <f>SUM(SUMIFS(Tableau13[QTE],Tableau13[Repère],"160"),SUMIFS(Tableau134[QTE],Tableau134[Repère],"160"),SUMIFS(Tableau1345[QTE],Tableau1345[Repère],"160"),SUMIFS(Tableau13456[QTE],Tableau13456[Repère],"160"),SUMIFS(Tableau134567[QTE],Tableau134567[Repère],"160"),SUMIFS(Tableau1345678[QTE],Tableau1345678[Repère],"160"),SUMIFS(Tableau13456789[QTE],Tableau13456789[Repère],"160"),SUMIFS(Tableau1345678910[QTE],Tableau1345678910[Repère],"160"),SUMIFS(Tableau13456789101112[QTE],Tableau13456789101112[Repère],"160"),SUMIFS(Tableau134567891011[QTE],Tableau134567891011[Repère],"160"))</f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8"/>
      <c r="M161" s="4"/>
    </row>
    <row r="162" spans="1:13" x14ac:dyDescent="0.3">
      <c r="A162" s="21">
        <v>161</v>
      </c>
      <c r="B162" s="13">
        <f>SUM(SUMIFS(Tableau13[QTE],Tableau13[Repère],"161"),SUMIFS(Tableau134[QTE],Tableau134[Repère],"161"),SUMIFS(Tableau1345[QTE],Tableau1345[Repère],"161"),SUMIFS(Tableau13456[QTE],Tableau13456[Repère],"161"),SUMIFS(Tableau134567[QTE],Tableau134567[Repère],"161"),SUMIFS(Tableau1345678[QTE],Tableau1345678[Repère],"161"),SUMIFS(Tableau13456789[QTE],Tableau13456789[Repère],"161"),SUMIFS(Tableau1345678910[QTE],Tableau1345678910[Repère],"161"),SUMIFS(Tableau13456789101112[QTE],Tableau13456789101112[Repère],"161"),SUMIFS(Tableau134567891011[QTE],Tableau134567891011[Repère],"161"))</f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8"/>
      <c r="M162" s="4"/>
    </row>
    <row r="163" spans="1:13" x14ac:dyDescent="0.3">
      <c r="A163" s="21">
        <v>162</v>
      </c>
      <c r="B163" s="13">
        <f>SUM(SUMIFS(Tableau13[QTE],Tableau13[Repère],"162"),SUMIFS(Tableau134[QTE],Tableau134[Repère],"162"),SUMIFS(Tableau1345[QTE],Tableau1345[Repère],"162"),SUMIFS(Tableau13456[QTE],Tableau13456[Repère],"162"),SUMIFS(Tableau134567[QTE],Tableau134567[Repère],"162"),SUMIFS(Tableau1345678[QTE],Tableau1345678[Repère],"162"),SUMIFS(Tableau13456789[QTE],Tableau13456789[Repère],"162"),SUMIFS(Tableau1345678910[QTE],Tableau1345678910[Repère],"162"),SUMIFS(Tableau13456789101112[QTE],Tableau13456789101112[Repère],"162"),SUMIFS(Tableau134567891011[QTE],Tableau134567891011[Repère],"162"))</f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8"/>
      <c r="M163" s="4"/>
    </row>
    <row r="164" spans="1:13" x14ac:dyDescent="0.3">
      <c r="A164" s="21">
        <v>163</v>
      </c>
      <c r="B164" s="13">
        <f>SUM(SUMIFS(Tableau13[QTE],Tableau13[Repère],"163"),SUMIFS(Tableau134[QTE],Tableau134[Repère],"163"),SUMIFS(Tableau1345[QTE],Tableau1345[Repère],"163"),SUMIFS(Tableau13456[QTE],Tableau13456[Repère],"163"),SUMIFS(Tableau134567[QTE],Tableau134567[Repère],"163"),SUMIFS(Tableau1345678[QTE],Tableau1345678[Repère],"163"),SUMIFS(Tableau13456789[QTE],Tableau13456789[Repère],"163"),SUMIFS(Tableau1345678910[QTE],Tableau1345678910[Repère],"163"),SUMIFS(Tableau13456789101112[QTE],Tableau13456789101112[Repère],"163"),SUMIFS(Tableau134567891011[QTE],Tableau134567891011[Repère],"163"))</f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8"/>
      <c r="M164" s="4"/>
    </row>
    <row r="165" spans="1:13" x14ac:dyDescent="0.3">
      <c r="A165" s="21">
        <v>164</v>
      </c>
      <c r="B165" s="13">
        <f>SUM(SUMIFS(Tableau13[QTE],Tableau13[Repère],"164"),SUMIFS(Tableau134[QTE],Tableau134[Repère],"164"),SUMIFS(Tableau1345[QTE],Tableau1345[Repère],"164"),SUMIFS(Tableau13456[QTE],Tableau13456[Repère],"164"),SUMIFS(Tableau134567[QTE],Tableau134567[Repère],"164"),SUMIFS(Tableau1345678[QTE],Tableau1345678[Repère],"164"),SUMIFS(Tableau13456789[QTE],Tableau13456789[Repère],"164"),SUMIFS(Tableau1345678910[QTE],Tableau1345678910[Repère],"164"),SUMIFS(Tableau13456789101112[QTE],Tableau13456789101112[Repère],"164"),SUMIFS(Tableau134567891011[QTE],Tableau134567891011[Repère],"164"))</f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8"/>
      <c r="M165" s="4"/>
    </row>
    <row r="166" spans="1:13" x14ac:dyDescent="0.3">
      <c r="A166" s="21">
        <v>165</v>
      </c>
      <c r="B166" s="13">
        <f>SUM(SUMIFS(Tableau13[QTE],Tableau13[Repère],"165"),SUMIFS(Tableau134[QTE],Tableau134[Repère],"165"),SUMIFS(Tableau1345[QTE],Tableau1345[Repère],"165"),SUMIFS(Tableau13456[QTE],Tableau13456[Repère],"165"),SUMIFS(Tableau134567[QTE],Tableau134567[Repère],"165"),SUMIFS(Tableau1345678[QTE],Tableau1345678[Repère],"165"),SUMIFS(Tableau13456789[QTE],Tableau13456789[Repère],"165"),SUMIFS(Tableau1345678910[QTE],Tableau1345678910[Repère],"165"),SUMIFS(Tableau13456789101112[QTE],Tableau13456789101112[Repère],"165"),SUMIFS(Tableau134567891011[QTE],Tableau134567891011[Repère],"165"))</f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8"/>
      <c r="M166" s="4"/>
    </row>
    <row r="167" spans="1:13" x14ac:dyDescent="0.3">
      <c r="A167" s="21">
        <v>166</v>
      </c>
      <c r="B167" s="13">
        <f>SUM(SUMIFS(Tableau13[QTE],Tableau13[Repère],"166"),SUMIFS(Tableau134[QTE],Tableau134[Repère],"166"),SUMIFS(Tableau1345[QTE],Tableau1345[Repère],"166"),SUMIFS(Tableau13456[QTE],Tableau13456[Repère],"166"),SUMIFS(Tableau134567[QTE],Tableau134567[Repère],"166"),SUMIFS(Tableau1345678[QTE],Tableau1345678[Repère],"166"),SUMIFS(Tableau13456789[QTE],Tableau13456789[Repère],"166"),SUMIFS(Tableau1345678910[QTE],Tableau1345678910[Repère],"166"),SUMIFS(Tableau13456789101112[QTE],Tableau13456789101112[Repère],"166"),SUMIFS(Tableau134567891011[QTE],Tableau134567891011[Repère],"166"))</f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8"/>
      <c r="M167" s="4"/>
    </row>
    <row r="168" spans="1:13" x14ac:dyDescent="0.3">
      <c r="A168" s="21">
        <v>167</v>
      </c>
      <c r="B168" s="13">
        <f>SUM(SUMIFS(Tableau13[QTE],Tableau13[Repère],"167"),SUMIFS(Tableau134[QTE],Tableau134[Repère],"167"),SUMIFS(Tableau1345[QTE],Tableau1345[Repère],"167"),SUMIFS(Tableau13456[QTE],Tableau13456[Repère],"167"),SUMIFS(Tableau134567[QTE],Tableau134567[Repère],"167"),SUMIFS(Tableau1345678[QTE],Tableau1345678[Repère],"167"),SUMIFS(Tableau13456789[QTE],Tableau13456789[Repère],"167"),SUMIFS(Tableau1345678910[QTE],Tableau1345678910[Repère],"167"),SUMIFS(Tableau13456789101112[QTE],Tableau13456789101112[Repère],"167"),SUMIFS(Tableau134567891011[QTE],Tableau134567891011[Repère],"167"))</f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8"/>
      <c r="M168" s="4"/>
    </row>
    <row r="169" spans="1:13" x14ac:dyDescent="0.3">
      <c r="A169" s="21">
        <v>168</v>
      </c>
      <c r="B169" s="13">
        <f>SUM(SUMIFS(Tableau13[QTE],Tableau13[Repère],"168"),SUMIFS(Tableau134[QTE],Tableau134[Repère],"168"),SUMIFS(Tableau1345[QTE],Tableau1345[Repère],"168"),SUMIFS(Tableau13456[QTE],Tableau13456[Repère],"168"),SUMIFS(Tableau134567[QTE],Tableau134567[Repère],"168"),SUMIFS(Tableau1345678[QTE],Tableau1345678[Repère],"168"),SUMIFS(Tableau13456789[QTE],Tableau13456789[Repère],"168"),SUMIFS(Tableau1345678910[QTE],Tableau1345678910[Repère],"168"),SUMIFS(Tableau13456789101112[QTE],Tableau13456789101112[Repère],"168"),SUMIFS(Tableau134567891011[QTE],Tableau134567891011[Repère],"168"))</f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8"/>
      <c r="M169" s="4"/>
    </row>
    <row r="170" spans="1:13" x14ac:dyDescent="0.3">
      <c r="A170" s="21">
        <v>169</v>
      </c>
      <c r="B170" s="13">
        <f>SUM(SUMIFS(Tableau13[QTE],Tableau13[Repère],"169"),SUMIFS(Tableau134[QTE],Tableau134[Repère],"169"),SUMIFS(Tableau1345[QTE],Tableau1345[Repère],"169"),SUMIFS(Tableau13456[QTE],Tableau13456[Repère],"169"),SUMIFS(Tableau134567[QTE],Tableau134567[Repère],"169"),SUMIFS(Tableau1345678[QTE],Tableau1345678[Repère],"169"),SUMIFS(Tableau13456789[QTE],Tableau13456789[Repère],"169"),SUMIFS(Tableau1345678910[QTE],Tableau1345678910[Repère],"169"),SUMIFS(Tableau13456789101112[QTE],Tableau13456789101112[Repère],"169"),SUMIFS(Tableau134567891011[QTE],Tableau134567891011[Repère],"169"))</f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8"/>
      <c r="M170" s="4"/>
    </row>
    <row r="171" spans="1:13" x14ac:dyDescent="0.3">
      <c r="A171" s="21">
        <v>170</v>
      </c>
      <c r="B171" s="13">
        <f>SUM(SUMIFS(Tableau13[QTE],Tableau13[Repère],"170"),SUMIFS(Tableau134[QTE],Tableau134[Repère],"170"),SUMIFS(Tableau1345[QTE],Tableau1345[Repère],"170"),SUMIFS(Tableau13456[QTE],Tableau13456[Repère],"170"),SUMIFS(Tableau134567[QTE],Tableau134567[Repère],"170"),SUMIFS(Tableau1345678[QTE],Tableau1345678[Repère],"170"),SUMIFS(Tableau13456789[QTE],Tableau13456789[Repère],"170"),SUMIFS(Tableau1345678910[QTE],Tableau1345678910[Repère],"170"),SUMIFS(Tableau13456789101112[QTE],Tableau13456789101112[Repère],"170"),SUMIFS(Tableau134567891011[QTE],Tableau134567891011[Repère],"170"))</f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8"/>
      <c r="M171" s="4"/>
    </row>
    <row r="172" spans="1:13" x14ac:dyDescent="0.3">
      <c r="A172" s="21">
        <v>171</v>
      </c>
      <c r="B172" s="13">
        <f>SUM(SUMIFS(Tableau13[QTE],Tableau13[Repère],"171"),SUMIFS(Tableau134[QTE],Tableau134[Repère],"171"),SUMIFS(Tableau1345[QTE],Tableau1345[Repère],"171"),SUMIFS(Tableau13456[QTE],Tableau13456[Repère],"171"),SUMIFS(Tableau134567[QTE],Tableau134567[Repère],"171"),SUMIFS(Tableau1345678[QTE],Tableau1345678[Repère],"171"),SUMIFS(Tableau13456789[QTE],Tableau13456789[Repère],"171"),SUMIFS(Tableau1345678910[QTE],Tableau1345678910[Repère],"171"),SUMIFS(Tableau13456789101112[QTE],Tableau13456789101112[Repère],"171"),SUMIFS(Tableau134567891011[QTE],Tableau134567891011[Repère],"171"))</f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8"/>
      <c r="M172" s="4"/>
    </row>
    <row r="173" spans="1:13" x14ac:dyDescent="0.3">
      <c r="A173" s="21">
        <v>172</v>
      </c>
      <c r="B173" s="13">
        <f>SUM(SUMIFS(Tableau13[QTE],Tableau13[Repère],"172"),SUMIFS(Tableau134[QTE],Tableau134[Repère],"172"),SUMIFS(Tableau1345[QTE],Tableau1345[Repère],"172"),SUMIFS(Tableau13456[QTE],Tableau13456[Repère],"172"),SUMIFS(Tableau134567[QTE],Tableau134567[Repère],"172"),SUMIFS(Tableau1345678[QTE],Tableau1345678[Repère],"172"),SUMIFS(Tableau13456789[QTE],Tableau13456789[Repère],"172"),SUMIFS(Tableau1345678910[QTE],Tableau1345678910[Repère],"172"),SUMIFS(Tableau13456789101112[QTE],Tableau13456789101112[Repère],"172"),SUMIFS(Tableau134567891011[QTE],Tableau134567891011[Repère],"172"))</f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8"/>
      <c r="M173" s="4"/>
    </row>
    <row r="174" spans="1:13" x14ac:dyDescent="0.3">
      <c r="A174" s="21">
        <v>173</v>
      </c>
      <c r="B174" s="13">
        <f>SUM(SUMIFS(Tableau13[QTE],Tableau13[Repère],"173"),SUMIFS(Tableau134[QTE],Tableau134[Repère],"173"),SUMIFS(Tableau1345[QTE],Tableau1345[Repère],"173"),SUMIFS(Tableau13456[QTE],Tableau13456[Repère],"173"),SUMIFS(Tableau134567[QTE],Tableau134567[Repère],"173"),SUMIFS(Tableau1345678[QTE],Tableau1345678[Repère],"173"),SUMIFS(Tableau13456789[QTE],Tableau13456789[Repère],"173"),SUMIFS(Tableau1345678910[QTE],Tableau1345678910[Repère],"173"),SUMIFS(Tableau13456789101112[QTE],Tableau13456789101112[Repère],"173"),SUMIFS(Tableau134567891011[QTE],Tableau134567891011[Repère],"173"))</f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8"/>
      <c r="M174" s="4"/>
    </row>
    <row r="175" spans="1:13" x14ac:dyDescent="0.3">
      <c r="A175" s="21">
        <v>174</v>
      </c>
      <c r="B175" s="13">
        <f>SUM(SUMIFS(Tableau13[QTE],Tableau13[Repère],"174"),SUMIFS(Tableau134[QTE],Tableau134[Repère],"174"),SUMIFS(Tableau1345[QTE],Tableau1345[Repère],"174"),SUMIFS(Tableau13456[QTE],Tableau13456[Repère],"174"),SUMIFS(Tableau134567[QTE],Tableau134567[Repère],"174"),SUMIFS(Tableau1345678[QTE],Tableau1345678[Repère],"174"),SUMIFS(Tableau13456789[QTE],Tableau13456789[Repère],"174"),SUMIFS(Tableau1345678910[QTE],Tableau1345678910[Repère],"174"),SUMIFS(Tableau13456789101112[QTE],Tableau13456789101112[Repère],"174"),SUMIFS(Tableau134567891011[QTE],Tableau134567891011[Repère],"174"))</f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8"/>
      <c r="M175" s="4"/>
    </row>
    <row r="176" spans="1:13" ht="13.5" customHeight="1" x14ac:dyDescent="0.3">
      <c r="A176" s="21">
        <v>175</v>
      </c>
      <c r="B176" s="13">
        <f>SUM(SUMIFS(Tableau13[QTE],Tableau13[Repère],"175"),SUMIFS(Tableau134[QTE],Tableau134[Repère],"175"),SUMIFS(Tableau1345[QTE],Tableau1345[Repère],"175"),SUMIFS(Tableau13456[QTE],Tableau13456[Repère],"175"),SUMIFS(Tableau134567[QTE],Tableau134567[Repère],"175"),SUMIFS(Tableau1345678[QTE],Tableau1345678[Repère],"175"),SUMIFS(Tableau13456789[QTE],Tableau13456789[Repère],"175"),SUMIFS(Tableau1345678910[QTE],Tableau1345678910[Repère],"175"),SUMIFS(Tableau13456789101112[QTE],Tableau13456789101112[Repère],"175"),SUMIFS(Tableau134567891011[QTE],Tableau134567891011[Repère],"175"))</f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8"/>
      <c r="M176" s="4"/>
    </row>
    <row r="177" spans="1:13" x14ac:dyDescent="0.3">
      <c r="A177" s="21">
        <v>176</v>
      </c>
      <c r="B177" s="13">
        <f>SUM(SUMIFS(Tableau13[QTE],Tableau13[Repère],"176"),SUMIFS(Tableau134[QTE],Tableau134[Repère],"176"),SUMIFS(Tableau1345[QTE],Tableau1345[Repère],"176"),SUMIFS(Tableau13456[QTE],Tableau13456[Repère],"176"),SUMIFS(Tableau134567[QTE],Tableau134567[Repère],"176"),SUMIFS(Tableau1345678[QTE],Tableau1345678[Repère],"176"),SUMIFS(Tableau13456789[QTE],Tableau13456789[Repère],"176"),SUMIFS(Tableau1345678910[QTE],Tableau1345678910[Repère],"176"),SUMIFS(Tableau13456789101112[QTE],Tableau13456789101112[Repère],"176"),SUMIFS(Tableau134567891011[QTE],Tableau134567891011[Repère],"176"))</f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8"/>
      <c r="M177" s="4"/>
    </row>
    <row r="178" spans="1:13" x14ac:dyDescent="0.3">
      <c r="A178" s="21">
        <v>177</v>
      </c>
      <c r="B178" s="13">
        <f>SUM(SUMIFS(Tableau13[QTE],Tableau13[Repère],"177"),SUMIFS(Tableau134[QTE],Tableau134[Repère],"177"),SUMIFS(Tableau1345[QTE],Tableau1345[Repère],"177"),SUMIFS(Tableau13456[QTE],Tableau13456[Repère],"177"),SUMIFS(Tableau134567[QTE],Tableau134567[Repère],"177"),SUMIFS(Tableau1345678[QTE],Tableau1345678[Repère],"177"),SUMIFS(Tableau13456789[QTE],Tableau13456789[Repère],"177"),SUMIFS(Tableau1345678910[QTE],Tableau1345678910[Repère],"177"),SUMIFS(Tableau13456789101112[QTE],Tableau13456789101112[Repère],"177"),SUMIFS(Tableau134567891011[QTE],Tableau134567891011[Repère],"177"))</f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8"/>
      <c r="M178" s="4"/>
    </row>
    <row r="179" spans="1:13" x14ac:dyDescent="0.3">
      <c r="A179" s="21">
        <v>178</v>
      </c>
      <c r="B179" s="13">
        <f>SUM(SUMIFS(Tableau13[QTE],Tableau13[Repère],"178"),SUMIFS(Tableau134[QTE],Tableau134[Repère],"178"),SUMIFS(Tableau1345[QTE],Tableau1345[Repère],"178"),SUMIFS(Tableau13456[QTE],Tableau13456[Repère],"178"),SUMIFS(Tableau134567[QTE],Tableau134567[Repère],"178"),SUMIFS(Tableau1345678[QTE],Tableau1345678[Repère],"178"),SUMIFS(Tableau13456789[QTE],Tableau13456789[Repère],"178"),SUMIFS(Tableau1345678910[QTE],Tableau1345678910[Repère],"178"),SUMIFS(Tableau13456789101112[QTE],Tableau13456789101112[Repère],"178"),SUMIFS(Tableau134567891011[QTE],Tableau134567891011[Repère],"178"))</f>
        <v>0</v>
      </c>
      <c r="C179" s="7"/>
      <c r="D179" s="7"/>
      <c r="E179" s="7"/>
      <c r="F179" s="7"/>
      <c r="G179" s="7"/>
      <c r="H179" s="7"/>
      <c r="I179" s="7"/>
      <c r="J179" s="7"/>
      <c r="K179" s="7"/>
      <c r="L179" s="8"/>
      <c r="M179" s="4"/>
    </row>
    <row r="180" spans="1:13" x14ac:dyDescent="0.3">
      <c r="A180" s="21">
        <v>179</v>
      </c>
      <c r="B180" s="13">
        <f>SUM(SUMIFS(Tableau13[QTE],Tableau13[Repère],"179"),SUMIFS(Tableau134[QTE],Tableau134[Repère],"179"),SUMIFS(Tableau1345[QTE],Tableau1345[Repère],"179"),SUMIFS(Tableau13456[QTE],Tableau13456[Repère],"179"),SUMIFS(Tableau134567[QTE],Tableau134567[Repère],"179"),SUMIFS(Tableau1345678[QTE],Tableau1345678[Repère],"179"),SUMIFS(Tableau13456789[QTE],Tableau13456789[Repère],"179"),SUMIFS(Tableau1345678910[QTE],Tableau1345678910[Repère],"179"),SUMIFS(Tableau13456789101112[QTE],Tableau13456789101112[Repère],"179"),SUMIFS(Tableau134567891011[QTE],Tableau134567891011[Repère],"179"))</f>
        <v>0</v>
      </c>
      <c r="C180" s="7"/>
      <c r="D180" s="7"/>
      <c r="E180" s="7"/>
      <c r="F180" s="7"/>
      <c r="G180" s="7"/>
      <c r="H180" s="7"/>
      <c r="I180" s="7"/>
      <c r="J180" s="7"/>
      <c r="K180" s="7"/>
      <c r="L180" s="8"/>
      <c r="M180" s="4"/>
    </row>
    <row r="181" spans="1:13" x14ac:dyDescent="0.3">
      <c r="A181" s="21">
        <v>180</v>
      </c>
      <c r="B181" s="13">
        <f>SUM(SUMIFS(Tableau13[QTE],Tableau13[Repère],"180"),SUMIFS(Tableau134[QTE],Tableau134[Repère],"180"),SUMIFS(Tableau1345[QTE],Tableau1345[Repère],"180"),SUMIFS(Tableau13456[QTE],Tableau13456[Repère],"180"),SUMIFS(Tableau134567[QTE],Tableau134567[Repère],"180"),SUMIFS(Tableau1345678[QTE],Tableau1345678[Repère],"180"),SUMIFS(Tableau13456789[QTE],Tableau13456789[Repère],"180"),SUMIFS(Tableau1345678910[QTE],Tableau1345678910[Repère],"180"),SUMIFS(Tableau13456789101112[QTE],Tableau13456789101112[Repère],"180"),SUMIFS(Tableau134567891011[QTE],Tableau134567891011[Repère],"180"))</f>
        <v>0</v>
      </c>
      <c r="C181" s="7"/>
      <c r="D181" s="7"/>
      <c r="E181" s="7"/>
      <c r="F181" s="7"/>
      <c r="G181" s="7"/>
      <c r="H181" s="7"/>
      <c r="I181" s="7"/>
      <c r="J181" s="7"/>
      <c r="K181" s="7"/>
      <c r="L181" s="8"/>
      <c r="M181" s="4"/>
    </row>
    <row r="182" spans="1:13" x14ac:dyDescent="0.3">
      <c r="A182" s="21">
        <v>181</v>
      </c>
      <c r="B182" s="13">
        <f>SUM(SUMIFS(Tableau13[QTE],Tableau13[Repère],"181"),SUMIFS(Tableau134[QTE],Tableau134[Repère],"181"),SUMIFS(Tableau1345[QTE],Tableau1345[Repère],"181"),SUMIFS(Tableau13456[QTE],Tableau13456[Repère],"181"),SUMIFS(Tableau134567[QTE],Tableau134567[Repère],"181"),SUMIFS(Tableau1345678[QTE],Tableau1345678[Repère],"181"),SUMIFS(Tableau13456789[QTE],Tableau13456789[Repère],"181"),SUMIFS(Tableau1345678910[QTE],Tableau1345678910[Repère],"181"),SUMIFS(Tableau13456789101112[QTE],Tableau13456789101112[Repère],"181"),SUMIFS(Tableau134567891011[QTE],Tableau134567891011[Repère],"181"))</f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8"/>
      <c r="M182" s="4"/>
    </row>
    <row r="183" spans="1:13" x14ac:dyDescent="0.3">
      <c r="A183" s="21">
        <v>182</v>
      </c>
      <c r="B183" s="13">
        <f>SUM(SUMIFS(Tableau13[QTE],Tableau13[Repère],"182"),SUMIFS(Tableau134[QTE],Tableau134[Repère],"182"),SUMIFS(Tableau1345[QTE],Tableau1345[Repère],"182"),SUMIFS(Tableau13456[QTE],Tableau13456[Repère],"182"),SUMIFS(Tableau134567[QTE],Tableau134567[Repère],"182"),SUMIFS(Tableau1345678[QTE],Tableau1345678[Repère],"182"),SUMIFS(Tableau13456789[QTE],Tableau13456789[Repère],"182"),SUMIFS(Tableau1345678910[QTE],Tableau1345678910[Repère],"182"),SUMIFS(Tableau13456789101112[QTE],Tableau13456789101112[Repère],"182"),SUMIFS(Tableau134567891011[QTE],Tableau134567891011[Repère],"182"))</f>
        <v>0</v>
      </c>
      <c r="C183" s="7"/>
      <c r="D183" s="7"/>
      <c r="E183" s="7"/>
      <c r="F183" s="7"/>
      <c r="G183" s="7"/>
      <c r="H183" s="7"/>
      <c r="I183" s="7"/>
      <c r="J183" s="7"/>
      <c r="K183" s="7"/>
      <c r="L183" s="8"/>
      <c r="M183" s="4"/>
    </row>
    <row r="184" spans="1:13" x14ac:dyDescent="0.3">
      <c r="A184" s="21">
        <v>183</v>
      </c>
      <c r="B184" s="13">
        <f>SUM(SUMIFS(Tableau13[QTE],Tableau13[Repère],"183"),SUMIFS(Tableau134[QTE],Tableau134[Repère],"183"),SUMIFS(Tableau1345[QTE],Tableau1345[Repère],"183"),SUMIFS(Tableau13456[QTE],Tableau13456[Repère],"183"),SUMIFS(Tableau134567[QTE],Tableau134567[Repère],"183"),SUMIFS(Tableau1345678[QTE],Tableau1345678[Repère],"183"),SUMIFS(Tableau13456789[QTE],Tableau13456789[Repère],"183"),SUMIFS(Tableau1345678910[QTE],Tableau1345678910[Repère],"183"),SUMIFS(Tableau13456789101112[QTE],Tableau13456789101112[Repère],"183"),SUMIFS(Tableau134567891011[QTE],Tableau134567891011[Repère],"183"))</f>
        <v>0</v>
      </c>
      <c r="C184" s="7"/>
      <c r="D184" s="7"/>
      <c r="E184" s="7"/>
      <c r="F184" s="7"/>
      <c r="G184" s="7"/>
      <c r="H184" s="7"/>
      <c r="I184" s="7"/>
      <c r="J184" s="7"/>
      <c r="K184" s="7"/>
      <c r="L184" s="8"/>
      <c r="M184" s="4"/>
    </row>
    <row r="185" spans="1:13" x14ac:dyDescent="0.3">
      <c r="A185" s="21">
        <v>184</v>
      </c>
      <c r="B185" s="13">
        <f>SUM(SUMIFS(Tableau13[QTE],Tableau13[Repère],"184"),SUMIFS(Tableau134[QTE],Tableau134[Repère],"184"),SUMIFS(Tableau1345[QTE],Tableau1345[Repère],"184"),SUMIFS(Tableau13456[QTE],Tableau13456[Repère],"184"),SUMIFS(Tableau134567[QTE],Tableau134567[Repère],"184"),SUMIFS(Tableau1345678[QTE],Tableau1345678[Repère],"184"),SUMIFS(Tableau13456789[QTE],Tableau13456789[Repère],"184"),SUMIFS(Tableau1345678910[QTE],Tableau1345678910[Repère],"184"),SUMIFS(Tableau13456789101112[QTE],Tableau13456789101112[Repère],"184"),SUMIFS(Tableau134567891011[QTE],Tableau134567891011[Repère],"184"))</f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8"/>
      <c r="M185" s="4"/>
    </row>
    <row r="186" spans="1:13" x14ac:dyDescent="0.3">
      <c r="A186" s="21">
        <v>185</v>
      </c>
      <c r="B186" s="13">
        <f>SUM(SUMIFS(Tableau13[QTE],Tableau13[Repère],"185"),SUMIFS(Tableau134[QTE],Tableau134[Repère],"185"),SUMIFS(Tableau1345[QTE],Tableau1345[Repère],"185"),SUMIFS(Tableau13456[QTE],Tableau13456[Repère],"185"),SUMIFS(Tableau134567[QTE],Tableau134567[Repère],"185"),SUMIFS(Tableau1345678[QTE],Tableau1345678[Repère],"185"),SUMIFS(Tableau13456789[QTE],Tableau13456789[Repère],"185"),SUMIFS(Tableau1345678910[QTE],Tableau1345678910[Repère],"185"),SUMIFS(Tableau13456789101112[QTE],Tableau13456789101112[Repère],"185"),SUMIFS(Tableau134567891011[QTE],Tableau134567891011[Repère],"185"))</f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8"/>
      <c r="M186" s="4"/>
    </row>
    <row r="187" spans="1:13" x14ac:dyDescent="0.3">
      <c r="A187" s="21">
        <v>186</v>
      </c>
      <c r="B187" s="13">
        <f>SUM(SUMIFS(Tableau13[QTE],Tableau13[Repère],"186"),SUMIFS(Tableau134[QTE],Tableau134[Repère],"186"),SUMIFS(Tableau1345[QTE],Tableau1345[Repère],"186"),SUMIFS(Tableau13456[QTE],Tableau13456[Repère],"186"),SUMIFS(Tableau134567[QTE],Tableau134567[Repère],"186"),SUMIFS(Tableau1345678[QTE],Tableau1345678[Repère],"186"),SUMIFS(Tableau13456789[QTE],Tableau13456789[Repère],"186"),SUMIFS(Tableau1345678910[QTE],Tableau1345678910[Repère],"186"),SUMIFS(Tableau13456789101112[QTE],Tableau13456789101112[Repère],"186"),SUMIFS(Tableau134567891011[QTE],Tableau134567891011[Repère],"186"))</f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8"/>
      <c r="M187" s="4"/>
    </row>
    <row r="188" spans="1:13" x14ac:dyDescent="0.3">
      <c r="A188" s="21">
        <v>187</v>
      </c>
      <c r="B188" s="13">
        <f>SUM(SUMIFS(Tableau13[QTE],Tableau13[Repère],"187"),SUMIFS(Tableau134[QTE],Tableau134[Repère],"187"),SUMIFS(Tableau1345[QTE],Tableau1345[Repère],"187"),SUMIFS(Tableau13456[QTE],Tableau13456[Repère],"187"),SUMIFS(Tableau134567[QTE],Tableau134567[Repère],"187"),SUMIFS(Tableau1345678[QTE],Tableau1345678[Repère],"187"),SUMIFS(Tableau13456789[QTE],Tableau13456789[Repère],"187"),SUMIFS(Tableau1345678910[QTE],Tableau1345678910[Repère],"187"),SUMIFS(Tableau13456789101112[QTE],Tableau13456789101112[Repère],"187"),SUMIFS(Tableau134567891011[QTE],Tableau134567891011[Repère],"187"))</f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8"/>
      <c r="M188" s="4"/>
    </row>
    <row r="189" spans="1:13" x14ac:dyDescent="0.3">
      <c r="A189" s="21">
        <v>188</v>
      </c>
      <c r="B189" s="13">
        <f>SUM(SUMIFS(Tableau13[QTE],Tableau13[Repère],"188"),SUMIFS(Tableau134[QTE],Tableau134[Repère],"188"),SUMIFS(Tableau1345[QTE],Tableau1345[Repère],"188"),SUMIFS(Tableau13456[QTE],Tableau13456[Repère],"188"),SUMIFS(Tableau134567[QTE],Tableau134567[Repère],"188"),SUMIFS(Tableau1345678[QTE],Tableau1345678[Repère],"188"),SUMIFS(Tableau13456789[QTE],Tableau13456789[Repère],"188"),SUMIFS(Tableau1345678910[QTE],Tableau1345678910[Repère],"188"),SUMIFS(Tableau13456789101112[QTE],Tableau13456789101112[Repère],"188"),SUMIFS(Tableau134567891011[QTE],Tableau134567891011[Repère],"188"))</f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8"/>
      <c r="M189" s="4"/>
    </row>
    <row r="190" spans="1:13" x14ac:dyDescent="0.3">
      <c r="A190" s="21">
        <v>189</v>
      </c>
      <c r="B190" s="13">
        <f>SUM(SUMIFS(Tableau13[QTE],Tableau13[Repère],"189"),SUMIFS(Tableau134[QTE],Tableau134[Repère],"189"),SUMIFS(Tableau1345[QTE],Tableau1345[Repère],"189"),SUMIFS(Tableau13456[QTE],Tableau13456[Repère],"189"),SUMIFS(Tableau134567[QTE],Tableau134567[Repère],"189"),SUMIFS(Tableau1345678[QTE],Tableau1345678[Repère],"189"),SUMIFS(Tableau13456789[QTE],Tableau13456789[Repère],"189"),SUMIFS(Tableau1345678910[QTE],Tableau1345678910[Repère],"189"),SUMIFS(Tableau13456789101112[QTE],Tableau13456789101112[Repère],"189"),SUMIFS(Tableau134567891011[QTE],Tableau134567891011[Repère],"189"))</f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8"/>
      <c r="M190" s="4"/>
    </row>
    <row r="191" spans="1:13" x14ac:dyDescent="0.3">
      <c r="A191" s="21">
        <v>190</v>
      </c>
      <c r="B191" s="13">
        <f>SUM(SUMIFS(Tableau13[QTE],Tableau13[Repère],"190"),SUMIFS(Tableau134[QTE],Tableau134[Repère],"190"),SUMIFS(Tableau1345[QTE],Tableau1345[Repère],"190"),SUMIFS(Tableau13456[QTE],Tableau13456[Repère],"190"),SUMIFS(Tableau134567[QTE],Tableau134567[Repère],"190"),SUMIFS(Tableau1345678[QTE],Tableau1345678[Repère],"190"),SUMIFS(Tableau13456789[QTE],Tableau13456789[Repère],"190"),SUMIFS(Tableau1345678910[QTE],Tableau1345678910[Repère],"190"),SUMIFS(Tableau13456789101112[QTE],Tableau13456789101112[Repère],"190"),SUMIFS(Tableau134567891011[QTE],Tableau134567891011[Repère],"190"))</f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8"/>
      <c r="M191" s="4"/>
    </row>
    <row r="192" spans="1:13" x14ac:dyDescent="0.3">
      <c r="A192" s="21">
        <v>191</v>
      </c>
      <c r="B192" s="13">
        <f>SUM(SUMIFS(Tableau13[QTE],Tableau13[Repère],"191"),SUMIFS(Tableau134[QTE],Tableau134[Repère],"191"),SUMIFS(Tableau1345[QTE],Tableau1345[Repère],"191"),SUMIFS(Tableau13456[QTE],Tableau13456[Repère],"191"),SUMIFS(Tableau134567[QTE],Tableau134567[Repère],"191"),SUMIFS(Tableau1345678[QTE],Tableau1345678[Repère],"191"),SUMIFS(Tableau13456789[QTE],Tableau13456789[Repère],"191"),SUMIFS(Tableau1345678910[QTE],Tableau1345678910[Repère],"191"),SUMIFS(Tableau13456789101112[QTE],Tableau13456789101112[Repère],"191"),SUMIFS(Tableau134567891011[QTE],Tableau134567891011[Repère],"191"))</f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8"/>
      <c r="M192" s="4"/>
    </row>
    <row r="193" spans="3:3" s="4" customFormat="1" x14ac:dyDescent="0.3"/>
    <row r="194" spans="3:3" s="4" customFormat="1" x14ac:dyDescent="0.3"/>
    <row r="195" spans="3:3" s="4" customFormat="1" x14ac:dyDescent="0.3"/>
    <row r="196" spans="3:3" s="4" customFormat="1" x14ac:dyDescent="0.3"/>
    <row r="197" spans="3:3" s="4" customFormat="1" ht="14.25" customHeight="1" x14ac:dyDescent="0.3"/>
    <row r="198" spans="3:3" s="4" customFormat="1" x14ac:dyDescent="0.3"/>
    <row r="199" spans="3:3" s="4" customFormat="1" x14ac:dyDescent="0.3"/>
    <row r="200" spans="3:3" s="4" customFormat="1" x14ac:dyDescent="0.3">
      <c r="C200" s="16"/>
    </row>
    <row r="201" spans="3:3" s="4" customFormat="1" x14ac:dyDescent="0.3"/>
    <row r="202" spans="3:3" s="4" customFormat="1" x14ac:dyDescent="0.3"/>
    <row r="203" spans="3:3" s="4" customFormat="1" x14ac:dyDescent="0.3"/>
    <row r="204" spans="3:3" s="4" customFormat="1" x14ac:dyDescent="0.3"/>
    <row r="205" spans="3:3" s="4" customFormat="1" x14ac:dyDescent="0.3"/>
    <row r="206" spans="3:3" s="4" customFormat="1" x14ac:dyDescent="0.3"/>
    <row r="207" spans="3:3" s="4" customFormat="1" x14ac:dyDescent="0.3"/>
    <row r="208" spans="3:3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</sheetData>
  <sheetProtection algorithmName="SHA-512" hashValue="uJ6o6PnqU7/PWOGFovO+/Vnnkt0m0t7BaoQbOHYBJXOFiQBxAT8OmLauXTOz6ob7sbXBWFIBksE1Esj8NFeJnA==" saltValue="VATjWB6VxduNMGdx9Lx6mw==" spinCount="100000" sheet="1" objects="1" scenarios="1"/>
  <dataConsolidate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FFDE-9C70-473D-826D-5AB4289B3E42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IF(Tableau13[[#This Row],[Repère]]="","",VLOOKUP(Tableau13[[#This Row],[Repère]],Tableau1[#All],3,FALSE))</f>
        <v/>
      </c>
      <c r="D2" s="13" t="str">
        <f>IF(Tableau13[[#This Row],[Repère]]="","",VLOOKUP(Tableau13[[#This Row],[Repère]],Tableau1[#All],4,FALSE))</f>
        <v/>
      </c>
      <c r="E2" s="13" t="str">
        <f>IF(Tableau13[[#This Row],[Repère]]="","",VLOOKUP(Tableau13[[#This Row],[Repère]],Tableau1[#All],5,FALSE))</f>
        <v/>
      </c>
      <c r="F2" s="13" t="str">
        <f>IF(Tableau13[[#This Row],[Repère]]="","",VLOOKUP(Tableau13[[#This Row],[Repère]],Tableau1[#All],6,FALSE))</f>
        <v/>
      </c>
      <c r="G2" s="13" t="str">
        <f>IF(Tableau13[[#This Row],[Repère]]="","",VLOOKUP(Tableau13[[#This Row],[Repère]],Tableau1[#All],7,FALSE))</f>
        <v/>
      </c>
      <c r="H2" s="13" t="str">
        <f>IF(Tableau13[[#This Row],[Repère]]="","",VLOOKUP(Tableau13[[#This Row],[Repère]],Tableau1[#All],8,FALSE))</f>
        <v/>
      </c>
      <c r="I2" s="13" t="str">
        <f>IF(Tableau13[[#This Row],[Repère]]="","",VLOOKUP(Tableau13[[#This Row],[Repère]],Tableau1[#All],9,FALSE))</f>
        <v/>
      </c>
      <c r="J2" s="13" t="str">
        <f>IF(Tableau13[[#This Row],[Repère]]="","",VLOOKUP(Tableau13[[#This Row],[Repère]],Tableau1[#All],10,FALSE))</f>
        <v/>
      </c>
      <c r="K2" s="13" t="str">
        <f>IF(Tableau13[[#This Row],[Repère]]="","",VLOOKUP(Tableau13[[#This Row],[Repère]],Tableau1[#All],11,FALSE))</f>
        <v/>
      </c>
      <c r="L2" s="13" t="str">
        <f>IF(Tableau13[[#This Row],[Repère]]="","",VLOOKUP(Tableau13[[#This Row],[Repère]],Tableau1[#All],12,FALSE))</f>
        <v/>
      </c>
    </row>
    <row r="3" spans="1:12" x14ac:dyDescent="0.3">
      <c r="A3" s="18"/>
      <c r="B3" s="19"/>
      <c r="C3" s="13" t="str">
        <f>IF(Tableau13[[#This Row],[Repère]]="","",VLOOKUP(Tableau13[[#This Row],[Repère]],Tableau1[#All],3,FALSE))</f>
        <v/>
      </c>
      <c r="D3" s="13" t="str">
        <f>IF(Tableau13[[#This Row],[Repère]]="","",VLOOKUP(Tableau13[[#This Row],[Repère]],Tableau1[#All],4,FALSE))</f>
        <v/>
      </c>
      <c r="E3" s="13" t="str">
        <f>IF(Tableau13[[#This Row],[Repère]]="","",VLOOKUP(Tableau13[[#This Row],[Repère]],Tableau1[#All],5,FALSE))</f>
        <v/>
      </c>
      <c r="F3" s="13" t="str">
        <f>IF(Tableau13[[#This Row],[Repère]]="","",VLOOKUP(Tableau13[[#This Row],[Repère]],Tableau1[#All],6,FALSE))</f>
        <v/>
      </c>
      <c r="G3" s="13" t="str">
        <f>IF(Tableau13[[#This Row],[Repère]]="","",VLOOKUP(Tableau13[[#This Row],[Repère]],Tableau1[#All],7,FALSE))</f>
        <v/>
      </c>
      <c r="H3" s="13" t="str">
        <f>IF(Tableau13[[#This Row],[Repère]]="","",VLOOKUP(Tableau13[[#This Row],[Repère]],Tableau1[#All],8,FALSE))</f>
        <v/>
      </c>
      <c r="I3" s="13" t="str">
        <f>IF(Tableau13[[#This Row],[Repère]]="","",VLOOKUP(Tableau13[[#This Row],[Repère]],Tableau1[#All],9,FALSE))</f>
        <v/>
      </c>
      <c r="J3" s="13" t="str">
        <f>IF(Tableau13[[#This Row],[Repère]]="","",VLOOKUP(Tableau13[[#This Row],[Repère]],Tableau1[#All],10,FALSE))</f>
        <v/>
      </c>
      <c r="K3" s="13" t="str">
        <f>IF(Tableau13[[#This Row],[Repère]]="","",VLOOKUP(Tableau13[[#This Row],[Repère]],Tableau1[#All],11,FALSE))</f>
        <v/>
      </c>
      <c r="L3" s="14" t="str">
        <f>IF(Tableau13[[#This Row],[Repère]]="","",VLOOKUP(Tableau13[[#This Row],[Repère]],Tableau1[#All],12,FALSE))</f>
        <v/>
      </c>
    </row>
    <row r="4" spans="1:12" x14ac:dyDescent="0.3">
      <c r="A4" s="18"/>
      <c r="B4" s="19"/>
      <c r="C4" s="13" t="str">
        <f>IF(Tableau13[[#This Row],[Repère]]="","",VLOOKUP(Tableau13[[#This Row],[Repère]],Tableau1[#All],3,FALSE))</f>
        <v/>
      </c>
      <c r="D4" s="13" t="str">
        <f>IF(Tableau13[[#This Row],[Repère]]="","",VLOOKUP(Tableau13[[#This Row],[Repère]],Tableau1[#All],4,FALSE))</f>
        <v/>
      </c>
      <c r="E4" s="13" t="str">
        <f>IF(Tableau13[[#This Row],[Repère]]="","",VLOOKUP(Tableau13[[#This Row],[Repère]],Tableau1[#All],5,FALSE))</f>
        <v/>
      </c>
      <c r="F4" s="13" t="str">
        <f>IF(Tableau13[[#This Row],[Repère]]="","",VLOOKUP(Tableau13[[#This Row],[Repère]],Tableau1[#All],6,FALSE))</f>
        <v/>
      </c>
      <c r="G4" s="13" t="str">
        <f>IF(Tableau13[[#This Row],[Repère]]="","",VLOOKUP(Tableau13[[#This Row],[Repère]],Tableau1[#All],7,FALSE))</f>
        <v/>
      </c>
      <c r="H4" s="13" t="str">
        <f>IF(Tableau13[[#This Row],[Repère]]="","",VLOOKUP(Tableau13[[#This Row],[Repère]],Tableau1[#All],8,FALSE))</f>
        <v/>
      </c>
      <c r="I4" s="13" t="str">
        <f>IF(Tableau13[[#This Row],[Repère]]="","",VLOOKUP(Tableau13[[#This Row],[Repère]],Tableau1[#All],9,FALSE))</f>
        <v/>
      </c>
      <c r="J4" s="13" t="str">
        <f>IF(Tableau13[[#This Row],[Repère]]="","",VLOOKUP(Tableau13[[#This Row],[Repère]],Tableau1[#All],10,FALSE))</f>
        <v/>
      </c>
      <c r="K4" s="13" t="str">
        <f>IF(Tableau13[[#This Row],[Repère]]="","",VLOOKUP(Tableau13[[#This Row],[Repère]],Tableau1[#All],11,FALSE))</f>
        <v/>
      </c>
      <c r="L4" s="14" t="str">
        <f>IF(Tableau13[[#This Row],[Repère]]="","",VLOOKUP(Tableau13[[#This Row],[Repère]],Tableau1[#All],12,FALSE))</f>
        <v/>
      </c>
    </row>
    <row r="5" spans="1:12" x14ac:dyDescent="0.3">
      <c r="A5" s="18"/>
      <c r="B5" s="19"/>
      <c r="C5" s="13" t="str">
        <f>IF(Tableau13[[#This Row],[Repère]]="","",VLOOKUP(Tableau13[[#This Row],[Repère]],Tableau1[#All],3,FALSE))</f>
        <v/>
      </c>
      <c r="D5" s="13" t="str">
        <f>IF(Tableau13[[#This Row],[Repère]]="","",VLOOKUP(Tableau13[[#This Row],[Repère]],Tableau1[#All],4,FALSE))</f>
        <v/>
      </c>
      <c r="E5" s="13" t="str">
        <f>IF(Tableau13[[#This Row],[Repère]]="","",VLOOKUP(Tableau13[[#This Row],[Repère]],Tableau1[#All],5,FALSE))</f>
        <v/>
      </c>
      <c r="F5" s="13" t="str">
        <f>IF(Tableau13[[#This Row],[Repère]]="","",VLOOKUP(Tableau13[[#This Row],[Repère]],Tableau1[#All],6,FALSE))</f>
        <v/>
      </c>
      <c r="G5" s="13" t="str">
        <f>IF(Tableau13[[#This Row],[Repère]]="","",VLOOKUP(Tableau13[[#This Row],[Repère]],Tableau1[#All],7,FALSE))</f>
        <v/>
      </c>
      <c r="H5" s="13" t="str">
        <f>IF(Tableau13[[#This Row],[Repère]]="","",VLOOKUP(Tableau13[[#This Row],[Repère]],Tableau1[#All],8,FALSE))</f>
        <v/>
      </c>
      <c r="I5" s="13" t="str">
        <f>IF(Tableau13[[#This Row],[Repère]]="","",VLOOKUP(Tableau13[[#This Row],[Repère]],Tableau1[#All],9,FALSE))</f>
        <v/>
      </c>
      <c r="J5" s="13" t="str">
        <f>IF(Tableau13[[#This Row],[Repère]]="","",VLOOKUP(Tableau13[[#This Row],[Repère]],Tableau1[#All],10,FALSE))</f>
        <v/>
      </c>
      <c r="K5" s="13" t="str">
        <f>IF(Tableau13[[#This Row],[Repère]]="","",VLOOKUP(Tableau13[[#This Row],[Repère]],Tableau1[#All],11,FALSE))</f>
        <v/>
      </c>
      <c r="L5" s="14" t="str">
        <f>IF(Tableau13[[#This Row],[Repère]]="","",VLOOKUP(Tableau13[[#This Row],[Repère]],Tableau1[#All],12,FALSE))</f>
        <v/>
      </c>
    </row>
    <row r="6" spans="1:12" x14ac:dyDescent="0.3">
      <c r="A6" s="18"/>
      <c r="B6" s="19"/>
      <c r="C6" s="13" t="str">
        <f>IF(Tableau13[[#This Row],[Repère]]="","",VLOOKUP(Tableau13[[#This Row],[Repère]],Tableau1[#All],3,FALSE))</f>
        <v/>
      </c>
      <c r="D6" s="13" t="str">
        <f>IF(Tableau13[[#This Row],[Repère]]="","",VLOOKUP(Tableau13[[#This Row],[Repère]],Tableau1[#All],4,FALSE))</f>
        <v/>
      </c>
      <c r="E6" s="13" t="str">
        <f>IF(Tableau13[[#This Row],[Repère]]="","",VLOOKUP(Tableau13[[#This Row],[Repère]],Tableau1[#All],5,FALSE))</f>
        <v/>
      </c>
      <c r="F6" s="13" t="str">
        <f>IF(Tableau13[[#This Row],[Repère]]="","",VLOOKUP(Tableau13[[#This Row],[Repère]],Tableau1[#All],6,FALSE))</f>
        <v/>
      </c>
      <c r="G6" s="13" t="str">
        <f>IF(Tableau13[[#This Row],[Repère]]="","",VLOOKUP(Tableau13[[#This Row],[Repère]],Tableau1[#All],7,FALSE))</f>
        <v/>
      </c>
      <c r="H6" s="13" t="str">
        <f>IF(Tableau13[[#This Row],[Repère]]="","",VLOOKUP(Tableau13[[#This Row],[Repère]],Tableau1[#All],8,FALSE))</f>
        <v/>
      </c>
      <c r="I6" s="13" t="str">
        <f>IF(Tableau13[[#This Row],[Repère]]="","",VLOOKUP(Tableau13[[#This Row],[Repère]],Tableau1[#All],9,FALSE))</f>
        <v/>
      </c>
      <c r="J6" s="13" t="str">
        <f>IF(Tableau13[[#This Row],[Repère]]="","",VLOOKUP(Tableau13[[#This Row],[Repère]],Tableau1[#All],10,FALSE))</f>
        <v/>
      </c>
      <c r="K6" s="13" t="str">
        <f>IF(Tableau13[[#This Row],[Repère]]="","",VLOOKUP(Tableau13[[#This Row],[Repère]],Tableau1[#All],11,FALSE))</f>
        <v/>
      </c>
      <c r="L6" s="14" t="str">
        <f>IF(Tableau13[[#This Row],[Repère]]="","",VLOOKUP(Tableau13[[#This Row],[Repère]],Tableau1[#All],12,FALSE))</f>
        <v/>
      </c>
    </row>
    <row r="7" spans="1:12" x14ac:dyDescent="0.3">
      <c r="A7" s="18"/>
      <c r="B7" s="19"/>
      <c r="C7" s="13" t="str">
        <f>IF(Tableau13[[#This Row],[Repère]]="","",VLOOKUP(Tableau13[[#This Row],[Repère]],Tableau1[#All],3,FALSE))</f>
        <v/>
      </c>
      <c r="D7" s="13" t="str">
        <f>IF(Tableau13[[#This Row],[Repère]]="","",VLOOKUP(Tableau13[[#This Row],[Repère]],Tableau1[#All],4,FALSE))</f>
        <v/>
      </c>
      <c r="E7" s="13" t="str">
        <f>IF(Tableau13[[#This Row],[Repère]]="","",VLOOKUP(Tableau13[[#This Row],[Repère]],Tableau1[#All],5,FALSE))</f>
        <v/>
      </c>
      <c r="F7" s="13" t="str">
        <f>IF(Tableau13[[#This Row],[Repère]]="","",VLOOKUP(Tableau13[[#This Row],[Repère]],Tableau1[#All],6,FALSE))</f>
        <v/>
      </c>
      <c r="G7" s="13" t="str">
        <f>IF(Tableau13[[#This Row],[Repère]]="","",VLOOKUP(Tableau13[[#This Row],[Repère]],Tableau1[#All],7,FALSE))</f>
        <v/>
      </c>
      <c r="H7" s="13" t="str">
        <f>IF(Tableau13[[#This Row],[Repère]]="","",VLOOKUP(Tableau13[[#This Row],[Repère]],Tableau1[#All],8,FALSE))</f>
        <v/>
      </c>
      <c r="I7" s="13" t="str">
        <f>IF(Tableau13[[#This Row],[Repère]]="","",VLOOKUP(Tableau13[[#This Row],[Repère]],Tableau1[#All],9,FALSE))</f>
        <v/>
      </c>
      <c r="J7" s="13" t="str">
        <f>IF(Tableau13[[#This Row],[Repère]]="","",VLOOKUP(Tableau13[[#This Row],[Repère]],Tableau1[#All],10,FALSE))</f>
        <v/>
      </c>
      <c r="K7" s="13" t="str">
        <f>IF(Tableau13[[#This Row],[Repère]]="","",VLOOKUP(Tableau13[[#This Row],[Repère]],Tableau1[#All],11,FALSE))</f>
        <v/>
      </c>
      <c r="L7" s="14" t="str">
        <f>IF(Tableau13[[#This Row],[Repère]]="","",VLOOKUP(Tableau13[[#This Row],[Repère]],Tableau1[#All],12,FALSE))</f>
        <v/>
      </c>
    </row>
    <row r="8" spans="1:12" x14ac:dyDescent="0.3">
      <c r="A8" s="18"/>
      <c r="B8" s="19"/>
      <c r="C8" s="13" t="str">
        <f>IF(Tableau13[[#This Row],[Repère]]="","",VLOOKUP(Tableau13[[#This Row],[Repère]],Tableau1[#All],3,FALSE))</f>
        <v/>
      </c>
      <c r="D8" s="13" t="str">
        <f>IF(Tableau13[[#This Row],[Repère]]="","",VLOOKUP(Tableau13[[#This Row],[Repère]],Tableau1[#All],4,FALSE))</f>
        <v/>
      </c>
      <c r="E8" s="13" t="str">
        <f>IF(Tableau13[[#This Row],[Repère]]="","",VLOOKUP(Tableau13[[#This Row],[Repère]],Tableau1[#All],5,FALSE))</f>
        <v/>
      </c>
      <c r="F8" s="13" t="str">
        <f>IF(Tableau13[[#This Row],[Repère]]="","",VLOOKUP(Tableau13[[#This Row],[Repère]],Tableau1[#All],6,FALSE))</f>
        <v/>
      </c>
      <c r="G8" s="13" t="str">
        <f>IF(Tableau13[[#This Row],[Repère]]="","",VLOOKUP(Tableau13[[#This Row],[Repère]],Tableau1[#All],7,FALSE))</f>
        <v/>
      </c>
      <c r="H8" s="13" t="str">
        <f>IF(Tableau13[[#This Row],[Repère]]="","",VLOOKUP(Tableau13[[#This Row],[Repère]],Tableau1[#All],8,FALSE))</f>
        <v/>
      </c>
      <c r="I8" s="13" t="str">
        <f>IF(Tableau13[[#This Row],[Repère]]="","",VLOOKUP(Tableau13[[#This Row],[Repère]],Tableau1[#All],9,FALSE))</f>
        <v/>
      </c>
      <c r="J8" s="13" t="str">
        <f>IF(Tableau13[[#This Row],[Repère]]="","",VLOOKUP(Tableau13[[#This Row],[Repère]],Tableau1[#All],10,FALSE))</f>
        <v/>
      </c>
      <c r="K8" s="13" t="str">
        <f>IF(Tableau13[[#This Row],[Repère]]="","",VLOOKUP(Tableau13[[#This Row],[Repère]],Tableau1[#All],11,FALSE))</f>
        <v/>
      </c>
      <c r="L8" s="14" t="str">
        <f>IF(Tableau13[[#This Row],[Repère]]="","",VLOOKUP(Tableau13[[#This Row],[Repère]],Tableau1[#All],12,FALSE))</f>
        <v/>
      </c>
    </row>
    <row r="9" spans="1:12" x14ac:dyDescent="0.3">
      <c r="A9" s="18"/>
      <c r="B9" s="19"/>
      <c r="C9" s="13" t="str">
        <f>IF(Tableau13[[#This Row],[Repère]]="","",VLOOKUP(Tableau13[[#This Row],[Repère]],Tableau1[#All],3,FALSE))</f>
        <v/>
      </c>
      <c r="D9" s="13" t="str">
        <f>IF(Tableau13[[#This Row],[Repère]]="","",VLOOKUP(Tableau13[[#This Row],[Repère]],Tableau1[#All],4,FALSE))</f>
        <v/>
      </c>
      <c r="E9" s="13" t="str">
        <f>IF(Tableau13[[#This Row],[Repère]]="","",VLOOKUP(Tableau13[[#This Row],[Repère]],Tableau1[#All],5,FALSE))</f>
        <v/>
      </c>
      <c r="F9" s="13" t="str">
        <f>IF(Tableau13[[#This Row],[Repère]]="","",VLOOKUP(Tableau13[[#This Row],[Repère]],Tableau1[#All],6,FALSE))</f>
        <v/>
      </c>
      <c r="G9" s="13" t="str">
        <f>IF(Tableau13[[#This Row],[Repère]]="","",VLOOKUP(Tableau13[[#This Row],[Repère]],Tableau1[#All],7,FALSE))</f>
        <v/>
      </c>
      <c r="H9" s="13" t="str">
        <f>IF(Tableau13[[#This Row],[Repère]]="","",VLOOKUP(Tableau13[[#This Row],[Repère]],Tableau1[#All],8,FALSE))</f>
        <v/>
      </c>
      <c r="I9" s="13" t="str">
        <f>IF(Tableau13[[#This Row],[Repère]]="","",VLOOKUP(Tableau13[[#This Row],[Repère]],Tableau1[#All],9,FALSE))</f>
        <v/>
      </c>
      <c r="J9" s="13" t="str">
        <f>IF(Tableau13[[#This Row],[Repère]]="","",VLOOKUP(Tableau13[[#This Row],[Repère]],Tableau1[#All],10,FALSE))</f>
        <v/>
      </c>
      <c r="K9" s="13" t="str">
        <f>IF(Tableau13[[#This Row],[Repère]]="","",VLOOKUP(Tableau13[[#This Row],[Repère]],Tableau1[#All],11,FALSE))</f>
        <v/>
      </c>
      <c r="L9" s="14" t="str">
        <f>IF(Tableau13[[#This Row],[Repère]]="","",VLOOKUP(Tableau13[[#This Row],[Repère]],Tableau1[#All],12,FALSE))</f>
        <v/>
      </c>
    </row>
    <row r="10" spans="1:12" x14ac:dyDescent="0.3">
      <c r="A10" s="18"/>
      <c r="B10" s="19"/>
      <c r="C10" s="13" t="str">
        <f>IF(Tableau13[[#This Row],[Repère]]="","",VLOOKUP(Tableau13[[#This Row],[Repère]],Tableau1[#All],3,FALSE))</f>
        <v/>
      </c>
      <c r="D10" s="13" t="str">
        <f>IF(Tableau13[[#This Row],[Repère]]="","",VLOOKUP(Tableau13[[#This Row],[Repère]],Tableau1[#All],4,FALSE))</f>
        <v/>
      </c>
      <c r="E10" s="13" t="str">
        <f>IF(Tableau13[[#This Row],[Repère]]="","",VLOOKUP(Tableau13[[#This Row],[Repère]],Tableau1[#All],5,FALSE))</f>
        <v/>
      </c>
      <c r="F10" s="13" t="str">
        <f>IF(Tableau13[[#This Row],[Repère]]="","",VLOOKUP(Tableau13[[#This Row],[Repère]],Tableau1[#All],6,FALSE))</f>
        <v/>
      </c>
      <c r="G10" s="13" t="str">
        <f>IF(Tableau13[[#This Row],[Repère]]="","",VLOOKUP(Tableau13[[#This Row],[Repère]],Tableau1[#All],7,FALSE))</f>
        <v/>
      </c>
      <c r="H10" s="13" t="str">
        <f>IF(Tableau13[[#This Row],[Repère]]="","",VLOOKUP(Tableau13[[#This Row],[Repère]],Tableau1[#All],8,FALSE))</f>
        <v/>
      </c>
      <c r="I10" s="13" t="str">
        <f>IF(Tableau13[[#This Row],[Repère]]="","",VLOOKUP(Tableau13[[#This Row],[Repère]],Tableau1[#All],9,FALSE))</f>
        <v/>
      </c>
      <c r="J10" s="13" t="str">
        <f>IF(Tableau13[[#This Row],[Repère]]="","",VLOOKUP(Tableau13[[#This Row],[Repère]],Tableau1[#All],10,FALSE))</f>
        <v/>
      </c>
      <c r="K10" s="13" t="str">
        <f>IF(Tableau13[[#This Row],[Repère]]="","",VLOOKUP(Tableau13[[#This Row],[Repère]],Tableau1[#All],11,FALSE))</f>
        <v/>
      </c>
      <c r="L10" s="14" t="str">
        <f>IF(Tableau13[[#This Row],[Repère]]="","",VLOOKUP(Tableau13[[#This Row],[Repère]],Tableau1[#All],12,FALSE))</f>
        <v/>
      </c>
    </row>
    <row r="11" spans="1:12" x14ac:dyDescent="0.3">
      <c r="A11" s="18"/>
      <c r="B11" s="19"/>
      <c r="C11" s="13" t="str">
        <f>IF(Tableau13[[#This Row],[Repère]]="","",VLOOKUP(Tableau13[[#This Row],[Repère]],Tableau1[#All],3,FALSE))</f>
        <v/>
      </c>
      <c r="D11" s="13" t="str">
        <f>IF(Tableau13[[#This Row],[Repère]]="","",VLOOKUP(Tableau13[[#This Row],[Repère]],Tableau1[#All],4,FALSE))</f>
        <v/>
      </c>
      <c r="E11" s="13" t="str">
        <f>IF(Tableau13[[#This Row],[Repère]]="","",VLOOKUP(Tableau13[[#This Row],[Repère]],Tableau1[#All],5,FALSE))</f>
        <v/>
      </c>
      <c r="F11" s="13" t="str">
        <f>IF(Tableau13[[#This Row],[Repère]]="","",VLOOKUP(Tableau13[[#This Row],[Repère]],Tableau1[#All],6,FALSE))</f>
        <v/>
      </c>
      <c r="G11" s="13" t="str">
        <f>IF(Tableau13[[#This Row],[Repère]]="","",VLOOKUP(Tableau13[[#This Row],[Repère]],Tableau1[#All],7,FALSE))</f>
        <v/>
      </c>
      <c r="H11" s="13" t="str">
        <f>IF(Tableau13[[#This Row],[Repère]]="","",VLOOKUP(Tableau13[[#This Row],[Repère]],Tableau1[#All],8,FALSE))</f>
        <v/>
      </c>
      <c r="I11" s="13" t="str">
        <f>IF(Tableau13[[#This Row],[Repère]]="","",VLOOKUP(Tableau13[[#This Row],[Repère]],Tableau1[#All],9,FALSE))</f>
        <v/>
      </c>
      <c r="J11" s="13" t="str">
        <f>IF(Tableau13[[#This Row],[Repère]]="","",VLOOKUP(Tableau13[[#This Row],[Repère]],Tableau1[#All],10,FALSE))</f>
        <v/>
      </c>
      <c r="K11" s="13" t="str">
        <f>IF(Tableau13[[#This Row],[Repère]]="","",VLOOKUP(Tableau13[[#This Row],[Repère]],Tableau1[#All],11,FALSE))</f>
        <v/>
      </c>
      <c r="L11" s="14" t="str">
        <f>IF(Tableau13[[#This Row],[Repère]]="","",VLOOKUP(Tableau13[[#This Row],[Repère]],Tableau1[#All],12,FALSE))</f>
        <v/>
      </c>
    </row>
    <row r="12" spans="1:12" x14ac:dyDescent="0.3">
      <c r="A12" s="18"/>
      <c r="B12" s="19"/>
      <c r="C12" s="13" t="str">
        <f>IF(Tableau13[[#This Row],[Repère]]="","",VLOOKUP(Tableau13[[#This Row],[Repère]],Tableau1[#All],3,FALSE))</f>
        <v/>
      </c>
      <c r="D12" s="13" t="str">
        <f>IF(Tableau13[[#This Row],[Repère]]="","",VLOOKUP(Tableau13[[#This Row],[Repère]],Tableau1[#All],4,FALSE))</f>
        <v/>
      </c>
      <c r="E12" s="13" t="str">
        <f>IF(Tableau13[[#This Row],[Repère]]="","",VLOOKUP(Tableau13[[#This Row],[Repère]],Tableau1[#All],5,FALSE))</f>
        <v/>
      </c>
      <c r="F12" s="13" t="str">
        <f>IF(Tableau13[[#This Row],[Repère]]="","",VLOOKUP(Tableau13[[#This Row],[Repère]],Tableau1[#All],6,FALSE))</f>
        <v/>
      </c>
      <c r="G12" s="13" t="str">
        <f>IF(Tableau13[[#This Row],[Repère]]="","",VLOOKUP(Tableau13[[#This Row],[Repère]],Tableau1[#All],7,FALSE))</f>
        <v/>
      </c>
      <c r="H12" s="13" t="str">
        <f>IF(Tableau13[[#This Row],[Repère]]="","",VLOOKUP(Tableau13[[#This Row],[Repère]],Tableau1[#All],8,FALSE))</f>
        <v/>
      </c>
      <c r="I12" s="13" t="str">
        <f>IF(Tableau13[[#This Row],[Repère]]="","",VLOOKUP(Tableau13[[#This Row],[Repère]],Tableau1[#All],9,FALSE))</f>
        <v/>
      </c>
      <c r="J12" s="13" t="str">
        <f>IF(Tableau13[[#This Row],[Repère]]="","",VLOOKUP(Tableau13[[#This Row],[Repère]],Tableau1[#All],10,FALSE))</f>
        <v/>
      </c>
      <c r="K12" s="13" t="str">
        <f>IF(Tableau13[[#This Row],[Repère]]="","",VLOOKUP(Tableau13[[#This Row],[Repère]],Tableau1[#All],11,FALSE))</f>
        <v/>
      </c>
      <c r="L12" s="14" t="str">
        <f>IF(Tableau13[[#This Row],[Repère]]="","",VLOOKUP(Tableau13[[#This Row],[Repère]],Tableau1[#All],12,FALSE))</f>
        <v/>
      </c>
    </row>
    <row r="13" spans="1:12" x14ac:dyDescent="0.3">
      <c r="A13" s="18"/>
      <c r="B13" s="19"/>
      <c r="C13" s="13" t="str">
        <f>IF(Tableau13[[#This Row],[Repère]]="","",VLOOKUP(Tableau13[[#This Row],[Repère]],Tableau1[#All],3,FALSE))</f>
        <v/>
      </c>
      <c r="D13" s="13" t="str">
        <f>IF(Tableau13[[#This Row],[Repère]]="","",VLOOKUP(Tableau13[[#This Row],[Repère]],Tableau1[#All],4,FALSE))</f>
        <v/>
      </c>
      <c r="E13" s="13" t="str">
        <f>IF(Tableau13[[#This Row],[Repère]]="","",VLOOKUP(Tableau13[[#This Row],[Repère]],Tableau1[#All],5,FALSE))</f>
        <v/>
      </c>
      <c r="F13" s="13" t="str">
        <f>IF(Tableau13[[#This Row],[Repère]]="","",VLOOKUP(Tableau13[[#This Row],[Repère]],Tableau1[#All],6,FALSE))</f>
        <v/>
      </c>
      <c r="G13" s="13" t="str">
        <f>IF(Tableau13[[#This Row],[Repère]]="","",VLOOKUP(Tableau13[[#This Row],[Repère]],Tableau1[#All],7,FALSE))</f>
        <v/>
      </c>
      <c r="H13" s="13" t="str">
        <f>IF(Tableau13[[#This Row],[Repère]]="","",VLOOKUP(Tableau13[[#This Row],[Repère]],Tableau1[#All],8,FALSE))</f>
        <v/>
      </c>
      <c r="I13" s="13" t="str">
        <f>IF(Tableau13[[#This Row],[Repère]]="","",VLOOKUP(Tableau13[[#This Row],[Repère]],Tableau1[#All],9,FALSE))</f>
        <v/>
      </c>
      <c r="J13" s="13" t="str">
        <f>IF(Tableau13[[#This Row],[Repère]]="","",VLOOKUP(Tableau13[[#This Row],[Repère]],Tableau1[#All],10,FALSE))</f>
        <v/>
      </c>
      <c r="K13" s="13" t="str">
        <f>IF(Tableau13[[#This Row],[Repère]]="","",VLOOKUP(Tableau13[[#This Row],[Repère]],Tableau1[#All],11,FALSE))</f>
        <v/>
      </c>
      <c r="L13" s="14" t="str">
        <f>IF(Tableau13[[#This Row],[Repère]]="","",VLOOKUP(Tableau13[[#This Row],[Repère]],Tableau1[#All],12,FALSE))</f>
        <v/>
      </c>
    </row>
    <row r="14" spans="1:12" x14ac:dyDescent="0.3">
      <c r="A14" s="18"/>
      <c r="B14" s="19"/>
      <c r="C14" s="13" t="str">
        <f>IF(Tableau13[[#This Row],[Repère]]="","",VLOOKUP(Tableau13[[#This Row],[Repère]],Tableau1[#All],3,FALSE))</f>
        <v/>
      </c>
      <c r="D14" s="13" t="str">
        <f>IF(Tableau13[[#This Row],[Repère]]="","",VLOOKUP(Tableau13[[#This Row],[Repère]],Tableau1[#All],4,FALSE))</f>
        <v/>
      </c>
      <c r="E14" s="13" t="str">
        <f>IF(Tableau13[[#This Row],[Repère]]="","",VLOOKUP(Tableau13[[#This Row],[Repère]],Tableau1[#All],5,FALSE))</f>
        <v/>
      </c>
      <c r="F14" s="13" t="str">
        <f>IF(Tableau13[[#This Row],[Repère]]="","",VLOOKUP(Tableau13[[#This Row],[Repère]],Tableau1[#All],6,FALSE))</f>
        <v/>
      </c>
      <c r="G14" s="13" t="str">
        <f>IF(Tableau13[[#This Row],[Repère]]="","",VLOOKUP(Tableau13[[#This Row],[Repère]],Tableau1[#All],7,FALSE))</f>
        <v/>
      </c>
      <c r="H14" s="13" t="str">
        <f>IF(Tableau13[[#This Row],[Repère]]="","",VLOOKUP(Tableau13[[#This Row],[Repère]],Tableau1[#All],8,FALSE))</f>
        <v/>
      </c>
      <c r="I14" s="13" t="str">
        <f>IF(Tableau13[[#This Row],[Repère]]="","",VLOOKUP(Tableau13[[#This Row],[Repère]],Tableau1[#All],9,FALSE))</f>
        <v/>
      </c>
      <c r="J14" s="13" t="str">
        <f>IF(Tableau13[[#This Row],[Repère]]="","",VLOOKUP(Tableau13[[#This Row],[Repère]],Tableau1[#All],10,FALSE))</f>
        <v/>
      </c>
      <c r="K14" s="13" t="str">
        <f>IF(Tableau13[[#This Row],[Repère]]="","",VLOOKUP(Tableau13[[#This Row],[Repère]],Tableau1[#All],11,FALSE))</f>
        <v/>
      </c>
      <c r="L14" s="14" t="str">
        <f>IF(Tableau13[[#This Row],[Repère]]="","",VLOOKUP(Tableau13[[#This Row],[Repère]],Tableau1[#All],12,FALSE))</f>
        <v/>
      </c>
    </row>
    <row r="15" spans="1:12" x14ac:dyDescent="0.3">
      <c r="A15" s="18"/>
      <c r="B15" s="19"/>
      <c r="C15" s="13" t="str">
        <f>IF(Tableau13[[#This Row],[Repère]]="","",VLOOKUP(Tableau13[[#This Row],[Repère]],Tableau1[#All],3,FALSE))</f>
        <v/>
      </c>
      <c r="D15" s="13" t="str">
        <f>IF(Tableau13[[#This Row],[Repère]]="","",VLOOKUP(Tableau13[[#This Row],[Repère]],Tableau1[#All],4,FALSE))</f>
        <v/>
      </c>
      <c r="E15" s="13" t="str">
        <f>IF(Tableau13[[#This Row],[Repère]]="","",VLOOKUP(Tableau13[[#This Row],[Repère]],Tableau1[#All],5,FALSE))</f>
        <v/>
      </c>
      <c r="F15" s="13" t="str">
        <f>IF(Tableau13[[#This Row],[Repère]]="","",VLOOKUP(Tableau13[[#This Row],[Repère]],Tableau1[#All],6,FALSE))</f>
        <v/>
      </c>
      <c r="G15" s="13" t="str">
        <f>IF(Tableau13[[#This Row],[Repère]]="","",VLOOKUP(Tableau13[[#This Row],[Repère]],Tableau1[#All],7,FALSE))</f>
        <v/>
      </c>
      <c r="H15" s="13" t="str">
        <f>IF(Tableau13[[#This Row],[Repère]]="","",VLOOKUP(Tableau13[[#This Row],[Repère]],Tableau1[#All],8,FALSE))</f>
        <v/>
      </c>
      <c r="I15" s="13" t="str">
        <f>IF(Tableau13[[#This Row],[Repère]]="","",VLOOKUP(Tableau13[[#This Row],[Repère]],Tableau1[#All],9,FALSE))</f>
        <v/>
      </c>
      <c r="J15" s="13" t="str">
        <f>IF(Tableau13[[#This Row],[Repère]]="","",VLOOKUP(Tableau13[[#This Row],[Repère]],Tableau1[#All],10,FALSE))</f>
        <v/>
      </c>
      <c r="K15" s="13" t="str">
        <f>IF(Tableau13[[#This Row],[Repère]]="","",VLOOKUP(Tableau13[[#This Row],[Repère]],Tableau1[#All],11,FALSE))</f>
        <v/>
      </c>
      <c r="L15" s="14" t="str">
        <f>IF(Tableau13[[#This Row],[Repère]]="","",VLOOKUP(Tableau13[[#This Row],[Repère]],Tableau1[#All],12,FALSE))</f>
        <v/>
      </c>
    </row>
    <row r="16" spans="1:12" x14ac:dyDescent="0.3">
      <c r="A16" s="18"/>
      <c r="B16" s="19"/>
      <c r="C16" s="13" t="str">
        <f>IF(Tableau13[[#This Row],[Repère]]="","",VLOOKUP(Tableau13[[#This Row],[Repère]],Tableau1[#All],3,FALSE))</f>
        <v/>
      </c>
      <c r="D16" s="13" t="str">
        <f>IF(Tableau13[[#This Row],[Repère]]="","",VLOOKUP(Tableau13[[#This Row],[Repère]],Tableau1[#All],4,FALSE))</f>
        <v/>
      </c>
      <c r="E16" s="13" t="str">
        <f>IF(Tableau13[[#This Row],[Repère]]="","",VLOOKUP(Tableau13[[#This Row],[Repère]],Tableau1[#All],5,FALSE))</f>
        <v/>
      </c>
      <c r="F16" s="13" t="str">
        <f>IF(Tableau13[[#This Row],[Repère]]="","",VLOOKUP(Tableau13[[#This Row],[Repère]],Tableau1[#All],6,FALSE))</f>
        <v/>
      </c>
      <c r="G16" s="13" t="str">
        <f>IF(Tableau13[[#This Row],[Repère]]="","",VLOOKUP(Tableau13[[#This Row],[Repère]],Tableau1[#All],7,FALSE))</f>
        <v/>
      </c>
      <c r="H16" s="13" t="str">
        <f>IF(Tableau13[[#This Row],[Repère]]="","",VLOOKUP(Tableau13[[#This Row],[Repère]],Tableau1[#All],8,FALSE))</f>
        <v/>
      </c>
      <c r="I16" s="13" t="str">
        <f>IF(Tableau13[[#This Row],[Repère]]="","",VLOOKUP(Tableau13[[#This Row],[Repère]],Tableau1[#All],9,FALSE))</f>
        <v/>
      </c>
      <c r="J16" s="13" t="str">
        <f>IF(Tableau13[[#This Row],[Repère]]="","",VLOOKUP(Tableau13[[#This Row],[Repère]],Tableau1[#All],10,FALSE))</f>
        <v/>
      </c>
      <c r="K16" s="13" t="str">
        <f>IF(Tableau13[[#This Row],[Repère]]="","",VLOOKUP(Tableau13[[#This Row],[Repère]],Tableau1[#All],11,FALSE))</f>
        <v/>
      </c>
      <c r="L16" s="14" t="str">
        <f>IF(Tableau13[[#This Row],[Repère]]="","",VLOOKUP(Tableau13[[#This Row],[Repère]],Tableau1[#All],12,FALSE))</f>
        <v/>
      </c>
    </row>
    <row r="17" spans="1:12" x14ac:dyDescent="0.3">
      <c r="A17" s="18"/>
      <c r="B17" s="19"/>
      <c r="C17" s="13" t="str">
        <f>IF(Tableau13[[#This Row],[Repère]]="","",VLOOKUP(Tableau13[[#This Row],[Repère]],Tableau1[#All],3,FALSE))</f>
        <v/>
      </c>
      <c r="D17" s="13" t="str">
        <f>IF(Tableau13[[#This Row],[Repère]]="","",VLOOKUP(Tableau13[[#This Row],[Repère]],Tableau1[#All],4,FALSE))</f>
        <v/>
      </c>
      <c r="E17" s="13" t="str">
        <f>IF(Tableau13[[#This Row],[Repère]]="","",VLOOKUP(Tableau13[[#This Row],[Repère]],Tableau1[#All],5,FALSE))</f>
        <v/>
      </c>
      <c r="F17" s="13" t="str">
        <f>IF(Tableau13[[#This Row],[Repère]]="","",VLOOKUP(Tableau13[[#This Row],[Repère]],Tableau1[#All],6,FALSE))</f>
        <v/>
      </c>
      <c r="G17" s="13" t="str">
        <f>IF(Tableau13[[#This Row],[Repère]]="","",VLOOKUP(Tableau13[[#This Row],[Repère]],Tableau1[#All],7,FALSE))</f>
        <v/>
      </c>
      <c r="H17" s="13" t="str">
        <f>IF(Tableau13[[#This Row],[Repère]]="","",VLOOKUP(Tableau13[[#This Row],[Repère]],Tableau1[#All],8,FALSE))</f>
        <v/>
      </c>
      <c r="I17" s="13" t="str">
        <f>IF(Tableau13[[#This Row],[Repère]]="","",VLOOKUP(Tableau13[[#This Row],[Repère]],Tableau1[#All],9,FALSE))</f>
        <v/>
      </c>
      <c r="J17" s="13" t="str">
        <f>IF(Tableau13[[#This Row],[Repère]]="","",VLOOKUP(Tableau13[[#This Row],[Repère]],Tableau1[#All],10,FALSE))</f>
        <v/>
      </c>
      <c r="K17" s="13" t="str">
        <f>IF(Tableau13[[#This Row],[Repère]]="","",VLOOKUP(Tableau13[[#This Row],[Repère]],Tableau1[#All],11,FALSE))</f>
        <v/>
      </c>
      <c r="L17" s="14" t="str">
        <f>IF(Tableau13[[#This Row],[Repère]]="","",VLOOKUP(Tableau13[[#This Row],[Repère]],Tableau1[#All],12,FALSE))</f>
        <v/>
      </c>
    </row>
    <row r="18" spans="1:12" x14ac:dyDescent="0.3">
      <c r="A18" s="18"/>
      <c r="B18" s="19"/>
      <c r="C18" s="13" t="str">
        <f>IF(Tableau13[[#This Row],[Repère]]="","",VLOOKUP(Tableau13[[#This Row],[Repère]],Tableau1[#All],3,FALSE))</f>
        <v/>
      </c>
      <c r="D18" s="13" t="str">
        <f>IF(Tableau13[[#This Row],[Repère]]="","",VLOOKUP(Tableau13[[#This Row],[Repère]],Tableau1[#All],4,FALSE))</f>
        <v/>
      </c>
      <c r="E18" s="13" t="str">
        <f>IF(Tableau13[[#This Row],[Repère]]="","",VLOOKUP(Tableau13[[#This Row],[Repère]],Tableau1[#All],5,FALSE))</f>
        <v/>
      </c>
      <c r="F18" s="13" t="str">
        <f>IF(Tableau13[[#This Row],[Repère]]="","",VLOOKUP(Tableau13[[#This Row],[Repère]],Tableau1[#All],6,FALSE))</f>
        <v/>
      </c>
      <c r="G18" s="13" t="str">
        <f>IF(Tableau13[[#This Row],[Repère]]="","",VLOOKUP(Tableau13[[#This Row],[Repère]],Tableau1[#All],7,FALSE))</f>
        <v/>
      </c>
      <c r="H18" s="13" t="str">
        <f>IF(Tableau13[[#This Row],[Repère]]="","",VLOOKUP(Tableau13[[#This Row],[Repère]],Tableau1[#All],8,FALSE))</f>
        <v/>
      </c>
      <c r="I18" s="13" t="str">
        <f>IF(Tableau13[[#This Row],[Repère]]="","",VLOOKUP(Tableau13[[#This Row],[Repère]],Tableau1[#All],9,FALSE))</f>
        <v/>
      </c>
      <c r="J18" s="13" t="str">
        <f>IF(Tableau13[[#This Row],[Repère]]="","",VLOOKUP(Tableau13[[#This Row],[Repère]],Tableau1[#All],10,FALSE))</f>
        <v/>
      </c>
      <c r="K18" s="13" t="str">
        <f>IF(Tableau13[[#This Row],[Repère]]="","",VLOOKUP(Tableau13[[#This Row],[Repère]],Tableau1[#All],11,FALSE))</f>
        <v/>
      </c>
      <c r="L18" s="14" t="str">
        <f>IF(Tableau13[[#This Row],[Repère]]="","",VLOOKUP(Tableau13[[#This Row],[Repère]],Tableau1[#All],12,FALSE))</f>
        <v/>
      </c>
    </row>
    <row r="19" spans="1:12" x14ac:dyDescent="0.3">
      <c r="A19" s="18"/>
      <c r="B19" s="19"/>
      <c r="C19" s="13" t="str">
        <f>IF(Tableau13[[#This Row],[Repère]]="","",VLOOKUP(Tableau13[[#This Row],[Repère]],Tableau1[#All],3,FALSE))</f>
        <v/>
      </c>
      <c r="D19" s="13" t="str">
        <f>IF(Tableau13[[#This Row],[Repère]]="","",VLOOKUP(Tableau13[[#This Row],[Repère]],Tableau1[#All],4,FALSE))</f>
        <v/>
      </c>
      <c r="E19" s="13" t="str">
        <f>IF(Tableau13[[#This Row],[Repère]]="","",VLOOKUP(Tableau13[[#This Row],[Repère]],Tableau1[#All],5,FALSE))</f>
        <v/>
      </c>
      <c r="F19" s="13" t="str">
        <f>IF(Tableau13[[#This Row],[Repère]]="","",VLOOKUP(Tableau13[[#This Row],[Repère]],Tableau1[#All],6,FALSE))</f>
        <v/>
      </c>
      <c r="G19" s="13" t="str">
        <f>IF(Tableau13[[#This Row],[Repère]]="","",VLOOKUP(Tableau13[[#This Row],[Repère]],Tableau1[#All],7,FALSE))</f>
        <v/>
      </c>
      <c r="H19" s="13" t="str">
        <f>IF(Tableau13[[#This Row],[Repère]]="","",VLOOKUP(Tableau13[[#This Row],[Repère]],Tableau1[#All],8,FALSE))</f>
        <v/>
      </c>
      <c r="I19" s="13" t="str">
        <f>IF(Tableau13[[#This Row],[Repère]]="","",VLOOKUP(Tableau13[[#This Row],[Repère]],Tableau1[#All],9,FALSE))</f>
        <v/>
      </c>
      <c r="J19" s="13" t="str">
        <f>IF(Tableau13[[#This Row],[Repère]]="","",VLOOKUP(Tableau13[[#This Row],[Repère]],Tableau1[#All],10,FALSE))</f>
        <v/>
      </c>
      <c r="K19" s="13" t="str">
        <f>IF(Tableau13[[#This Row],[Repère]]="","",VLOOKUP(Tableau13[[#This Row],[Repère]],Tableau1[#All],11,FALSE))</f>
        <v/>
      </c>
      <c r="L19" s="14" t="str">
        <f>IF(Tableau13[[#This Row],[Repère]]="","",VLOOKUP(Tableau13[[#This Row],[Repère]],Tableau1[#All],12,FALSE))</f>
        <v/>
      </c>
    </row>
    <row r="20" spans="1:12" x14ac:dyDescent="0.3">
      <c r="A20" s="18"/>
      <c r="B20" s="19"/>
      <c r="C20" s="13" t="str">
        <f>IF(Tableau13[[#This Row],[Repère]]="","",VLOOKUP(Tableau13[[#This Row],[Repère]],Tableau1[#All],3,FALSE))</f>
        <v/>
      </c>
      <c r="D20" s="13" t="str">
        <f>IF(Tableau13[[#This Row],[Repère]]="","",VLOOKUP(Tableau13[[#This Row],[Repère]],Tableau1[#All],4,FALSE))</f>
        <v/>
      </c>
      <c r="E20" s="13" t="str">
        <f>IF(Tableau13[[#This Row],[Repère]]="","",VLOOKUP(Tableau13[[#This Row],[Repère]],Tableau1[#All],5,FALSE))</f>
        <v/>
      </c>
      <c r="F20" s="13" t="str">
        <f>IF(Tableau13[[#This Row],[Repère]]="","",VLOOKUP(Tableau13[[#This Row],[Repère]],Tableau1[#All],6,FALSE))</f>
        <v/>
      </c>
      <c r="G20" s="13" t="str">
        <f>IF(Tableau13[[#This Row],[Repère]]="","",VLOOKUP(Tableau13[[#This Row],[Repère]],Tableau1[#All],7,FALSE))</f>
        <v/>
      </c>
      <c r="H20" s="13" t="str">
        <f>IF(Tableau13[[#This Row],[Repère]]="","",VLOOKUP(Tableau13[[#This Row],[Repère]],Tableau1[#All],8,FALSE))</f>
        <v/>
      </c>
      <c r="I20" s="13" t="str">
        <f>IF(Tableau13[[#This Row],[Repère]]="","",VLOOKUP(Tableau13[[#This Row],[Repère]],Tableau1[#All],9,FALSE))</f>
        <v/>
      </c>
      <c r="J20" s="13" t="str">
        <f>IF(Tableau13[[#This Row],[Repère]]="","",VLOOKUP(Tableau13[[#This Row],[Repère]],Tableau1[#All],10,FALSE))</f>
        <v/>
      </c>
      <c r="K20" s="13" t="str">
        <f>IF(Tableau13[[#This Row],[Repère]]="","",VLOOKUP(Tableau13[[#This Row],[Repère]],Tableau1[#All],11,FALSE))</f>
        <v/>
      </c>
      <c r="L20" s="14" t="str">
        <f>IF(Tableau13[[#This Row],[Repère]]="","",VLOOKUP(Tableau13[[#This Row],[Repère]],Tableau1[#All],12,FALSE))</f>
        <v/>
      </c>
    </row>
    <row r="21" spans="1:12" x14ac:dyDescent="0.3">
      <c r="A21" s="18"/>
      <c r="B21" s="19"/>
      <c r="C21" s="13" t="str">
        <f>IF(Tableau13[[#This Row],[Repère]]="","",VLOOKUP(Tableau13[[#This Row],[Repère]],Tableau1[#All],3,FALSE))</f>
        <v/>
      </c>
      <c r="D21" s="13" t="str">
        <f>IF(Tableau13[[#This Row],[Repère]]="","",VLOOKUP(Tableau13[[#This Row],[Repère]],Tableau1[#All],4,FALSE))</f>
        <v/>
      </c>
      <c r="E21" s="13" t="str">
        <f>IF(Tableau13[[#This Row],[Repère]]="","",VLOOKUP(Tableau13[[#This Row],[Repère]],Tableau1[#All],5,FALSE))</f>
        <v/>
      </c>
      <c r="F21" s="13" t="str">
        <f>IF(Tableau13[[#This Row],[Repère]]="","",VLOOKUP(Tableau13[[#This Row],[Repère]],Tableau1[#All],6,FALSE))</f>
        <v/>
      </c>
      <c r="G21" s="13" t="str">
        <f>IF(Tableau13[[#This Row],[Repère]]="","",VLOOKUP(Tableau13[[#This Row],[Repère]],Tableau1[#All],7,FALSE))</f>
        <v/>
      </c>
      <c r="H21" s="13" t="str">
        <f>IF(Tableau13[[#This Row],[Repère]]="","",VLOOKUP(Tableau13[[#This Row],[Repère]],Tableau1[#All],8,FALSE))</f>
        <v/>
      </c>
      <c r="I21" s="13" t="str">
        <f>IF(Tableau13[[#This Row],[Repère]]="","",VLOOKUP(Tableau13[[#This Row],[Repère]],Tableau1[#All],9,FALSE))</f>
        <v/>
      </c>
      <c r="J21" s="13" t="str">
        <f>IF(Tableau13[[#This Row],[Repère]]="","",VLOOKUP(Tableau13[[#This Row],[Repère]],Tableau1[#All],10,FALSE))</f>
        <v/>
      </c>
      <c r="K21" s="13" t="str">
        <f>IF(Tableau13[[#This Row],[Repère]]="","",VLOOKUP(Tableau13[[#This Row],[Repère]],Tableau1[#All],11,FALSE))</f>
        <v/>
      </c>
      <c r="L21" s="14" t="str">
        <f>IF(Tableau13[[#This Row],[Repère]]="","",VLOOKUP(Tableau13[[#This Row],[Repère]],Tableau1[#All],12,FALSE))</f>
        <v/>
      </c>
    </row>
    <row r="22" spans="1:12" x14ac:dyDescent="0.3">
      <c r="A22" s="18"/>
      <c r="B22" s="19"/>
      <c r="C22" s="13" t="str">
        <f>IF(Tableau13[[#This Row],[Repère]]="","",VLOOKUP(Tableau13[[#This Row],[Repère]],Tableau1[#All],3,FALSE))</f>
        <v/>
      </c>
      <c r="D22" s="13" t="str">
        <f>IF(Tableau13[[#This Row],[Repère]]="","",VLOOKUP(Tableau13[[#This Row],[Repère]],Tableau1[#All],4,FALSE))</f>
        <v/>
      </c>
      <c r="E22" s="13" t="str">
        <f>IF(Tableau13[[#This Row],[Repère]]="","",VLOOKUP(Tableau13[[#This Row],[Repère]],Tableau1[#All],5,FALSE))</f>
        <v/>
      </c>
      <c r="F22" s="13" t="str">
        <f>IF(Tableau13[[#This Row],[Repère]]="","",VLOOKUP(Tableau13[[#This Row],[Repère]],Tableau1[#All],6,FALSE))</f>
        <v/>
      </c>
      <c r="G22" s="13" t="str">
        <f>IF(Tableau13[[#This Row],[Repère]]="","",VLOOKUP(Tableau13[[#This Row],[Repère]],Tableau1[#All],7,FALSE))</f>
        <v/>
      </c>
      <c r="H22" s="13" t="str">
        <f>IF(Tableau13[[#This Row],[Repère]]="","",VLOOKUP(Tableau13[[#This Row],[Repère]],Tableau1[#All],8,FALSE))</f>
        <v/>
      </c>
      <c r="I22" s="13" t="str">
        <f>IF(Tableau13[[#This Row],[Repère]]="","",VLOOKUP(Tableau13[[#This Row],[Repère]],Tableau1[#All],9,FALSE))</f>
        <v/>
      </c>
      <c r="J22" s="13" t="str">
        <f>IF(Tableau13[[#This Row],[Repère]]="","",VLOOKUP(Tableau13[[#This Row],[Repère]],Tableau1[#All],10,FALSE))</f>
        <v/>
      </c>
      <c r="K22" s="13" t="str">
        <f>IF(Tableau13[[#This Row],[Repère]]="","",VLOOKUP(Tableau13[[#This Row],[Repère]],Tableau1[#All],11,FALSE))</f>
        <v/>
      </c>
      <c r="L22" s="14" t="str">
        <f>IF(Tableau13[[#This Row],[Repère]]="","",VLOOKUP(Tableau13[[#This Row],[Repère]],Tableau1[#All],12,FALSE))</f>
        <v/>
      </c>
    </row>
    <row r="23" spans="1:12" x14ac:dyDescent="0.3">
      <c r="A23" s="18"/>
      <c r="B23" s="19"/>
      <c r="C23" s="13" t="str">
        <f>IF(Tableau13[[#This Row],[Repère]]="","",VLOOKUP(Tableau13[[#This Row],[Repère]],Tableau1[#All],3,FALSE))</f>
        <v/>
      </c>
      <c r="D23" s="13" t="str">
        <f>IF(Tableau13[[#This Row],[Repère]]="","",VLOOKUP(Tableau13[[#This Row],[Repère]],Tableau1[#All],4,FALSE))</f>
        <v/>
      </c>
      <c r="E23" s="13" t="str">
        <f>IF(Tableau13[[#This Row],[Repère]]="","",VLOOKUP(Tableau13[[#This Row],[Repère]],Tableau1[#All],5,FALSE))</f>
        <v/>
      </c>
      <c r="F23" s="13" t="str">
        <f>IF(Tableau13[[#This Row],[Repère]]="","",VLOOKUP(Tableau13[[#This Row],[Repère]],Tableau1[#All],6,FALSE))</f>
        <v/>
      </c>
      <c r="G23" s="13" t="str">
        <f>IF(Tableau13[[#This Row],[Repère]]="","",VLOOKUP(Tableau13[[#This Row],[Repère]],Tableau1[#All],7,FALSE))</f>
        <v/>
      </c>
      <c r="H23" s="13" t="str">
        <f>IF(Tableau13[[#This Row],[Repère]]="","",VLOOKUP(Tableau13[[#This Row],[Repère]],Tableau1[#All],8,FALSE))</f>
        <v/>
      </c>
      <c r="I23" s="13" t="str">
        <f>IF(Tableau13[[#This Row],[Repère]]="","",VLOOKUP(Tableau13[[#This Row],[Repère]],Tableau1[#All],9,FALSE))</f>
        <v/>
      </c>
      <c r="J23" s="13" t="str">
        <f>IF(Tableau13[[#This Row],[Repère]]="","",VLOOKUP(Tableau13[[#This Row],[Repère]],Tableau1[#All],10,FALSE))</f>
        <v/>
      </c>
      <c r="K23" s="13" t="str">
        <f>IF(Tableau13[[#This Row],[Repère]]="","",VLOOKUP(Tableau13[[#This Row],[Repère]],Tableau1[#All],11,FALSE))</f>
        <v/>
      </c>
      <c r="L23" s="14" t="str">
        <f>IF(Tableau13[[#This Row],[Repère]]="","",VLOOKUP(Tableau13[[#This Row],[Repère]],Tableau1[#All],12,FALSE))</f>
        <v/>
      </c>
    </row>
    <row r="24" spans="1:12" x14ac:dyDescent="0.3">
      <c r="A24" s="18"/>
      <c r="B24" s="19"/>
      <c r="C24" s="13" t="str">
        <f>IF(Tableau13[[#This Row],[Repère]]="","",VLOOKUP(Tableau13[[#This Row],[Repère]],Tableau1[#All],3,FALSE))</f>
        <v/>
      </c>
      <c r="D24" s="13" t="str">
        <f>IF(Tableau13[[#This Row],[Repère]]="","",VLOOKUP(Tableau13[[#This Row],[Repère]],Tableau1[#All],4,FALSE))</f>
        <v/>
      </c>
      <c r="E24" s="13" t="str">
        <f>IF(Tableau13[[#This Row],[Repère]]="","",VLOOKUP(Tableau13[[#This Row],[Repère]],Tableau1[#All],5,FALSE))</f>
        <v/>
      </c>
      <c r="F24" s="13" t="str">
        <f>IF(Tableau13[[#This Row],[Repère]]="","",VLOOKUP(Tableau13[[#This Row],[Repère]],Tableau1[#All],6,FALSE))</f>
        <v/>
      </c>
      <c r="G24" s="13" t="str">
        <f>IF(Tableau13[[#This Row],[Repère]]="","",VLOOKUP(Tableau13[[#This Row],[Repère]],Tableau1[#All],7,FALSE))</f>
        <v/>
      </c>
      <c r="H24" s="13" t="str">
        <f>IF(Tableau13[[#This Row],[Repère]]="","",VLOOKUP(Tableau13[[#This Row],[Repère]],Tableau1[#All],8,FALSE))</f>
        <v/>
      </c>
      <c r="I24" s="13" t="str">
        <f>IF(Tableau13[[#This Row],[Repère]]="","",VLOOKUP(Tableau13[[#This Row],[Repère]],Tableau1[#All],9,FALSE))</f>
        <v/>
      </c>
      <c r="J24" s="13" t="str">
        <f>IF(Tableau13[[#This Row],[Repère]]="","",VLOOKUP(Tableau13[[#This Row],[Repère]],Tableau1[#All],10,FALSE))</f>
        <v/>
      </c>
      <c r="K24" s="13" t="str">
        <f>IF(Tableau13[[#This Row],[Repère]]="","",VLOOKUP(Tableau13[[#This Row],[Repère]],Tableau1[#All],11,FALSE))</f>
        <v/>
      </c>
      <c r="L24" s="14" t="str">
        <f>IF(Tableau13[[#This Row],[Repère]]="","",VLOOKUP(Tableau13[[#This Row],[Repère]],Tableau1[#All],12,FALSE))</f>
        <v/>
      </c>
    </row>
    <row r="25" spans="1:12" x14ac:dyDescent="0.3">
      <c r="A25" s="18"/>
      <c r="B25" s="19"/>
      <c r="C25" s="13" t="str">
        <f>IF(Tableau13[[#This Row],[Repère]]="","",VLOOKUP(Tableau13[[#This Row],[Repère]],Tableau1[#All],3,FALSE))</f>
        <v/>
      </c>
      <c r="D25" s="13" t="str">
        <f>IF(Tableau13[[#This Row],[Repère]]="","",VLOOKUP(Tableau13[[#This Row],[Repère]],Tableau1[#All],4,FALSE))</f>
        <v/>
      </c>
      <c r="E25" s="13" t="str">
        <f>IF(Tableau13[[#This Row],[Repère]]="","",VLOOKUP(Tableau13[[#This Row],[Repère]],Tableau1[#All],5,FALSE))</f>
        <v/>
      </c>
      <c r="F25" s="13" t="str">
        <f>IF(Tableau13[[#This Row],[Repère]]="","",VLOOKUP(Tableau13[[#This Row],[Repère]],Tableau1[#All],6,FALSE))</f>
        <v/>
      </c>
      <c r="G25" s="13" t="str">
        <f>IF(Tableau13[[#This Row],[Repère]]="","",VLOOKUP(Tableau13[[#This Row],[Repère]],Tableau1[#All],7,FALSE))</f>
        <v/>
      </c>
      <c r="H25" s="13" t="str">
        <f>IF(Tableau13[[#This Row],[Repère]]="","",VLOOKUP(Tableau13[[#This Row],[Repère]],Tableau1[#All],8,FALSE))</f>
        <v/>
      </c>
      <c r="I25" s="13" t="str">
        <f>IF(Tableau13[[#This Row],[Repère]]="","",VLOOKUP(Tableau13[[#This Row],[Repère]],Tableau1[#All],9,FALSE))</f>
        <v/>
      </c>
      <c r="J25" s="13" t="str">
        <f>IF(Tableau13[[#This Row],[Repère]]="","",VLOOKUP(Tableau13[[#This Row],[Repère]],Tableau1[#All],10,FALSE))</f>
        <v/>
      </c>
      <c r="K25" s="13" t="str">
        <f>IF(Tableau13[[#This Row],[Repère]]="","",VLOOKUP(Tableau13[[#This Row],[Repère]],Tableau1[#All],11,FALSE))</f>
        <v/>
      </c>
      <c r="L25" s="14" t="str">
        <f>IF(Tableau13[[#This Row],[Repère]]="","",VLOOKUP(Tableau13[[#This Row],[Repère]],Tableau1[#All],12,FALSE))</f>
        <v/>
      </c>
    </row>
    <row r="26" spans="1:12" x14ac:dyDescent="0.3">
      <c r="A26" s="18"/>
      <c r="B26" s="19"/>
      <c r="C26" s="13" t="str">
        <f>IF(Tableau13[[#This Row],[Repère]]="","",VLOOKUP(Tableau13[[#This Row],[Repère]],Tableau1[#All],3,FALSE))</f>
        <v/>
      </c>
      <c r="D26" s="13" t="str">
        <f>IF(Tableau13[[#This Row],[Repère]]="","",VLOOKUP(Tableau13[[#This Row],[Repère]],Tableau1[#All],4,FALSE))</f>
        <v/>
      </c>
      <c r="E26" s="13" t="str">
        <f>IF(Tableau13[[#This Row],[Repère]]="","",VLOOKUP(Tableau13[[#This Row],[Repère]],Tableau1[#All],5,FALSE))</f>
        <v/>
      </c>
      <c r="F26" s="13" t="str">
        <f>IF(Tableau13[[#This Row],[Repère]]="","",VLOOKUP(Tableau13[[#This Row],[Repère]],Tableau1[#All],6,FALSE))</f>
        <v/>
      </c>
      <c r="G26" s="13" t="str">
        <f>IF(Tableau13[[#This Row],[Repère]]="","",VLOOKUP(Tableau13[[#This Row],[Repère]],Tableau1[#All],7,FALSE))</f>
        <v/>
      </c>
      <c r="H26" s="13" t="str">
        <f>IF(Tableau13[[#This Row],[Repère]]="","",VLOOKUP(Tableau13[[#This Row],[Repère]],Tableau1[#All],8,FALSE))</f>
        <v/>
      </c>
      <c r="I26" s="13" t="str">
        <f>IF(Tableau13[[#This Row],[Repère]]="","",VLOOKUP(Tableau13[[#This Row],[Repère]],Tableau1[#All],9,FALSE))</f>
        <v/>
      </c>
      <c r="J26" s="13" t="str">
        <f>IF(Tableau13[[#This Row],[Repère]]="","",VLOOKUP(Tableau13[[#This Row],[Repère]],Tableau1[#All],10,FALSE))</f>
        <v/>
      </c>
      <c r="K26" s="13" t="str">
        <f>IF(Tableau13[[#This Row],[Repère]]="","",VLOOKUP(Tableau13[[#This Row],[Repère]],Tableau1[#All],11,FALSE))</f>
        <v/>
      </c>
      <c r="L26" s="14" t="str">
        <f>IF(Tableau13[[#This Row],[Repère]]="","",VLOOKUP(Tableau13[[#This Row],[Repère]],Tableau1[#All],12,FALSE))</f>
        <v/>
      </c>
    </row>
    <row r="27" spans="1:12" x14ac:dyDescent="0.3">
      <c r="A27" s="18"/>
      <c r="B27" s="19"/>
      <c r="C27" s="13" t="str">
        <f>IF(Tableau13[[#This Row],[Repère]]="","",VLOOKUP(Tableau13[[#This Row],[Repère]],Tableau1[#All],3,FALSE))</f>
        <v/>
      </c>
      <c r="D27" s="13" t="str">
        <f>IF(Tableau13[[#This Row],[Repère]]="","",VLOOKUP(Tableau13[[#This Row],[Repère]],Tableau1[#All],4,FALSE))</f>
        <v/>
      </c>
      <c r="E27" s="13" t="str">
        <f>IF(Tableau13[[#This Row],[Repère]]="","",VLOOKUP(Tableau13[[#This Row],[Repère]],Tableau1[#All],5,FALSE))</f>
        <v/>
      </c>
      <c r="F27" s="13" t="str">
        <f>IF(Tableau13[[#This Row],[Repère]]="","",VLOOKUP(Tableau13[[#This Row],[Repère]],Tableau1[#All],6,FALSE))</f>
        <v/>
      </c>
      <c r="G27" s="13" t="str">
        <f>IF(Tableau13[[#This Row],[Repère]]="","",VLOOKUP(Tableau13[[#This Row],[Repère]],Tableau1[#All],7,FALSE))</f>
        <v/>
      </c>
      <c r="H27" s="13" t="str">
        <f>IF(Tableau13[[#This Row],[Repère]]="","",VLOOKUP(Tableau13[[#This Row],[Repère]],Tableau1[#All],8,FALSE))</f>
        <v/>
      </c>
      <c r="I27" s="13" t="str">
        <f>IF(Tableau13[[#This Row],[Repère]]="","",VLOOKUP(Tableau13[[#This Row],[Repère]],Tableau1[#All],9,FALSE))</f>
        <v/>
      </c>
      <c r="J27" s="13" t="str">
        <f>IF(Tableau13[[#This Row],[Repère]]="","",VLOOKUP(Tableau13[[#This Row],[Repère]],Tableau1[#All],10,FALSE))</f>
        <v/>
      </c>
      <c r="K27" s="13" t="str">
        <f>IF(Tableau13[[#This Row],[Repère]]="","",VLOOKUP(Tableau13[[#This Row],[Repère]],Tableau1[#All],11,FALSE))</f>
        <v/>
      </c>
      <c r="L27" s="14" t="str">
        <f>IF(Tableau13[[#This Row],[Repère]]="","",VLOOKUP(Tableau13[[#This Row],[Repère]],Tableau1[#All],12,FALSE))</f>
        <v/>
      </c>
    </row>
    <row r="28" spans="1:12" x14ac:dyDescent="0.3">
      <c r="A28" s="18"/>
      <c r="B28" s="19"/>
      <c r="C28" s="13" t="str">
        <f>IF(Tableau13[[#This Row],[Repère]]="","",VLOOKUP(Tableau13[[#This Row],[Repère]],Tableau1[#All],3,FALSE))</f>
        <v/>
      </c>
      <c r="D28" s="13" t="str">
        <f>IF(Tableau13[[#This Row],[Repère]]="","",VLOOKUP(Tableau13[[#This Row],[Repère]],Tableau1[#All],4,FALSE))</f>
        <v/>
      </c>
      <c r="E28" s="13" t="str">
        <f>IF(Tableau13[[#This Row],[Repère]]="","",VLOOKUP(Tableau13[[#This Row],[Repère]],Tableau1[#All],5,FALSE))</f>
        <v/>
      </c>
      <c r="F28" s="13" t="str">
        <f>IF(Tableau13[[#This Row],[Repère]]="","",VLOOKUP(Tableau13[[#This Row],[Repère]],Tableau1[#All],6,FALSE))</f>
        <v/>
      </c>
      <c r="G28" s="13" t="str">
        <f>IF(Tableau13[[#This Row],[Repère]]="","",VLOOKUP(Tableau13[[#This Row],[Repère]],Tableau1[#All],7,FALSE))</f>
        <v/>
      </c>
      <c r="H28" s="13" t="str">
        <f>IF(Tableau13[[#This Row],[Repère]]="","",VLOOKUP(Tableau13[[#This Row],[Repère]],Tableau1[#All],8,FALSE))</f>
        <v/>
      </c>
      <c r="I28" s="13" t="str">
        <f>IF(Tableau13[[#This Row],[Repère]]="","",VLOOKUP(Tableau13[[#This Row],[Repère]],Tableau1[#All],9,FALSE))</f>
        <v/>
      </c>
      <c r="J28" s="13" t="str">
        <f>IF(Tableau13[[#This Row],[Repère]]="","",VLOOKUP(Tableau13[[#This Row],[Repère]],Tableau1[#All],10,FALSE))</f>
        <v/>
      </c>
      <c r="K28" s="13" t="str">
        <f>IF(Tableau13[[#This Row],[Repère]]="","",VLOOKUP(Tableau13[[#This Row],[Repère]],Tableau1[#All],11,FALSE))</f>
        <v/>
      </c>
      <c r="L28" s="14" t="str">
        <f>IF(Tableau13[[#This Row],[Repère]]="","",VLOOKUP(Tableau13[[#This Row],[Repère]],Tableau1[#All],12,FALSE))</f>
        <v/>
      </c>
    </row>
    <row r="29" spans="1:12" x14ac:dyDescent="0.3">
      <c r="A29" s="18"/>
      <c r="B29" s="19"/>
      <c r="C29" s="13" t="str">
        <f>IF(Tableau13[[#This Row],[Repère]]="","",VLOOKUP(Tableau13[[#This Row],[Repère]],Tableau1[#All],3,FALSE))</f>
        <v/>
      </c>
      <c r="D29" s="13" t="str">
        <f>IF(Tableau13[[#This Row],[Repère]]="","",VLOOKUP(Tableau13[[#This Row],[Repère]],Tableau1[#All],4,FALSE))</f>
        <v/>
      </c>
      <c r="E29" s="13" t="str">
        <f>IF(Tableau13[[#This Row],[Repère]]="","",VLOOKUP(Tableau13[[#This Row],[Repère]],Tableau1[#All],5,FALSE))</f>
        <v/>
      </c>
      <c r="F29" s="13" t="str">
        <f>IF(Tableau13[[#This Row],[Repère]]="","",VLOOKUP(Tableau13[[#This Row],[Repère]],Tableau1[#All],6,FALSE))</f>
        <v/>
      </c>
      <c r="G29" s="13" t="str">
        <f>IF(Tableau13[[#This Row],[Repère]]="","",VLOOKUP(Tableau13[[#This Row],[Repère]],Tableau1[#All],7,FALSE))</f>
        <v/>
      </c>
      <c r="H29" s="13" t="str">
        <f>IF(Tableau13[[#This Row],[Repère]]="","",VLOOKUP(Tableau13[[#This Row],[Repère]],Tableau1[#All],8,FALSE))</f>
        <v/>
      </c>
      <c r="I29" s="13" t="str">
        <f>IF(Tableau13[[#This Row],[Repère]]="","",VLOOKUP(Tableau13[[#This Row],[Repère]],Tableau1[#All],9,FALSE))</f>
        <v/>
      </c>
      <c r="J29" s="13" t="str">
        <f>IF(Tableau13[[#This Row],[Repère]]="","",VLOOKUP(Tableau13[[#This Row],[Repère]],Tableau1[#All],10,FALSE))</f>
        <v/>
      </c>
      <c r="K29" s="13" t="str">
        <f>IF(Tableau13[[#This Row],[Repère]]="","",VLOOKUP(Tableau13[[#This Row],[Repère]],Tableau1[#All],11,FALSE))</f>
        <v/>
      </c>
      <c r="L29" s="14" t="str">
        <f>IF(Tableau13[[#This Row],[Repère]]="","",VLOOKUP(Tableau13[[#This Row],[Repère]],Tableau1[#All],12,FALSE))</f>
        <v/>
      </c>
    </row>
    <row r="30" spans="1:12" x14ac:dyDescent="0.3">
      <c r="A30" s="18"/>
      <c r="B30" s="19"/>
      <c r="C30" s="13" t="str">
        <f>IF(Tableau13[[#This Row],[Repère]]="","",VLOOKUP(Tableau13[[#This Row],[Repère]],Tableau1[#All],3,FALSE))</f>
        <v/>
      </c>
      <c r="D30" s="13" t="str">
        <f>IF(Tableau13[[#This Row],[Repère]]="","",VLOOKUP(Tableau13[[#This Row],[Repère]],Tableau1[#All],4,FALSE))</f>
        <v/>
      </c>
      <c r="E30" s="13" t="str">
        <f>IF(Tableau13[[#This Row],[Repère]]="","",VLOOKUP(Tableau13[[#This Row],[Repère]],Tableau1[#All],5,FALSE))</f>
        <v/>
      </c>
      <c r="F30" s="13" t="str">
        <f>IF(Tableau13[[#This Row],[Repère]]="","",VLOOKUP(Tableau13[[#This Row],[Repère]],Tableau1[#All],6,FALSE))</f>
        <v/>
      </c>
      <c r="G30" s="13" t="str">
        <f>IF(Tableau13[[#This Row],[Repère]]="","",VLOOKUP(Tableau13[[#This Row],[Repère]],Tableau1[#All],7,FALSE))</f>
        <v/>
      </c>
      <c r="H30" s="13" t="str">
        <f>IF(Tableau13[[#This Row],[Repère]]="","",VLOOKUP(Tableau13[[#This Row],[Repère]],Tableau1[#All],8,FALSE))</f>
        <v/>
      </c>
      <c r="I30" s="13" t="str">
        <f>IF(Tableau13[[#This Row],[Repère]]="","",VLOOKUP(Tableau13[[#This Row],[Repère]],Tableau1[#All],9,FALSE))</f>
        <v/>
      </c>
      <c r="J30" s="13" t="str">
        <f>IF(Tableau13[[#This Row],[Repère]]="","",VLOOKUP(Tableau13[[#This Row],[Repère]],Tableau1[#All],10,FALSE))</f>
        <v/>
      </c>
      <c r="K30" s="13" t="str">
        <f>IF(Tableau13[[#This Row],[Repère]]="","",VLOOKUP(Tableau13[[#This Row],[Repère]],Tableau1[#All],11,FALSE))</f>
        <v/>
      </c>
      <c r="L30" s="14" t="str">
        <f>IF(Tableau13[[#This Row],[Repère]]="","",VLOOKUP(Tableau13[[#This Row],[Repère]],Tableau1[#All],12,FALSE))</f>
        <v/>
      </c>
    </row>
    <row r="31" spans="1:12" x14ac:dyDescent="0.3">
      <c r="A31" s="18"/>
      <c r="B31" s="19"/>
      <c r="C31" s="13" t="str">
        <f>IF(Tableau13[[#This Row],[Repère]]="","",VLOOKUP(Tableau13[[#This Row],[Repère]],Tableau1[#All],3,FALSE))</f>
        <v/>
      </c>
      <c r="D31" s="13" t="str">
        <f>IF(Tableau13[[#This Row],[Repère]]="","",VLOOKUP(Tableau13[[#This Row],[Repère]],Tableau1[#All],4,FALSE))</f>
        <v/>
      </c>
      <c r="E31" s="13" t="str">
        <f>IF(Tableau13[[#This Row],[Repère]]="","",VLOOKUP(Tableau13[[#This Row],[Repère]],Tableau1[#All],5,FALSE))</f>
        <v/>
      </c>
      <c r="F31" s="13" t="str">
        <f>IF(Tableau13[[#This Row],[Repère]]="","",VLOOKUP(Tableau13[[#This Row],[Repère]],Tableau1[#All],6,FALSE))</f>
        <v/>
      </c>
      <c r="G31" s="13" t="str">
        <f>IF(Tableau13[[#This Row],[Repère]]="","",VLOOKUP(Tableau13[[#This Row],[Repère]],Tableau1[#All],7,FALSE))</f>
        <v/>
      </c>
      <c r="H31" s="13" t="str">
        <f>IF(Tableau13[[#This Row],[Repère]]="","",VLOOKUP(Tableau13[[#This Row],[Repère]],Tableau1[#All],8,FALSE))</f>
        <v/>
      </c>
      <c r="I31" s="13" t="str">
        <f>IF(Tableau13[[#This Row],[Repère]]="","",VLOOKUP(Tableau13[[#This Row],[Repère]],Tableau1[#All],9,FALSE))</f>
        <v/>
      </c>
      <c r="J31" s="13" t="str">
        <f>IF(Tableau13[[#This Row],[Repère]]="","",VLOOKUP(Tableau13[[#This Row],[Repère]],Tableau1[#All],10,FALSE))</f>
        <v/>
      </c>
      <c r="K31" s="13" t="str">
        <f>IF(Tableau13[[#This Row],[Repère]]="","",VLOOKUP(Tableau13[[#This Row],[Repère]],Tableau1[#All],11,FALSE))</f>
        <v/>
      </c>
      <c r="L31" s="14" t="str">
        <f>IF(Tableau13[[#This Row],[Repère]]="","",VLOOKUP(Tableau13[[#This Row],[Repère]],Tableau1[#All],12,FALSE))</f>
        <v/>
      </c>
    </row>
    <row r="32" spans="1:12" x14ac:dyDescent="0.3">
      <c r="A32" s="18"/>
      <c r="B32" s="19"/>
      <c r="C32" s="13" t="str">
        <f>IF(Tableau13[[#This Row],[Repère]]="","",VLOOKUP(Tableau13[[#This Row],[Repère]],Tableau1[#All],3,FALSE))</f>
        <v/>
      </c>
      <c r="D32" s="13" t="str">
        <f>IF(Tableau13[[#This Row],[Repère]]="","",VLOOKUP(Tableau13[[#This Row],[Repère]],Tableau1[#All],4,FALSE))</f>
        <v/>
      </c>
      <c r="E32" s="13" t="str">
        <f>IF(Tableau13[[#This Row],[Repère]]="","",VLOOKUP(Tableau13[[#This Row],[Repère]],Tableau1[#All],5,FALSE))</f>
        <v/>
      </c>
      <c r="F32" s="13" t="str">
        <f>IF(Tableau13[[#This Row],[Repère]]="","",VLOOKUP(Tableau13[[#This Row],[Repère]],Tableau1[#All],6,FALSE))</f>
        <v/>
      </c>
      <c r="G32" s="13" t="str">
        <f>IF(Tableau13[[#This Row],[Repère]]="","",VLOOKUP(Tableau13[[#This Row],[Repère]],Tableau1[#All],7,FALSE))</f>
        <v/>
      </c>
      <c r="H32" s="13" t="str">
        <f>IF(Tableau13[[#This Row],[Repère]]="","",VLOOKUP(Tableau13[[#This Row],[Repère]],Tableau1[#All],8,FALSE))</f>
        <v/>
      </c>
      <c r="I32" s="13" t="str">
        <f>IF(Tableau13[[#This Row],[Repère]]="","",VLOOKUP(Tableau13[[#This Row],[Repère]],Tableau1[#All],9,FALSE))</f>
        <v/>
      </c>
      <c r="J32" s="13" t="str">
        <f>IF(Tableau13[[#This Row],[Repère]]="","",VLOOKUP(Tableau13[[#This Row],[Repère]],Tableau1[#All],10,FALSE))</f>
        <v/>
      </c>
      <c r="K32" s="13" t="str">
        <f>IF(Tableau13[[#This Row],[Repère]]="","",VLOOKUP(Tableau13[[#This Row],[Repère]],Tableau1[#All],11,FALSE))</f>
        <v/>
      </c>
      <c r="L32" s="14" t="str">
        <f>IF(Tableau13[[#This Row],[Repère]]="","",VLOOKUP(Tableau13[[#This Row],[Repère]],Tableau1[#All],12,FALSE))</f>
        <v/>
      </c>
    </row>
    <row r="33" spans="1:12" x14ac:dyDescent="0.3">
      <c r="A33" s="18"/>
      <c r="B33" s="19"/>
      <c r="C33" s="13" t="str">
        <f>IF(Tableau13[[#This Row],[Repère]]="","",VLOOKUP(Tableau13[[#This Row],[Repère]],Tableau1[#All],3,FALSE))</f>
        <v/>
      </c>
      <c r="D33" s="13" t="str">
        <f>IF(Tableau13[[#This Row],[Repère]]="","",VLOOKUP(Tableau13[[#This Row],[Repère]],Tableau1[#All],4,FALSE))</f>
        <v/>
      </c>
      <c r="E33" s="13" t="str">
        <f>IF(Tableau13[[#This Row],[Repère]]="","",VLOOKUP(Tableau13[[#This Row],[Repère]],Tableau1[#All],5,FALSE))</f>
        <v/>
      </c>
      <c r="F33" s="13" t="str">
        <f>IF(Tableau13[[#This Row],[Repère]]="","",VLOOKUP(Tableau13[[#This Row],[Repère]],Tableau1[#All],6,FALSE))</f>
        <v/>
      </c>
      <c r="G33" s="13" t="str">
        <f>IF(Tableau13[[#This Row],[Repère]]="","",VLOOKUP(Tableau13[[#This Row],[Repère]],Tableau1[#All],7,FALSE))</f>
        <v/>
      </c>
      <c r="H33" s="13" t="str">
        <f>IF(Tableau13[[#This Row],[Repère]]="","",VLOOKUP(Tableau13[[#This Row],[Repère]],Tableau1[#All],8,FALSE))</f>
        <v/>
      </c>
      <c r="I33" s="13" t="str">
        <f>IF(Tableau13[[#This Row],[Repère]]="","",VLOOKUP(Tableau13[[#This Row],[Repère]],Tableau1[#All],9,FALSE))</f>
        <v/>
      </c>
      <c r="J33" s="13" t="str">
        <f>IF(Tableau13[[#This Row],[Repère]]="","",VLOOKUP(Tableau13[[#This Row],[Repère]],Tableau1[#All],10,FALSE))</f>
        <v/>
      </c>
      <c r="K33" s="13" t="str">
        <f>IF(Tableau13[[#This Row],[Repère]]="","",VLOOKUP(Tableau13[[#This Row],[Repère]],Tableau1[#All],11,FALSE))</f>
        <v/>
      </c>
      <c r="L33" s="14" t="str">
        <f>IF(Tableau13[[#This Row],[Repère]]="","",VLOOKUP(Tableau13[[#This Row],[Repère]],Tableau1[#All],12,FALSE))</f>
        <v/>
      </c>
    </row>
    <row r="34" spans="1:12" x14ac:dyDescent="0.3">
      <c r="A34" s="18"/>
      <c r="B34" s="19"/>
      <c r="C34" s="13" t="str">
        <f>IF(Tableau13[[#This Row],[Repère]]="","",VLOOKUP(Tableau13[[#This Row],[Repère]],Tableau1[#All],3,FALSE))</f>
        <v/>
      </c>
      <c r="D34" s="13" t="str">
        <f>IF(Tableau13[[#This Row],[Repère]]="","",VLOOKUP(Tableau13[[#This Row],[Repère]],Tableau1[#All],4,FALSE))</f>
        <v/>
      </c>
      <c r="E34" s="13" t="str">
        <f>IF(Tableau13[[#This Row],[Repère]]="","",VLOOKUP(Tableau13[[#This Row],[Repère]],Tableau1[#All],5,FALSE))</f>
        <v/>
      </c>
      <c r="F34" s="13" t="str">
        <f>IF(Tableau13[[#This Row],[Repère]]="","",VLOOKUP(Tableau13[[#This Row],[Repère]],Tableau1[#All],6,FALSE))</f>
        <v/>
      </c>
      <c r="G34" s="13" t="str">
        <f>IF(Tableau13[[#This Row],[Repère]]="","",VLOOKUP(Tableau13[[#This Row],[Repère]],Tableau1[#All],7,FALSE))</f>
        <v/>
      </c>
      <c r="H34" s="13" t="str">
        <f>IF(Tableau13[[#This Row],[Repère]]="","",VLOOKUP(Tableau13[[#This Row],[Repère]],Tableau1[#All],8,FALSE))</f>
        <v/>
      </c>
      <c r="I34" s="13" t="str">
        <f>IF(Tableau13[[#This Row],[Repère]]="","",VLOOKUP(Tableau13[[#This Row],[Repère]],Tableau1[#All],9,FALSE))</f>
        <v/>
      </c>
      <c r="J34" s="13" t="str">
        <f>IF(Tableau13[[#This Row],[Repère]]="","",VLOOKUP(Tableau13[[#This Row],[Repère]],Tableau1[#All],10,FALSE))</f>
        <v/>
      </c>
      <c r="K34" s="13" t="str">
        <f>IF(Tableau13[[#This Row],[Repère]]="","",VLOOKUP(Tableau13[[#This Row],[Repère]],Tableau1[#All],11,FALSE))</f>
        <v/>
      </c>
      <c r="L34" s="14" t="str">
        <f>IF(Tableau13[[#This Row],[Repère]]="","",VLOOKUP(Tableau13[[#This Row],[Repère]],Tableau1[#All],12,FALSE))</f>
        <v/>
      </c>
    </row>
    <row r="35" spans="1:12" x14ac:dyDescent="0.3">
      <c r="A35" s="18"/>
      <c r="B35" s="19"/>
      <c r="C35" s="13" t="str">
        <f>IF(Tableau13[[#This Row],[Repère]]="","",VLOOKUP(Tableau13[[#This Row],[Repère]],Tableau1[#All],3,FALSE))</f>
        <v/>
      </c>
      <c r="D35" s="13" t="str">
        <f>IF(Tableau13[[#This Row],[Repère]]="","",VLOOKUP(Tableau13[[#This Row],[Repère]],Tableau1[#All],4,FALSE))</f>
        <v/>
      </c>
      <c r="E35" s="13" t="str">
        <f>IF(Tableau13[[#This Row],[Repère]]="","",VLOOKUP(Tableau13[[#This Row],[Repère]],Tableau1[#All],5,FALSE))</f>
        <v/>
      </c>
      <c r="F35" s="13" t="str">
        <f>IF(Tableau13[[#This Row],[Repère]]="","",VLOOKUP(Tableau13[[#This Row],[Repère]],Tableau1[#All],6,FALSE))</f>
        <v/>
      </c>
      <c r="G35" s="13" t="str">
        <f>IF(Tableau13[[#This Row],[Repère]]="","",VLOOKUP(Tableau13[[#This Row],[Repère]],Tableau1[#All],7,FALSE))</f>
        <v/>
      </c>
      <c r="H35" s="13" t="str">
        <f>IF(Tableau13[[#This Row],[Repère]]="","",VLOOKUP(Tableau13[[#This Row],[Repère]],Tableau1[#All],8,FALSE))</f>
        <v/>
      </c>
      <c r="I35" s="13" t="str">
        <f>IF(Tableau13[[#This Row],[Repère]]="","",VLOOKUP(Tableau13[[#This Row],[Repère]],Tableau1[#All],9,FALSE))</f>
        <v/>
      </c>
      <c r="J35" s="13" t="str">
        <f>IF(Tableau13[[#This Row],[Repère]]="","",VLOOKUP(Tableau13[[#This Row],[Repère]],Tableau1[#All],10,FALSE))</f>
        <v/>
      </c>
      <c r="K35" s="13" t="str">
        <f>IF(Tableau13[[#This Row],[Repère]]="","",VLOOKUP(Tableau13[[#This Row],[Repère]],Tableau1[#All],11,FALSE))</f>
        <v/>
      </c>
      <c r="L35" s="14" t="str">
        <f>IF(Tableau13[[#This Row],[Repère]]="","",VLOOKUP(Tableau13[[#This Row],[Repère]],Tableau1[#All],12,FALSE))</f>
        <v/>
      </c>
    </row>
    <row r="36" spans="1:12" x14ac:dyDescent="0.3">
      <c r="A36" s="18"/>
      <c r="B36" s="19"/>
      <c r="C36" s="13" t="str">
        <f>IF(Tableau13[[#This Row],[Repère]]="","",VLOOKUP(Tableau13[[#This Row],[Repère]],Tableau1[#All],3,FALSE))</f>
        <v/>
      </c>
      <c r="D36" s="13" t="str">
        <f>IF(Tableau13[[#This Row],[Repère]]="","",VLOOKUP(Tableau13[[#This Row],[Repère]],Tableau1[#All],4,FALSE))</f>
        <v/>
      </c>
      <c r="E36" s="13" t="str">
        <f>IF(Tableau13[[#This Row],[Repère]]="","",VLOOKUP(Tableau13[[#This Row],[Repère]],Tableau1[#All],5,FALSE))</f>
        <v/>
      </c>
      <c r="F36" s="13" t="str">
        <f>IF(Tableau13[[#This Row],[Repère]]="","",VLOOKUP(Tableau13[[#This Row],[Repère]],Tableau1[#All],6,FALSE))</f>
        <v/>
      </c>
      <c r="G36" s="13" t="str">
        <f>IF(Tableau13[[#This Row],[Repère]]="","",VLOOKUP(Tableau13[[#This Row],[Repère]],Tableau1[#All],7,FALSE))</f>
        <v/>
      </c>
      <c r="H36" s="13" t="str">
        <f>IF(Tableau13[[#This Row],[Repère]]="","",VLOOKUP(Tableau13[[#This Row],[Repère]],Tableau1[#All],8,FALSE))</f>
        <v/>
      </c>
      <c r="I36" s="13" t="str">
        <f>IF(Tableau13[[#This Row],[Repère]]="","",VLOOKUP(Tableau13[[#This Row],[Repère]],Tableau1[#All],9,FALSE))</f>
        <v/>
      </c>
      <c r="J36" s="13" t="str">
        <f>IF(Tableau13[[#This Row],[Repère]]="","",VLOOKUP(Tableau13[[#This Row],[Repère]],Tableau1[#All],10,FALSE))</f>
        <v/>
      </c>
      <c r="K36" s="13" t="str">
        <f>IF(Tableau13[[#This Row],[Repère]]="","",VLOOKUP(Tableau13[[#This Row],[Repère]],Tableau1[#All],11,FALSE))</f>
        <v/>
      </c>
      <c r="L36" s="14" t="str">
        <f>IF(Tableau13[[#This Row],[Repère]]="","",VLOOKUP(Tableau13[[#This Row],[Repère]],Tableau1[#All],12,FALSE))</f>
        <v/>
      </c>
    </row>
    <row r="37" spans="1:12" x14ac:dyDescent="0.3">
      <c r="A37" s="18"/>
      <c r="B37" s="19"/>
      <c r="C37" s="13" t="str">
        <f>IF(Tableau13[[#This Row],[Repère]]="","",VLOOKUP(Tableau13[[#This Row],[Repère]],Tableau1[#All],3,FALSE))</f>
        <v/>
      </c>
      <c r="D37" s="13" t="str">
        <f>IF(Tableau13[[#This Row],[Repère]]="","",VLOOKUP(Tableau13[[#This Row],[Repère]],Tableau1[#All],4,FALSE))</f>
        <v/>
      </c>
      <c r="E37" s="13" t="str">
        <f>IF(Tableau13[[#This Row],[Repère]]="","",VLOOKUP(Tableau13[[#This Row],[Repère]],Tableau1[#All],5,FALSE))</f>
        <v/>
      </c>
      <c r="F37" s="13" t="str">
        <f>IF(Tableau13[[#This Row],[Repère]]="","",VLOOKUP(Tableau13[[#This Row],[Repère]],Tableau1[#All],6,FALSE))</f>
        <v/>
      </c>
      <c r="G37" s="13" t="str">
        <f>IF(Tableau13[[#This Row],[Repère]]="","",VLOOKUP(Tableau13[[#This Row],[Repère]],Tableau1[#All],7,FALSE))</f>
        <v/>
      </c>
      <c r="H37" s="13" t="str">
        <f>IF(Tableau13[[#This Row],[Repère]]="","",VLOOKUP(Tableau13[[#This Row],[Repère]],Tableau1[#All],8,FALSE))</f>
        <v/>
      </c>
      <c r="I37" s="13" t="str">
        <f>IF(Tableau13[[#This Row],[Repère]]="","",VLOOKUP(Tableau13[[#This Row],[Repère]],Tableau1[#All],9,FALSE))</f>
        <v/>
      </c>
      <c r="J37" s="13" t="str">
        <f>IF(Tableau13[[#This Row],[Repère]]="","",VLOOKUP(Tableau13[[#This Row],[Repère]],Tableau1[#All],10,FALSE))</f>
        <v/>
      </c>
      <c r="K37" s="13" t="str">
        <f>IF(Tableau13[[#This Row],[Repère]]="","",VLOOKUP(Tableau13[[#This Row],[Repère]],Tableau1[#All],11,FALSE))</f>
        <v/>
      </c>
      <c r="L37" s="14" t="str">
        <f>IF(Tableau13[[#This Row],[Repère]]="","",VLOOKUP(Tableau13[[#This Row],[Repère]],Tableau1[#All],12,FALSE))</f>
        <v/>
      </c>
    </row>
    <row r="38" spans="1:12" x14ac:dyDescent="0.3">
      <c r="A38" s="18"/>
      <c r="B38" s="19"/>
      <c r="C38" s="13" t="str">
        <f>IF(Tableau13[[#This Row],[Repère]]="","",VLOOKUP(Tableau13[[#This Row],[Repère]],Tableau1[#All],3,FALSE))</f>
        <v/>
      </c>
      <c r="D38" s="13" t="str">
        <f>IF(Tableau13[[#This Row],[Repère]]="","",VLOOKUP(Tableau13[[#This Row],[Repère]],Tableau1[#All],4,FALSE))</f>
        <v/>
      </c>
      <c r="E38" s="13" t="str">
        <f>IF(Tableau13[[#This Row],[Repère]]="","",VLOOKUP(Tableau13[[#This Row],[Repère]],Tableau1[#All],5,FALSE))</f>
        <v/>
      </c>
      <c r="F38" s="13" t="str">
        <f>IF(Tableau13[[#This Row],[Repère]]="","",VLOOKUP(Tableau13[[#This Row],[Repère]],Tableau1[#All],6,FALSE))</f>
        <v/>
      </c>
      <c r="G38" s="13" t="str">
        <f>IF(Tableau13[[#This Row],[Repère]]="","",VLOOKUP(Tableau13[[#This Row],[Repère]],Tableau1[#All],7,FALSE))</f>
        <v/>
      </c>
      <c r="H38" s="13" t="str">
        <f>IF(Tableau13[[#This Row],[Repère]]="","",VLOOKUP(Tableau13[[#This Row],[Repère]],Tableau1[#All],8,FALSE))</f>
        <v/>
      </c>
      <c r="I38" s="13" t="str">
        <f>IF(Tableau13[[#This Row],[Repère]]="","",VLOOKUP(Tableau13[[#This Row],[Repère]],Tableau1[#All],9,FALSE))</f>
        <v/>
      </c>
      <c r="J38" s="13" t="str">
        <f>IF(Tableau13[[#This Row],[Repère]]="","",VLOOKUP(Tableau13[[#This Row],[Repère]],Tableau1[#All],10,FALSE))</f>
        <v/>
      </c>
      <c r="K38" s="13" t="str">
        <f>IF(Tableau13[[#This Row],[Repère]]="","",VLOOKUP(Tableau13[[#This Row],[Repère]],Tableau1[#All],11,FALSE))</f>
        <v/>
      </c>
      <c r="L38" s="14" t="str">
        <f>IF(Tableau13[[#This Row],[Repère]]="","",VLOOKUP(Tableau13[[#This Row],[Repère]],Tableau1[#All],12,FALSE))</f>
        <v/>
      </c>
    </row>
    <row r="39" spans="1:12" x14ac:dyDescent="0.3">
      <c r="A39" s="18"/>
      <c r="B39" s="19"/>
      <c r="C39" s="13" t="str">
        <f>IF(Tableau13[[#This Row],[Repère]]="","",VLOOKUP(Tableau13[[#This Row],[Repère]],Tableau1[#All],3,FALSE))</f>
        <v/>
      </c>
      <c r="D39" s="13" t="str">
        <f>IF(Tableau13[[#This Row],[Repère]]="","",VLOOKUP(Tableau13[[#This Row],[Repère]],Tableau1[#All],4,FALSE))</f>
        <v/>
      </c>
      <c r="E39" s="13" t="str">
        <f>IF(Tableau13[[#This Row],[Repère]]="","",VLOOKUP(Tableau13[[#This Row],[Repère]],Tableau1[#All],5,FALSE))</f>
        <v/>
      </c>
      <c r="F39" s="13" t="str">
        <f>IF(Tableau13[[#This Row],[Repère]]="","",VLOOKUP(Tableau13[[#This Row],[Repère]],Tableau1[#All],6,FALSE))</f>
        <v/>
      </c>
      <c r="G39" s="13" t="str">
        <f>IF(Tableau13[[#This Row],[Repère]]="","",VLOOKUP(Tableau13[[#This Row],[Repère]],Tableau1[#All],7,FALSE))</f>
        <v/>
      </c>
      <c r="H39" s="13" t="str">
        <f>IF(Tableau13[[#This Row],[Repère]]="","",VLOOKUP(Tableau13[[#This Row],[Repère]],Tableau1[#All],8,FALSE))</f>
        <v/>
      </c>
      <c r="I39" s="13" t="str">
        <f>IF(Tableau13[[#This Row],[Repère]]="","",VLOOKUP(Tableau13[[#This Row],[Repère]],Tableau1[#All],9,FALSE))</f>
        <v/>
      </c>
      <c r="J39" s="13" t="str">
        <f>IF(Tableau13[[#This Row],[Repère]]="","",VLOOKUP(Tableau13[[#This Row],[Repère]],Tableau1[#All],10,FALSE))</f>
        <v/>
      </c>
      <c r="K39" s="13" t="str">
        <f>IF(Tableau13[[#This Row],[Repère]]="","",VLOOKUP(Tableau13[[#This Row],[Repère]],Tableau1[#All],11,FALSE))</f>
        <v/>
      </c>
      <c r="L39" s="14" t="str">
        <f>IF(Tableau13[[#This Row],[Repère]]="","",VLOOKUP(Tableau13[[#This Row],[Repère]],Tableau1[#All],12,FALSE))</f>
        <v/>
      </c>
    </row>
    <row r="40" spans="1:12" x14ac:dyDescent="0.3">
      <c r="A40" s="18"/>
      <c r="B40" s="19"/>
      <c r="C40" s="13" t="str">
        <f>IF(Tableau13[[#This Row],[Repère]]="","",VLOOKUP(Tableau13[[#This Row],[Repère]],Tableau1[#All],3,FALSE))</f>
        <v/>
      </c>
      <c r="D40" s="13" t="str">
        <f>IF(Tableau13[[#This Row],[Repère]]="","",VLOOKUP(Tableau13[[#This Row],[Repère]],Tableau1[#All],4,FALSE))</f>
        <v/>
      </c>
      <c r="E40" s="13" t="str">
        <f>IF(Tableau13[[#This Row],[Repère]]="","",VLOOKUP(Tableau13[[#This Row],[Repère]],Tableau1[#All],5,FALSE))</f>
        <v/>
      </c>
      <c r="F40" s="13" t="str">
        <f>IF(Tableau13[[#This Row],[Repère]]="","",VLOOKUP(Tableau13[[#This Row],[Repère]],Tableau1[#All],6,FALSE))</f>
        <v/>
      </c>
      <c r="G40" s="13" t="str">
        <f>IF(Tableau13[[#This Row],[Repère]]="","",VLOOKUP(Tableau13[[#This Row],[Repère]],Tableau1[#All],7,FALSE))</f>
        <v/>
      </c>
      <c r="H40" s="13" t="str">
        <f>IF(Tableau13[[#This Row],[Repère]]="","",VLOOKUP(Tableau13[[#This Row],[Repère]],Tableau1[#All],8,FALSE))</f>
        <v/>
      </c>
      <c r="I40" s="13" t="str">
        <f>IF(Tableau13[[#This Row],[Repère]]="","",VLOOKUP(Tableau13[[#This Row],[Repère]],Tableau1[#All],9,FALSE))</f>
        <v/>
      </c>
      <c r="J40" s="13" t="str">
        <f>IF(Tableau13[[#This Row],[Repère]]="","",VLOOKUP(Tableau13[[#This Row],[Repère]],Tableau1[#All],10,FALSE))</f>
        <v/>
      </c>
      <c r="K40" s="13" t="str">
        <f>IF(Tableau13[[#This Row],[Repère]]="","",VLOOKUP(Tableau13[[#This Row],[Repère]],Tableau1[#All],11,FALSE))</f>
        <v/>
      </c>
      <c r="L40" s="14" t="str">
        <f>IF(Tableau13[[#This Row],[Repère]]="","",VLOOKUP(Tableau13[[#This Row],[Repère]],Tableau1[#All],12,FALSE))</f>
        <v/>
      </c>
    </row>
    <row r="41" spans="1:12" x14ac:dyDescent="0.3">
      <c r="A41" s="18"/>
      <c r="B41" s="19"/>
      <c r="C41" s="13" t="str">
        <f>IF(Tableau13[[#This Row],[Repère]]="","",VLOOKUP(Tableau13[[#This Row],[Repère]],Tableau1[#All],3,FALSE))</f>
        <v/>
      </c>
      <c r="D41" s="13" t="str">
        <f>IF(Tableau13[[#This Row],[Repère]]="","",VLOOKUP(Tableau13[[#This Row],[Repère]],Tableau1[#All],4,FALSE))</f>
        <v/>
      </c>
      <c r="E41" s="13" t="str">
        <f>IF(Tableau13[[#This Row],[Repère]]="","",VLOOKUP(Tableau13[[#This Row],[Repère]],Tableau1[#All],5,FALSE))</f>
        <v/>
      </c>
      <c r="F41" s="13" t="str">
        <f>IF(Tableau13[[#This Row],[Repère]]="","",VLOOKUP(Tableau13[[#This Row],[Repère]],Tableau1[#All],6,FALSE))</f>
        <v/>
      </c>
      <c r="G41" s="13" t="str">
        <f>IF(Tableau13[[#This Row],[Repère]]="","",VLOOKUP(Tableau13[[#This Row],[Repère]],Tableau1[#All],7,FALSE))</f>
        <v/>
      </c>
      <c r="H41" s="13" t="str">
        <f>IF(Tableau13[[#This Row],[Repère]]="","",VLOOKUP(Tableau13[[#This Row],[Repère]],Tableau1[#All],8,FALSE))</f>
        <v/>
      </c>
      <c r="I41" s="13" t="str">
        <f>IF(Tableau13[[#This Row],[Repère]]="","",VLOOKUP(Tableau13[[#This Row],[Repère]],Tableau1[#All],9,FALSE))</f>
        <v/>
      </c>
      <c r="J41" s="13" t="str">
        <f>IF(Tableau13[[#This Row],[Repère]]="","",VLOOKUP(Tableau13[[#This Row],[Repère]],Tableau1[#All],10,FALSE))</f>
        <v/>
      </c>
      <c r="K41" s="13" t="str">
        <f>IF(Tableau13[[#This Row],[Repère]]="","",VLOOKUP(Tableau13[[#This Row],[Repère]],Tableau1[#All],11,FALSE))</f>
        <v/>
      </c>
      <c r="L41" s="14" t="str">
        <f>IF(Tableau13[[#This Row],[Repère]]="","",VLOOKUP(Tableau13[[#This Row],[Repère]],Tableau1[#All],12,FALSE))</f>
        <v/>
      </c>
    </row>
    <row r="42" spans="1:12" x14ac:dyDescent="0.3">
      <c r="A42" s="18"/>
      <c r="B42" s="19"/>
      <c r="C42" s="13" t="str">
        <f>IF(Tableau13[[#This Row],[Repère]]="","",VLOOKUP(Tableau13[[#This Row],[Repère]],Tableau1[#All],3,FALSE))</f>
        <v/>
      </c>
      <c r="D42" s="13" t="str">
        <f>IF(Tableau13[[#This Row],[Repère]]="","",VLOOKUP(Tableau13[[#This Row],[Repère]],Tableau1[#All],4,FALSE))</f>
        <v/>
      </c>
      <c r="E42" s="13" t="str">
        <f>IF(Tableau13[[#This Row],[Repère]]="","",VLOOKUP(Tableau13[[#This Row],[Repère]],Tableau1[#All],5,FALSE))</f>
        <v/>
      </c>
      <c r="F42" s="13" t="str">
        <f>IF(Tableau13[[#This Row],[Repère]]="","",VLOOKUP(Tableau13[[#This Row],[Repère]],Tableau1[#All],6,FALSE))</f>
        <v/>
      </c>
      <c r="G42" s="13" t="str">
        <f>IF(Tableau13[[#This Row],[Repère]]="","",VLOOKUP(Tableau13[[#This Row],[Repère]],Tableau1[#All],7,FALSE))</f>
        <v/>
      </c>
      <c r="H42" s="13" t="str">
        <f>IF(Tableau13[[#This Row],[Repère]]="","",VLOOKUP(Tableau13[[#This Row],[Repère]],Tableau1[#All],8,FALSE))</f>
        <v/>
      </c>
      <c r="I42" s="13" t="str">
        <f>IF(Tableau13[[#This Row],[Repère]]="","",VLOOKUP(Tableau13[[#This Row],[Repère]],Tableau1[#All],9,FALSE))</f>
        <v/>
      </c>
      <c r="J42" s="13" t="str">
        <f>IF(Tableau13[[#This Row],[Repère]]="","",VLOOKUP(Tableau13[[#This Row],[Repère]],Tableau1[#All],10,FALSE))</f>
        <v/>
      </c>
      <c r="K42" s="13" t="str">
        <f>IF(Tableau13[[#This Row],[Repère]]="","",VLOOKUP(Tableau13[[#This Row],[Repère]],Tableau1[#All],11,FALSE))</f>
        <v/>
      </c>
      <c r="L42" s="14" t="str">
        <f>IF(Tableau13[[#This Row],[Repère]]="","",VLOOKUP(Tableau13[[#This Row],[Repère]],Tableau1[#All],12,FALSE))</f>
        <v/>
      </c>
    </row>
    <row r="43" spans="1:12" x14ac:dyDescent="0.3">
      <c r="A43" s="18"/>
      <c r="B43" s="19"/>
      <c r="C43" s="13" t="str">
        <f>IF(Tableau13[[#This Row],[Repère]]="","",VLOOKUP(Tableau13[[#This Row],[Repère]],Tableau1[#All],3,FALSE))</f>
        <v/>
      </c>
      <c r="D43" s="13" t="str">
        <f>IF(Tableau13[[#This Row],[Repère]]="","",VLOOKUP(Tableau13[[#This Row],[Repère]],Tableau1[#All],4,FALSE))</f>
        <v/>
      </c>
      <c r="E43" s="13" t="str">
        <f>IF(Tableau13[[#This Row],[Repère]]="","",VLOOKUP(Tableau13[[#This Row],[Repère]],Tableau1[#All],5,FALSE))</f>
        <v/>
      </c>
      <c r="F43" s="13" t="str">
        <f>IF(Tableau13[[#This Row],[Repère]]="","",VLOOKUP(Tableau13[[#This Row],[Repère]],Tableau1[#All],6,FALSE))</f>
        <v/>
      </c>
      <c r="G43" s="13" t="str">
        <f>IF(Tableau13[[#This Row],[Repère]]="","",VLOOKUP(Tableau13[[#This Row],[Repère]],Tableau1[#All],7,FALSE))</f>
        <v/>
      </c>
      <c r="H43" s="13" t="str">
        <f>IF(Tableau13[[#This Row],[Repère]]="","",VLOOKUP(Tableau13[[#This Row],[Repère]],Tableau1[#All],8,FALSE))</f>
        <v/>
      </c>
      <c r="I43" s="13" t="str">
        <f>IF(Tableau13[[#This Row],[Repère]]="","",VLOOKUP(Tableau13[[#This Row],[Repère]],Tableau1[#All],9,FALSE))</f>
        <v/>
      </c>
      <c r="J43" s="13" t="str">
        <f>IF(Tableau13[[#This Row],[Repère]]="","",VLOOKUP(Tableau13[[#This Row],[Repère]],Tableau1[#All],10,FALSE))</f>
        <v/>
      </c>
      <c r="K43" s="13" t="str">
        <f>IF(Tableau13[[#This Row],[Repère]]="","",VLOOKUP(Tableau13[[#This Row],[Repère]],Tableau1[#All],11,FALSE))</f>
        <v/>
      </c>
      <c r="L43" s="14" t="str">
        <f>IF(Tableau13[[#This Row],[Repère]]="","",VLOOKUP(Tableau13[[#This Row],[Repère]],Tableau1[#All],12,FALSE))</f>
        <v/>
      </c>
    </row>
    <row r="44" spans="1:12" x14ac:dyDescent="0.3">
      <c r="A44" s="18"/>
      <c r="B44" s="19"/>
      <c r="C44" s="13" t="str">
        <f>IF(Tableau13[[#This Row],[Repère]]="","",VLOOKUP(Tableau13[[#This Row],[Repère]],Tableau1[#All],3,FALSE))</f>
        <v/>
      </c>
      <c r="D44" s="13" t="str">
        <f>IF(Tableau13[[#This Row],[Repère]]="","",VLOOKUP(Tableau13[[#This Row],[Repère]],Tableau1[#All],4,FALSE))</f>
        <v/>
      </c>
      <c r="E44" s="13" t="str">
        <f>IF(Tableau13[[#This Row],[Repère]]="","",VLOOKUP(Tableau13[[#This Row],[Repère]],Tableau1[#All],5,FALSE))</f>
        <v/>
      </c>
      <c r="F44" s="13" t="str">
        <f>IF(Tableau13[[#This Row],[Repère]]="","",VLOOKUP(Tableau13[[#This Row],[Repère]],Tableau1[#All],6,FALSE))</f>
        <v/>
      </c>
      <c r="G44" s="13" t="str">
        <f>IF(Tableau13[[#This Row],[Repère]]="","",VLOOKUP(Tableau13[[#This Row],[Repère]],Tableau1[#All],7,FALSE))</f>
        <v/>
      </c>
      <c r="H44" s="13" t="str">
        <f>IF(Tableau13[[#This Row],[Repère]]="","",VLOOKUP(Tableau13[[#This Row],[Repère]],Tableau1[#All],8,FALSE))</f>
        <v/>
      </c>
      <c r="I44" s="13" t="str">
        <f>IF(Tableau13[[#This Row],[Repère]]="","",VLOOKUP(Tableau13[[#This Row],[Repère]],Tableau1[#All],9,FALSE))</f>
        <v/>
      </c>
      <c r="J44" s="13" t="str">
        <f>IF(Tableau13[[#This Row],[Repère]]="","",VLOOKUP(Tableau13[[#This Row],[Repère]],Tableau1[#All],10,FALSE))</f>
        <v/>
      </c>
      <c r="K44" s="13" t="str">
        <f>IF(Tableau13[[#This Row],[Repère]]="","",VLOOKUP(Tableau13[[#This Row],[Repère]],Tableau1[#All],11,FALSE))</f>
        <v/>
      </c>
      <c r="L44" s="14" t="str">
        <f>IF(Tableau13[[#This Row],[Repère]]="","",VLOOKUP(Tableau13[[#This Row],[Repère]],Tableau1[#All],12,FALSE))</f>
        <v/>
      </c>
    </row>
    <row r="45" spans="1:12" x14ac:dyDescent="0.3">
      <c r="A45" s="18"/>
      <c r="B45" s="19"/>
      <c r="C45" s="13" t="str">
        <f>IF(Tableau13[[#This Row],[Repère]]="","",VLOOKUP(Tableau13[[#This Row],[Repère]],Tableau1[#All],3,FALSE))</f>
        <v/>
      </c>
      <c r="D45" s="13" t="str">
        <f>IF(Tableau13[[#This Row],[Repère]]="","",VLOOKUP(Tableau13[[#This Row],[Repère]],Tableau1[#All],4,FALSE))</f>
        <v/>
      </c>
      <c r="E45" s="13" t="str">
        <f>IF(Tableau13[[#This Row],[Repère]]="","",VLOOKUP(Tableau13[[#This Row],[Repère]],Tableau1[#All],5,FALSE))</f>
        <v/>
      </c>
      <c r="F45" s="13" t="str">
        <f>IF(Tableau13[[#This Row],[Repère]]="","",VLOOKUP(Tableau13[[#This Row],[Repère]],Tableau1[#All],6,FALSE))</f>
        <v/>
      </c>
      <c r="G45" s="13" t="str">
        <f>IF(Tableau13[[#This Row],[Repère]]="","",VLOOKUP(Tableau13[[#This Row],[Repère]],Tableau1[#All],7,FALSE))</f>
        <v/>
      </c>
      <c r="H45" s="13" t="str">
        <f>IF(Tableau13[[#This Row],[Repère]]="","",VLOOKUP(Tableau13[[#This Row],[Repère]],Tableau1[#All],8,FALSE))</f>
        <v/>
      </c>
      <c r="I45" s="13" t="str">
        <f>IF(Tableau13[[#This Row],[Repère]]="","",VLOOKUP(Tableau13[[#This Row],[Repère]],Tableau1[#All],9,FALSE))</f>
        <v/>
      </c>
      <c r="J45" s="13" t="str">
        <f>IF(Tableau13[[#This Row],[Repère]]="","",VLOOKUP(Tableau13[[#This Row],[Repère]],Tableau1[#All],10,FALSE))</f>
        <v/>
      </c>
      <c r="K45" s="13" t="str">
        <f>IF(Tableau13[[#This Row],[Repère]]="","",VLOOKUP(Tableau13[[#This Row],[Repère]],Tableau1[#All],11,FALSE))</f>
        <v/>
      </c>
      <c r="L45" s="14" t="str">
        <f>IF(Tableau13[[#This Row],[Repère]]="","",VLOOKUP(Tableau13[[#This Row],[Repère]],Tableau1[#All],12,FALSE))</f>
        <v/>
      </c>
    </row>
    <row r="46" spans="1:12" x14ac:dyDescent="0.3">
      <c r="A46" s="18"/>
      <c r="B46" s="19"/>
      <c r="C46" s="13" t="str">
        <f>IF(Tableau13[[#This Row],[Repère]]="","",VLOOKUP(Tableau13[[#This Row],[Repère]],Tableau1[#All],3,FALSE))</f>
        <v/>
      </c>
      <c r="D46" s="13" t="str">
        <f>IF(Tableau13[[#This Row],[Repère]]="","",VLOOKUP(Tableau13[[#This Row],[Repère]],Tableau1[#All],4,FALSE))</f>
        <v/>
      </c>
      <c r="E46" s="13" t="str">
        <f>IF(Tableau13[[#This Row],[Repère]]="","",VLOOKUP(Tableau13[[#This Row],[Repère]],Tableau1[#All],5,FALSE))</f>
        <v/>
      </c>
      <c r="F46" s="13" t="str">
        <f>IF(Tableau13[[#This Row],[Repère]]="","",VLOOKUP(Tableau13[[#This Row],[Repère]],Tableau1[#All],6,FALSE))</f>
        <v/>
      </c>
      <c r="G46" s="13" t="str">
        <f>IF(Tableau13[[#This Row],[Repère]]="","",VLOOKUP(Tableau13[[#This Row],[Repère]],Tableau1[#All],7,FALSE))</f>
        <v/>
      </c>
      <c r="H46" s="13" t="str">
        <f>IF(Tableau13[[#This Row],[Repère]]="","",VLOOKUP(Tableau13[[#This Row],[Repère]],Tableau1[#All],8,FALSE))</f>
        <v/>
      </c>
      <c r="I46" s="13" t="str">
        <f>IF(Tableau13[[#This Row],[Repère]]="","",VLOOKUP(Tableau13[[#This Row],[Repère]],Tableau1[#All],9,FALSE))</f>
        <v/>
      </c>
      <c r="J46" s="13" t="str">
        <f>IF(Tableau13[[#This Row],[Repère]]="","",VLOOKUP(Tableau13[[#This Row],[Repère]],Tableau1[#All],10,FALSE))</f>
        <v/>
      </c>
      <c r="K46" s="13" t="str">
        <f>IF(Tableau13[[#This Row],[Repère]]="","",VLOOKUP(Tableau13[[#This Row],[Repère]],Tableau1[#All],11,FALSE))</f>
        <v/>
      </c>
      <c r="L46" s="14" t="str">
        <f>IF(Tableau13[[#This Row],[Repère]]="","",VLOOKUP(Tableau13[[#This Row],[Repère]],Tableau1[#All],12,FALSE))</f>
        <v/>
      </c>
    </row>
    <row r="47" spans="1:12" x14ac:dyDescent="0.3">
      <c r="A47" s="18"/>
      <c r="B47" s="19"/>
      <c r="C47" s="13" t="str">
        <f>IF(Tableau13[[#This Row],[Repère]]="","",VLOOKUP(Tableau13[[#This Row],[Repère]],Tableau1[#All],3,FALSE))</f>
        <v/>
      </c>
      <c r="D47" s="13" t="str">
        <f>IF(Tableau13[[#This Row],[Repère]]="","",VLOOKUP(Tableau13[[#This Row],[Repère]],Tableau1[#All],4,FALSE))</f>
        <v/>
      </c>
      <c r="E47" s="13" t="str">
        <f>IF(Tableau13[[#This Row],[Repère]]="","",VLOOKUP(Tableau13[[#This Row],[Repère]],Tableau1[#All],5,FALSE))</f>
        <v/>
      </c>
      <c r="F47" s="13" t="str">
        <f>IF(Tableau13[[#This Row],[Repère]]="","",VLOOKUP(Tableau13[[#This Row],[Repère]],Tableau1[#All],6,FALSE))</f>
        <v/>
      </c>
      <c r="G47" s="13" t="str">
        <f>IF(Tableau13[[#This Row],[Repère]]="","",VLOOKUP(Tableau13[[#This Row],[Repère]],Tableau1[#All],7,FALSE))</f>
        <v/>
      </c>
      <c r="H47" s="13" t="str">
        <f>IF(Tableau13[[#This Row],[Repère]]="","",VLOOKUP(Tableau13[[#This Row],[Repère]],Tableau1[#All],8,FALSE))</f>
        <v/>
      </c>
      <c r="I47" s="13" t="str">
        <f>IF(Tableau13[[#This Row],[Repère]]="","",VLOOKUP(Tableau13[[#This Row],[Repère]],Tableau1[#All],9,FALSE))</f>
        <v/>
      </c>
      <c r="J47" s="13" t="str">
        <f>IF(Tableau13[[#This Row],[Repère]]="","",VLOOKUP(Tableau13[[#This Row],[Repère]],Tableau1[#All],10,FALSE))</f>
        <v/>
      </c>
      <c r="K47" s="13" t="str">
        <f>IF(Tableau13[[#This Row],[Repère]]="","",VLOOKUP(Tableau13[[#This Row],[Repère]],Tableau1[#All],11,FALSE))</f>
        <v/>
      </c>
      <c r="L47" s="14" t="str">
        <f>IF(Tableau13[[#This Row],[Repère]]="","",VLOOKUP(Tableau13[[#This Row],[Repère]],Tableau1[#All],12,FALSE))</f>
        <v/>
      </c>
    </row>
    <row r="48" spans="1:12" x14ac:dyDescent="0.3">
      <c r="A48" s="18"/>
      <c r="B48" s="19"/>
      <c r="C48" s="13" t="str">
        <f>IF(Tableau13[[#This Row],[Repère]]="","",VLOOKUP(Tableau13[[#This Row],[Repère]],Tableau1[#All],3,FALSE))</f>
        <v/>
      </c>
      <c r="D48" s="13" t="str">
        <f>IF(Tableau13[[#This Row],[Repère]]="","",VLOOKUP(Tableau13[[#This Row],[Repère]],Tableau1[#All],4,FALSE))</f>
        <v/>
      </c>
      <c r="E48" s="13" t="str">
        <f>IF(Tableau13[[#This Row],[Repère]]="","",VLOOKUP(Tableau13[[#This Row],[Repère]],Tableau1[#All],5,FALSE))</f>
        <v/>
      </c>
      <c r="F48" s="13" t="str">
        <f>IF(Tableau13[[#This Row],[Repère]]="","",VLOOKUP(Tableau13[[#This Row],[Repère]],Tableau1[#All],6,FALSE))</f>
        <v/>
      </c>
      <c r="G48" s="13" t="str">
        <f>IF(Tableau13[[#This Row],[Repère]]="","",VLOOKUP(Tableau13[[#This Row],[Repère]],Tableau1[#All],7,FALSE))</f>
        <v/>
      </c>
      <c r="H48" s="13" t="str">
        <f>IF(Tableau13[[#This Row],[Repère]]="","",VLOOKUP(Tableau13[[#This Row],[Repère]],Tableau1[#All],8,FALSE))</f>
        <v/>
      </c>
      <c r="I48" s="13" t="str">
        <f>IF(Tableau13[[#This Row],[Repère]]="","",VLOOKUP(Tableau13[[#This Row],[Repère]],Tableau1[#All],9,FALSE))</f>
        <v/>
      </c>
      <c r="J48" s="13" t="str">
        <f>IF(Tableau13[[#This Row],[Repère]]="","",VLOOKUP(Tableau13[[#This Row],[Repère]],Tableau1[#All],10,FALSE))</f>
        <v/>
      </c>
      <c r="K48" s="13" t="str">
        <f>IF(Tableau13[[#This Row],[Repère]]="","",VLOOKUP(Tableau13[[#This Row],[Repère]],Tableau1[#All],11,FALSE))</f>
        <v/>
      </c>
      <c r="L48" s="14" t="str">
        <f>IF(Tableau13[[#This Row],[Repère]]="","",VLOOKUP(Tableau13[[#This Row],[Repère]],Tableau1[#All],12,FALSE))</f>
        <v/>
      </c>
    </row>
    <row r="49" spans="1:12" x14ac:dyDescent="0.3">
      <c r="A49" s="18"/>
      <c r="B49" s="19"/>
      <c r="C49" s="13" t="str">
        <f>IF(Tableau13[[#This Row],[Repère]]="","",VLOOKUP(Tableau13[[#This Row],[Repère]],Tableau1[#All],3,FALSE))</f>
        <v/>
      </c>
      <c r="D49" s="13" t="str">
        <f>IF(Tableau13[[#This Row],[Repère]]="","",VLOOKUP(Tableau13[[#This Row],[Repère]],Tableau1[#All],4,FALSE))</f>
        <v/>
      </c>
      <c r="E49" s="13" t="str">
        <f>IF(Tableau13[[#This Row],[Repère]]="","",VLOOKUP(Tableau13[[#This Row],[Repère]],Tableau1[#All],5,FALSE))</f>
        <v/>
      </c>
      <c r="F49" s="13" t="str">
        <f>IF(Tableau13[[#This Row],[Repère]]="","",VLOOKUP(Tableau13[[#This Row],[Repère]],Tableau1[#All],6,FALSE))</f>
        <v/>
      </c>
      <c r="G49" s="13" t="str">
        <f>IF(Tableau13[[#This Row],[Repère]]="","",VLOOKUP(Tableau13[[#This Row],[Repère]],Tableau1[#All],7,FALSE))</f>
        <v/>
      </c>
      <c r="H49" s="13" t="str">
        <f>IF(Tableau13[[#This Row],[Repère]]="","",VLOOKUP(Tableau13[[#This Row],[Repère]],Tableau1[#All],8,FALSE))</f>
        <v/>
      </c>
      <c r="I49" s="13" t="str">
        <f>IF(Tableau13[[#This Row],[Repère]]="","",VLOOKUP(Tableau13[[#This Row],[Repère]],Tableau1[#All],9,FALSE))</f>
        <v/>
      </c>
      <c r="J49" s="13" t="str">
        <f>IF(Tableau13[[#This Row],[Repère]]="","",VLOOKUP(Tableau13[[#This Row],[Repère]],Tableau1[#All],10,FALSE))</f>
        <v/>
      </c>
      <c r="K49" s="13" t="str">
        <f>IF(Tableau13[[#This Row],[Repère]]="","",VLOOKUP(Tableau13[[#This Row],[Repère]],Tableau1[#All],11,FALSE))</f>
        <v/>
      </c>
      <c r="L49" s="14" t="str">
        <f>IF(Tableau13[[#This Row],[Repère]]="","",VLOOKUP(Tableau13[[#This Row],[Repère]],Tableau1[#All],12,FALSE))</f>
        <v/>
      </c>
    </row>
    <row r="50" spans="1:12" x14ac:dyDescent="0.3">
      <c r="A50" s="18"/>
      <c r="B50" s="19"/>
      <c r="C50" s="13" t="str">
        <f>IF(Tableau13[[#This Row],[Repère]]="","",VLOOKUP(Tableau13[[#This Row],[Repère]],Tableau1[#All],3,FALSE))</f>
        <v/>
      </c>
      <c r="D50" s="13" t="str">
        <f>IF(Tableau13[[#This Row],[Repère]]="","",VLOOKUP(Tableau13[[#This Row],[Repère]],Tableau1[#All],4,FALSE))</f>
        <v/>
      </c>
      <c r="E50" s="13" t="str">
        <f>IF(Tableau13[[#This Row],[Repère]]="","",VLOOKUP(Tableau13[[#This Row],[Repère]],Tableau1[#All],5,FALSE))</f>
        <v/>
      </c>
      <c r="F50" s="13" t="str">
        <f>IF(Tableau13[[#This Row],[Repère]]="","",VLOOKUP(Tableau13[[#This Row],[Repère]],Tableau1[#All],6,FALSE))</f>
        <v/>
      </c>
      <c r="G50" s="13" t="str">
        <f>IF(Tableau13[[#This Row],[Repère]]="","",VLOOKUP(Tableau13[[#This Row],[Repère]],Tableau1[#All],7,FALSE))</f>
        <v/>
      </c>
      <c r="H50" s="13" t="str">
        <f>IF(Tableau13[[#This Row],[Repère]]="","",VLOOKUP(Tableau13[[#This Row],[Repère]],Tableau1[#All],8,FALSE))</f>
        <v/>
      </c>
      <c r="I50" s="13" t="str">
        <f>IF(Tableau13[[#This Row],[Repère]]="","",VLOOKUP(Tableau13[[#This Row],[Repère]],Tableau1[#All],9,FALSE))</f>
        <v/>
      </c>
      <c r="J50" s="13" t="str">
        <f>IF(Tableau13[[#This Row],[Repère]]="","",VLOOKUP(Tableau13[[#This Row],[Repère]],Tableau1[#All],10,FALSE))</f>
        <v/>
      </c>
      <c r="K50" s="13" t="str">
        <f>IF(Tableau13[[#This Row],[Repère]]="","",VLOOKUP(Tableau13[[#This Row],[Repère]],Tableau1[#All],11,FALSE))</f>
        <v/>
      </c>
      <c r="L50" s="14" t="str">
        <f>IF(Tableau13[[#This Row],[Repère]]="","",VLOOKUP(Tableau13[[#This Row],[Repère]],Tableau1[#All],12,FALSE))</f>
        <v/>
      </c>
    </row>
    <row r="51" spans="1:12" x14ac:dyDescent="0.3">
      <c r="A51" s="18"/>
      <c r="B51" s="19"/>
      <c r="C51" s="13" t="str">
        <f>IF(Tableau13[[#This Row],[Repère]]="","",VLOOKUP(Tableau13[[#This Row],[Repère]],Tableau1[#All],3,FALSE))</f>
        <v/>
      </c>
      <c r="D51" s="13" t="str">
        <f>IF(Tableau13[[#This Row],[Repère]]="","",VLOOKUP(Tableau13[[#This Row],[Repère]],Tableau1[#All],4,FALSE))</f>
        <v/>
      </c>
      <c r="E51" s="13" t="str">
        <f>IF(Tableau13[[#This Row],[Repère]]="","",VLOOKUP(Tableau13[[#This Row],[Repère]],Tableau1[#All],5,FALSE))</f>
        <v/>
      </c>
      <c r="F51" s="13" t="str">
        <f>IF(Tableau13[[#This Row],[Repère]]="","",VLOOKUP(Tableau13[[#This Row],[Repère]],Tableau1[#All],6,FALSE))</f>
        <v/>
      </c>
      <c r="G51" s="13" t="str">
        <f>IF(Tableau13[[#This Row],[Repère]]="","",VLOOKUP(Tableau13[[#This Row],[Repère]],Tableau1[#All],7,FALSE))</f>
        <v/>
      </c>
      <c r="H51" s="13" t="str">
        <f>IF(Tableau13[[#This Row],[Repère]]="","",VLOOKUP(Tableau13[[#This Row],[Repère]],Tableau1[#All],8,FALSE))</f>
        <v/>
      </c>
      <c r="I51" s="13" t="str">
        <f>IF(Tableau13[[#This Row],[Repère]]="","",VLOOKUP(Tableau13[[#This Row],[Repère]],Tableau1[#All],9,FALSE))</f>
        <v/>
      </c>
      <c r="J51" s="13" t="str">
        <f>IF(Tableau13[[#This Row],[Repère]]="","",VLOOKUP(Tableau13[[#This Row],[Repère]],Tableau1[#All],10,FALSE))</f>
        <v/>
      </c>
      <c r="K51" s="13" t="str">
        <f>IF(Tableau13[[#This Row],[Repère]]="","",VLOOKUP(Tableau13[[#This Row],[Repère]],Tableau1[#All],11,FALSE))</f>
        <v/>
      </c>
      <c r="L51" s="14" t="str">
        <f>IF(Tableau13[[#This Row],[Repère]]="","",VLOOKUP(Tableau13[[#This Row],[Repère]],Tableau1[#All],12,FALSE))</f>
        <v/>
      </c>
    </row>
    <row r="52" spans="1:12" x14ac:dyDescent="0.3">
      <c r="A52" s="18"/>
      <c r="B52" s="19"/>
      <c r="C52" s="13" t="str">
        <f>IF(Tableau13[[#This Row],[Repère]]="","",VLOOKUP(Tableau13[[#This Row],[Repère]],Tableau1[#All],3,FALSE))</f>
        <v/>
      </c>
      <c r="D52" s="13" t="str">
        <f>IF(Tableau13[[#This Row],[Repère]]="","",VLOOKUP(Tableau13[[#This Row],[Repère]],Tableau1[#All],4,FALSE))</f>
        <v/>
      </c>
      <c r="E52" s="13" t="str">
        <f>IF(Tableau13[[#This Row],[Repère]]="","",VLOOKUP(Tableau13[[#This Row],[Repère]],Tableau1[#All],5,FALSE))</f>
        <v/>
      </c>
      <c r="F52" s="13" t="str">
        <f>IF(Tableau13[[#This Row],[Repère]]="","",VLOOKUP(Tableau13[[#This Row],[Repère]],Tableau1[#All],6,FALSE))</f>
        <v/>
      </c>
      <c r="G52" s="13" t="str">
        <f>IF(Tableau13[[#This Row],[Repère]]="","",VLOOKUP(Tableau13[[#This Row],[Repère]],Tableau1[#All],7,FALSE))</f>
        <v/>
      </c>
      <c r="H52" s="13" t="str">
        <f>IF(Tableau13[[#This Row],[Repère]]="","",VLOOKUP(Tableau13[[#This Row],[Repère]],Tableau1[#All],8,FALSE))</f>
        <v/>
      </c>
      <c r="I52" s="13" t="str">
        <f>IF(Tableau13[[#This Row],[Repère]]="","",VLOOKUP(Tableau13[[#This Row],[Repère]],Tableau1[#All],9,FALSE))</f>
        <v/>
      </c>
      <c r="J52" s="13" t="str">
        <f>IF(Tableau13[[#This Row],[Repère]]="","",VLOOKUP(Tableau13[[#This Row],[Repère]],Tableau1[#All],10,FALSE))</f>
        <v/>
      </c>
      <c r="K52" s="13" t="str">
        <f>IF(Tableau13[[#This Row],[Repère]]="","",VLOOKUP(Tableau13[[#This Row],[Repère]],Tableau1[#All],11,FALSE))</f>
        <v/>
      </c>
      <c r="L52" s="14" t="str">
        <f>IF(Tableau13[[#This Row],[Repère]]="","",VLOOKUP(Tableau13[[#This Row],[Repère]],Tableau1[#All],12,FALSE))</f>
        <v/>
      </c>
    </row>
    <row r="53" spans="1:12" x14ac:dyDescent="0.3">
      <c r="A53" s="18"/>
      <c r="B53" s="19"/>
      <c r="C53" s="13" t="str">
        <f>IF(Tableau13[[#This Row],[Repère]]="","",VLOOKUP(Tableau13[[#This Row],[Repère]],Tableau1[#All],3,FALSE))</f>
        <v/>
      </c>
      <c r="D53" s="13" t="str">
        <f>IF(Tableau13[[#This Row],[Repère]]="","",VLOOKUP(Tableau13[[#This Row],[Repère]],Tableau1[#All],4,FALSE))</f>
        <v/>
      </c>
      <c r="E53" s="13" t="str">
        <f>IF(Tableau13[[#This Row],[Repère]]="","",VLOOKUP(Tableau13[[#This Row],[Repère]],Tableau1[#All],5,FALSE))</f>
        <v/>
      </c>
      <c r="F53" s="13" t="str">
        <f>IF(Tableau13[[#This Row],[Repère]]="","",VLOOKUP(Tableau13[[#This Row],[Repère]],Tableau1[#All],6,FALSE))</f>
        <v/>
      </c>
      <c r="G53" s="13" t="str">
        <f>IF(Tableau13[[#This Row],[Repère]]="","",VLOOKUP(Tableau13[[#This Row],[Repère]],Tableau1[#All],7,FALSE))</f>
        <v/>
      </c>
      <c r="H53" s="13" t="str">
        <f>IF(Tableau13[[#This Row],[Repère]]="","",VLOOKUP(Tableau13[[#This Row],[Repère]],Tableau1[#All],8,FALSE))</f>
        <v/>
      </c>
      <c r="I53" s="13" t="str">
        <f>IF(Tableau13[[#This Row],[Repère]]="","",VLOOKUP(Tableau13[[#This Row],[Repère]],Tableau1[#All],9,FALSE))</f>
        <v/>
      </c>
      <c r="J53" s="13" t="str">
        <f>IF(Tableau13[[#This Row],[Repère]]="","",VLOOKUP(Tableau13[[#This Row],[Repère]],Tableau1[#All],10,FALSE))</f>
        <v/>
      </c>
      <c r="K53" s="13" t="str">
        <f>IF(Tableau13[[#This Row],[Repère]]="","",VLOOKUP(Tableau13[[#This Row],[Repère]],Tableau1[#All],11,FALSE))</f>
        <v/>
      </c>
      <c r="L53" s="14" t="str">
        <f>IF(Tableau13[[#This Row],[Repère]]="","",VLOOKUP(Tableau13[[#This Row],[Repère]],Tableau1[#All],12,FALSE))</f>
        <v/>
      </c>
    </row>
    <row r="54" spans="1:12" x14ac:dyDescent="0.3">
      <c r="A54" s="18"/>
      <c r="B54" s="19"/>
      <c r="C54" s="13" t="str">
        <f>IF(Tableau13[[#This Row],[Repère]]="","",VLOOKUP(Tableau13[[#This Row],[Repère]],Tableau1[#All],3,FALSE))</f>
        <v/>
      </c>
      <c r="D54" s="13" t="str">
        <f>IF(Tableau13[[#This Row],[Repère]]="","",VLOOKUP(Tableau13[[#This Row],[Repère]],Tableau1[#All],4,FALSE))</f>
        <v/>
      </c>
      <c r="E54" s="13" t="str">
        <f>IF(Tableau13[[#This Row],[Repère]]="","",VLOOKUP(Tableau13[[#This Row],[Repère]],Tableau1[#All],5,FALSE))</f>
        <v/>
      </c>
      <c r="F54" s="13" t="str">
        <f>IF(Tableau13[[#This Row],[Repère]]="","",VLOOKUP(Tableau13[[#This Row],[Repère]],Tableau1[#All],6,FALSE))</f>
        <v/>
      </c>
      <c r="G54" s="13" t="str">
        <f>IF(Tableau13[[#This Row],[Repère]]="","",VLOOKUP(Tableau13[[#This Row],[Repère]],Tableau1[#All],7,FALSE))</f>
        <v/>
      </c>
      <c r="H54" s="13" t="str">
        <f>IF(Tableau13[[#This Row],[Repère]]="","",VLOOKUP(Tableau13[[#This Row],[Repère]],Tableau1[#All],8,FALSE))</f>
        <v/>
      </c>
      <c r="I54" s="13" t="str">
        <f>IF(Tableau13[[#This Row],[Repère]]="","",VLOOKUP(Tableau13[[#This Row],[Repère]],Tableau1[#All],9,FALSE))</f>
        <v/>
      </c>
      <c r="J54" s="13" t="str">
        <f>IF(Tableau13[[#This Row],[Repère]]="","",VLOOKUP(Tableau13[[#This Row],[Repère]],Tableau1[#All],10,FALSE))</f>
        <v/>
      </c>
      <c r="K54" s="13" t="str">
        <f>IF(Tableau13[[#This Row],[Repère]]="","",VLOOKUP(Tableau13[[#This Row],[Repère]],Tableau1[#All],11,FALSE))</f>
        <v/>
      </c>
      <c r="L54" s="14" t="str">
        <f>IF(Tableau13[[#This Row],[Repère]]="","",VLOOKUP(Tableau13[[#This Row],[Repère]],Tableau1[#All],12,FALSE))</f>
        <v/>
      </c>
    </row>
    <row r="55" spans="1:12" x14ac:dyDescent="0.3">
      <c r="A55" s="18"/>
      <c r="B55" s="19"/>
      <c r="C55" s="13" t="str">
        <f>IF(Tableau13[[#This Row],[Repère]]="","",VLOOKUP(Tableau13[[#This Row],[Repère]],Tableau1[#All],3,FALSE))</f>
        <v/>
      </c>
      <c r="D55" s="13" t="str">
        <f>IF(Tableau13[[#This Row],[Repère]]="","",VLOOKUP(Tableau13[[#This Row],[Repère]],Tableau1[#All],4,FALSE))</f>
        <v/>
      </c>
      <c r="E55" s="13" t="str">
        <f>IF(Tableau13[[#This Row],[Repère]]="","",VLOOKUP(Tableau13[[#This Row],[Repère]],Tableau1[#All],5,FALSE))</f>
        <v/>
      </c>
      <c r="F55" s="13" t="str">
        <f>IF(Tableau13[[#This Row],[Repère]]="","",VLOOKUP(Tableau13[[#This Row],[Repère]],Tableau1[#All],6,FALSE))</f>
        <v/>
      </c>
      <c r="G55" s="13" t="str">
        <f>IF(Tableau13[[#This Row],[Repère]]="","",VLOOKUP(Tableau13[[#This Row],[Repère]],Tableau1[#All],7,FALSE))</f>
        <v/>
      </c>
      <c r="H55" s="13" t="str">
        <f>IF(Tableau13[[#This Row],[Repère]]="","",VLOOKUP(Tableau13[[#This Row],[Repère]],Tableau1[#All],8,FALSE))</f>
        <v/>
      </c>
      <c r="I55" s="13" t="str">
        <f>IF(Tableau13[[#This Row],[Repère]]="","",VLOOKUP(Tableau13[[#This Row],[Repère]],Tableau1[#All],9,FALSE))</f>
        <v/>
      </c>
      <c r="J55" s="13" t="str">
        <f>IF(Tableau13[[#This Row],[Repère]]="","",VLOOKUP(Tableau13[[#This Row],[Repère]],Tableau1[#All],10,FALSE))</f>
        <v/>
      </c>
      <c r="K55" s="13" t="str">
        <f>IF(Tableau13[[#This Row],[Repère]]="","",VLOOKUP(Tableau13[[#This Row],[Repère]],Tableau1[#All],11,FALSE))</f>
        <v/>
      </c>
      <c r="L55" s="14" t="str">
        <f>IF(Tableau13[[#This Row],[Repère]]="","",VLOOKUP(Tableau13[[#This Row],[Repère]],Tableau1[#All],12,FALSE))</f>
        <v/>
      </c>
    </row>
    <row r="56" spans="1:12" x14ac:dyDescent="0.3">
      <c r="A56" s="18"/>
      <c r="B56" s="19"/>
      <c r="C56" s="13" t="str">
        <f>IF(Tableau13[[#This Row],[Repère]]="","",VLOOKUP(Tableau13[[#This Row],[Repère]],Tableau1[#All],3,FALSE))</f>
        <v/>
      </c>
      <c r="D56" s="13" t="str">
        <f>IF(Tableau13[[#This Row],[Repère]]="","",VLOOKUP(Tableau13[[#This Row],[Repère]],Tableau1[#All],4,FALSE))</f>
        <v/>
      </c>
      <c r="E56" s="13" t="str">
        <f>IF(Tableau13[[#This Row],[Repère]]="","",VLOOKUP(Tableau13[[#This Row],[Repère]],Tableau1[#All],5,FALSE))</f>
        <v/>
      </c>
      <c r="F56" s="13" t="str">
        <f>IF(Tableau13[[#This Row],[Repère]]="","",VLOOKUP(Tableau13[[#This Row],[Repère]],Tableau1[#All],6,FALSE))</f>
        <v/>
      </c>
      <c r="G56" s="13" t="str">
        <f>IF(Tableau13[[#This Row],[Repère]]="","",VLOOKUP(Tableau13[[#This Row],[Repère]],Tableau1[#All],7,FALSE))</f>
        <v/>
      </c>
      <c r="H56" s="13" t="str">
        <f>IF(Tableau13[[#This Row],[Repère]]="","",VLOOKUP(Tableau13[[#This Row],[Repère]],Tableau1[#All],8,FALSE))</f>
        <v/>
      </c>
      <c r="I56" s="13" t="str">
        <f>IF(Tableau13[[#This Row],[Repère]]="","",VLOOKUP(Tableau13[[#This Row],[Repère]],Tableau1[#All],9,FALSE))</f>
        <v/>
      </c>
      <c r="J56" s="13" t="str">
        <f>IF(Tableau13[[#This Row],[Repère]]="","",VLOOKUP(Tableau13[[#This Row],[Repère]],Tableau1[#All],10,FALSE))</f>
        <v/>
      </c>
      <c r="K56" s="13" t="str">
        <f>IF(Tableau13[[#This Row],[Repère]]="","",VLOOKUP(Tableau13[[#This Row],[Repère]],Tableau1[#All],11,FALSE))</f>
        <v/>
      </c>
      <c r="L56" s="14" t="str">
        <f>IF(Tableau13[[#This Row],[Repère]]="","",VLOOKUP(Tableau13[[#This Row],[Repère]],Tableau1[#All],12,FALSE))</f>
        <v/>
      </c>
    </row>
    <row r="57" spans="1:12" x14ac:dyDescent="0.3">
      <c r="A57" s="18"/>
      <c r="B57" s="19"/>
      <c r="C57" s="13" t="str">
        <f>IF(Tableau13[[#This Row],[Repère]]="","",VLOOKUP(Tableau13[[#This Row],[Repère]],Tableau1[#All],3,FALSE))</f>
        <v/>
      </c>
      <c r="D57" s="13" t="str">
        <f>IF(Tableau13[[#This Row],[Repère]]="","",VLOOKUP(Tableau13[[#This Row],[Repère]],Tableau1[#All],4,FALSE))</f>
        <v/>
      </c>
      <c r="E57" s="13" t="str">
        <f>IF(Tableau13[[#This Row],[Repère]]="","",VLOOKUP(Tableau13[[#This Row],[Repère]],Tableau1[#All],5,FALSE))</f>
        <v/>
      </c>
      <c r="F57" s="13" t="str">
        <f>IF(Tableau13[[#This Row],[Repère]]="","",VLOOKUP(Tableau13[[#This Row],[Repère]],Tableau1[#All],6,FALSE))</f>
        <v/>
      </c>
      <c r="G57" s="13" t="str">
        <f>IF(Tableau13[[#This Row],[Repère]]="","",VLOOKUP(Tableau13[[#This Row],[Repère]],Tableau1[#All],7,FALSE))</f>
        <v/>
      </c>
      <c r="H57" s="13" t="str">
        <f>IF(Tableau13[[#This Row],[Repère]]="","",VLOOKUP(Tableau13[[#This Row],[Repère]],Tableau1[#All],8,FALSE))</f>
        <v/>
      </c>
      <c r="I57" s="13" t="str">
        <f>IF(Tableau13[[#This Row],[Repère]]="","",VLOOKUP(Tableau13[[#This Row],[Repère]],Tableau1[#All],9,FALSE))</f>
        <v/>
      </c>
      <c r="J57" s="13" t="str">
        <f>IF(Tableau13[[#This Row],[Repère]]="","",VLOOKUP(Tableau13[[#This Row],[Repère]],Tableau1[#All],10,FALSE))</f>
        <v/>
      </c>
      <c r="K57" s="13" t="str">
        <f>IF(Tableau13[[#This Row],[Repère]]="","",VLOOKUP(Tableau13[[#This Row],[Repère]],Tableau1[#All],11,FALSE))</f>
        <v/>
      </c>
      <c r="L57" s="14" t="str">
        <f>IF(Tableau13[[#This Row],[Repère]]="","",VLOOKUP(Tableau13[[#This Row],[Repère]],Tableau1[#All],12,FALSE))</f>
        <v/>
      </c>
    </row>
    <row r="58" spans="1:12" x14ac:dyDescent="0.3">
      <c r="A58" s="18"/>
      <c r="B58" s="19"/>
      <c r="C58" s="13" t="str">
        <f>IF(Tableau13[[#This Row],[Repère]]="","",VLOOKUP(Tableau13[[#This Row],[Repère]],Tableau1[#All],3,FALSE))</f>
        <v/>
      </c>
      <c r="D58" s="13" t="str">
        <f>IF(Tableau13[[#This Row],[Repère]]="","",VLOOKUP(Tableau13[[#This Row],[Repère]],Tableau1[#All],4,FALSE))</f>
        <v/>
      </c>
      <c r="E58" s="13" t="str">
        <f>IF(Tableau13[[#This Row],[Repère]]="","",VLOOKUP(Tableau13[[#This Row],[Repère]],Tableau1[#All],5,FALSE))</f>
        <v/>
      </c>
      <c r="F58" s="13" t="str">
        <f>IF(Tableau13[[#This Row],[Repère]]="","",VLOOKUP(Tableau13[[#This Row],[Repère]],Tableau1[#All],6,FALSE))</f>
        <v/>
      </c>
      <c r="G58" s="13" t="str">
        <f>IF(Tableau13[[#This Row],[Repère]]="","",VLOOKUP(Tableau13[[#This Row],[Repère]],Tableau1[#All],7,FALSE))</f>
        <v/>
      </c>
      <c r="H58" s="13" t="str">
        <f>IF(Tableau13[[#This Row],[Repère]]="","",VLOOKUP(Tableau13[[#This Row],[Repère]],Tableau1[#All],8,FALSE))</f>
        <v/>
      </c>
      <c r="I58" s="13" t="str">
        <f>IF(Tableau13[[#This Row],[Repère]]="","",VLOOKUP(Tableau13[[#This Row],[Repère]],Tableau1[#All],9,FALSE))</f>
        <v/>
      </c>
      <c r="J58" s="13" t="str">
        <f>IF(Tableau13[[#This Row],[Repère]]="","",VLOOKUP(Tableau13[[#This Row],[Repère]],Tableau1[#All],10,FALSE))</f>
        <v/>
      </c>
      <c r="K58" s="13" t="str">
        <f>IF(Tableau13[[#This Row],[Repère]]="","",VLOOKUP(Tableau13[[#This Row],[Repère]],Tableau1[#All],11,FALSE))</f>
        <v/>
      </c>
      <c r="L58" s="14" t="str">
        <f>IF(Tableau13[[#This Row],[Repère]]="","",VLOOKUP(Tableau13[[#This Row],[Repère]],Tableau1[#All],12,FALSE))</f>
        <v/>
      </c>
    </row>
    <row r="59" spans="1:12" x14ac:dyDescent="0.3">
      <c r="A59" s="18"/>
      <c r="B59" s="19"/>
      <c r="C59" s="13" t="str">
        <f>IF(Tableau13[[#This Row],[Repère]]="","",VLOOKUP(Tableau13[[#This Row],[Repère]],Tableau1[#All],3,FALSE))</f>
        <v/>
      </c>
      <c r="D59" s="13" t="str">
        <f>IF(Tableau13[[#This Row],[Repère]]="","",VLOOKUP(Tableau13[[#This Row],[Repère]],Tableau1[#All],4,FALSE))</f>
        <v/>
      </c>
      <c r="E59" s="13" t="str">
        <f>IF(Tableau13[[#This Row],[Repère]]="","",VLOOKUP(Tableau13[[#This Row],[Repère]],Tableau1[#All],5,FALSE))</f>
        <v/>
      </c>
      <c r="F59" s="13" t="str">
        <f>IF(Tableau13[[#This Row],[Repère]]="","",VLOOKUP(Tableau13[[#This Row],[Repère]],Tableau1[#All],6,FALSE))</f>
        <v/>
      </c>
      <c r="G59" s="13" t="str">
        <f>IF(Tableau13[[#This Row],[Repère]]="","",VLOOKUP(Tableau13[[#This Row],[Repère]],Tableau1[#All],7,FALSE))</f>
        <v/>
      </c>
      <c r="H59" s="13" t="str">
        <f>IF(Tableau13[[#This Row],[Repère]]="","",VLOOKUP(Tableau13[[#This Row],[Repère]],Tableau1[#All],8,FALSE))</f>
        <v/>
      </c>
      <c r="I59" s="13" t="str">
        <f>IF(Tableau13[[#This Row],[Repère]]="","",VLOOKUP(Tableau13[[#This Row],[Repère]],Tableau1[#All],9,FALSE))</f>
        <v/>
      </c>
      <c r="J59" s="13" t="str">
        <f>IF(Tableau13[[#This Row],[Repère]]="","",VLOOKUP(Tableau13[[#This Row],[Repère]],Tableau1[#All],10,FALSE))</f>
        <v/>
      </c>
      <c r="K59" s="13" t="str">
        <f>IF(Tableau13[[#This Row],[Repère]]="","",VLOOKUP(Tableau13[[#This Row],[Repère]],Tableau1[#All],11,FALSE))</f>
        <v/>
      </c>
      <c r="L59" s="14" t="str">
        <f>IF(Tableau13[[#This Row],[Repère]]="","",VLOOKUP(Tableau13[[#This Row],[Repère]],Tableau1[#All],12,FALSE))</f>
        <v/>
      </c>
    </row>
    <row r="60" spans="1:12" x14ac:dyDescent="0.3">
      <c r="A60" s="18"/>
      <c r="B60" s="19"/>
      <c r="C60" s="13" t="str">
        <f>IF(Tableau13[[#This Row],[Repère]]="","",VLOOKUP(Tableau13[[#This Row],[Repère]],Tableau1[#All],3,FALSE))</f>
        <v/>
      </c>
      <c r="D60" s="13" t="str">
        <f>IF(Tableau13[[#This Row],[Repère]]="","",VLOOKUP(Tableau13[[#This Row],[Repère]],Tableau1[#All],4,FALSE))</f>
        <v/>
      </c>
      <c r="E60" s="13" t="str">
        <f>IF(Tableau13[[#This Row],[Repère]]="","",VLOOKUP(Tableau13[[#This Row],[Repère]],Tableau1[#All],5,FALSE))</f>
        <v/>
      </c>
      <c r="F60" s="13" t="str">
        <f>IF(Tableau13[[#This Row],[Repère]]="","",VLOOKUP(Tableau13[[#This Row],[Repère]],Tableau1[#All],6,FALSE))</f>
        <v/>
      </c>
      <c r="G60" s="13" t="str">
        <f>IF(Tableau13[[#This Row],[Repère]]="","",VLOOKUP(Tableau13[[#This Row],[Repère]],Tableau1[#All],7,FALSE))</f>
        <v/>
      </c>
      <c r="H60" s="13" t="str">
        <f>IF(Tableau13[[#This Row],[Repère]]="","",VLOOKUP(Tableau13[[#This Row],[Repère]],Tableau1[#All],8,FALSE))</f>
        <v/>
      </c>
      <c r="I60" s="13" t="str">
        <f>IF(Tableau13[[#This Row],[Repère]]="","",VLOOKUP(Tableau13[[#This Row],[Repère]],Tableau1[#All],9,FALSE))</f>
        <v/>
      </c>
      <c r="J60" s="13" t="str">
        <f>IF(Tableau13[[#This Row],[Repère]]="","",VLOOKUP(Tableau13[[#This Row],[Repère]],Tableau1[#All],10,FALSE))</f>
        <v/>
      </c>
      <c r="K60" s="13" t="str">
        <f>IF(Tableau13[[#This Row],[Repère]]="","",VLOOKUP(Tableau13[[#This Row],[Repère]],Tableau1[#All],11,FALSE))</f>
        <v/>
      </c>
      <c r="L60" s="14" t="str">
        <f>IF(Tableau13[[#This Row],[Repère]]="","",VLOOKUP(Tableau13[[#This Row],[Repère]],Tableau1[#All],12,FALSE))</f>
        <v/>
      </c>
    </row>
    <row r="61" spans="1:12" x14ac:dyDescent="0.3">
      <c r="A61" s="18"/>
      <c r="B61" s="19"/>
      <c r="C61" s="13" t="str">
        <f>IF(Tableau13[[#This Row],[Repère]]="","",VLOOKUP(Tableau13[[#This Row],[Repère]],Tableau1[#All],3,FALSE))</f>
        <v/>
      </c>
      <c r="D61" s="13" t="str">
        <f>IF(Tableau13[[#This Row],[Repère]]="","",VLOOKUP(Tableau13[[#This Row],[Repère]],Tableau1[#All],4,FALSE))</f>
        <v/>
      </c>
      <c r="E61" s="13" t="str">
        <f>IF(Tableau13[[#This Row],[Repère]]="","",VLOOKUP(Tableau13[[#This Row],[Repère]],Tableau1[#All],5,FALSE))</f>
        <v/>
      </c>
      <c r="F61" s="13" t="str">
        <f>IF(Tableau13[[#This Row],[Repère]]="","",VLOOKUP(Tableau13[[#This Row],[Repère]],Tableau1[#All],6,FALSE))</f>
        <v/>
      </c>
      <c r="G61" s="13" t="str">
        <f>IF(Tableau13[[#This Row],[Repère]]="","",VLOOKUP(Tableau13[[#This Row],[Repère]],Tableau1[#All],7,FALSE))</f>
        <v/>
      </c>
      <c r="H61" s="13" t="str">
        <f>IF(Tableau13[[#This Row],[Repère]]="","",VLOOKUP(Tableau13[[#This Row],[Repère]],Tableau1[#All],8,FALSE))</f>
        <v/>
      </c>
      <c r="I61" s="13" t="str">
        <f>IF(Tableau13[[#This Row],[Repère]]="","",VLOOKUP(Tableau13[[#This Row],[Repère]],Tableau1[#All],9,FALSE))</f>
        <v/>
      </c>
      <c r="J61" s="13" t="str">
        <f>IF(Tableau13[[#This Row],[Repère]]="","",VLOOKUP(Tableau13[[#This Row],[Repère]],Tableau1[#All],10,FALSE))</f>
        <v/>
      </c>
      <c r="K61" s="13" t="str">
        <f>IF(Tableau13[[#This Row],[Repère]]="","",VLOOKUP(Tableau13[[#This Row],[Repère]],Tableau1[#All],11,FALSE))</f>
        <v/>
      </c>
      <c r="L61" s="14" t="str">
        <f>IF(Tableau13[[#This Row],[Repère]]="","",VLOOKUP(Tableau13[[#This Row],[Repère]],Tableau1[#All],12,FALSE))</f>
        <v/>
      </c>
    </row>
    <row r="62" spans="1:12" x14ac:dyDescent="0.3">
      <c r="A62" s="18"/>
      <c r="B62" s="19"/>
      <c r="C62" s="13" t="str">
        <f>IF(Tableau13[[#This Row],[Repère]]="","",VLOOKUP(Tableau13[[#This Row],[Repère]],Tableau1[#All],3,FALSE))</f>
        <v/>
      </c>
      <c r="D62" s="13" t="str">
        <f>IF(Tableau13[[#This Row],[Repère]]="","",VLOOKUP(Tableau13[[#This Row],[Repère]],Tableau1[#All],4,FALSE))</f>
        <v/>
      </c>
      <c r="E62" s="13" t="str">
        <f>IF(Tableau13[[#This Row],[Repère]]="","",VLOOKUP(Tableau13[[#This Row],[Repère]],Tableau1[#All],5,FALSE))</f>
        <v/>
      </c>
      <c r="F62" s="13" t="str">
        <f>IF(Tableau13[[#This Row],[Repère]]="","",VLOOKUP(Tableau13[[#This Row],[Repère]],Tableau1[#All],6,FALSE))</f>
        <v/>
      </c>
      <c r="G62" s="13" t="str">
        <f>IF(Tableau13[[#This Row],[Repère]]="","",VLOOKUP(Tableau13[[#This Row],[Repère]],Tableau1[#All],7,FALSE))</f>
        <v/>
      </c>
      <c r="H62" s="13" t="str">
        <f>IF(Tableau13[[#This Row],[Repère]]="","",VLOOKUP(Tableau13[[#This Row],[Repère]],Tableau1[#All],8,FALSE))</f>
        <v/>
      </c>
      <c r="I62" s="13" t="str">
        <f>IF(Tableau13[[#This Row],[Repère]]="","",VLOOKUP(Tableau13[[#This Row],[Repère]],Tableau1[#All],9,FALSE))</f>
        <v/>
      </c>
      <c r="J62" s="13" t="str">
        <f>IF(Tableau13[[#This Row],[Repère]]="","",VLOOKUP(Tableau13[[#This Row],[Repère]],Tableau1[#All],10,FALSE))</f>
        <v/>
      </c>
      <c r="K62" s="13" t="str">
        <f>IF(Tableau13[[#This Row],[Repère]]="","",VLOOKUP(Tableau13[[#This Row],[Repère]],Tableau1[#All],11,FALSE))</f>
        <v/>
      </c>
      <c r="L62" s="14" t="str">
        <f>IF(Tableau13[[#This Row],[Repère]]="","",VLOOKUP(Tableau13[[#This Row],[Repère]],Tableau1[#All],12,FALSE))</f>
        <v/>
      </c>
    </row>
    <row r="63" spans="1:12" x14ac:dyDescent="0.3">
      <c r="A63" s="18"/>
      <c r="B63" s="19"/>
      <c r="C63" s="13" t="str">
        <f>IF(Tableau13[[#This Row],[Repère]]="","",VLOOKUP(Tableau13[[#This Row],[Repère]],Tableau1[#All],3,FALSE))</f>
        <v/>
      </c>
      <c r="D63" s="13" t="str">
        <f>IF(Tableau13[[#This Row],[Repère]]="","",VLOOKUP(Tableau13[[#This Row],[Repère]],Tableau1[#All],4,FALSE))</f>
        <v/>
      </c>
      <c r="E63" s="13" t="str">
        <f>IF(Tableau13[[#This Row],[Repère]]="","",VLOOKUP(Tableau13[[#This Row],[Repère]],Tableau1[#All],5,FALSE))</f>
        <v/>
      </c>
      <c r="F63" s="13" t="str">
        <f>IF(Tableau13[[#This Row],[Repère]]="","",VLOOKUP(Tableau13[[#This Row],[Repère]],Tableau1[#All],6,FALSE))</f>
        <v/>
      </c>
      <c r="G63" s="13" t="str">
        <f>IF(Tableau13[[#This Row],[Repère]]="","",VLOOKUP(Tableau13[[#This Row],[Repère]],Tableau1[#All],7,FALSE))</f>
        <v/>
      </c>
      <c r="H63" s="13" t="str">
        <f>IF(Tableau13[[#This Row],[Repère]]="","",VLOOKUP(Tableau13[[#This Row],[Repère]],Tableau1[#All],8,FALSE))</f>
        <v/>
      </c>
      <c r="I63" s="13" t="str">
        <f>IF(Tableau13[[#This Row],[Repère]]="","",VLOOKUP(Tableau13[[#This Row],[Repère]],Tableau1[#All],9,FALSE))</f>
        <v/>
      </c>
      <c r="J63" s="13" t="str">
        <f>IF(Tableau13[[#This Row],[Repère]]="","",VLOOKUP(Tableau13[[#This Row],[Repère]],Tableau1[#All],10,FALSE))</f>
        <v/>
      </c>
      <c r="K63" s="13" t="str">
        <f>IF(Tableau13[[#This Row],[Repère]]="","",VLOOKUP(Tableau13[[#This Row],[Repère]],Tableau1[#All],11,FALSE))</f>
        <v/>
      </c>
      <c r="L63" s="14" t="str">
        <f>IF(Tableau13[[#This Row],[Repère]]="","",VLOOKUP(Tableau13[[#This Row],[Repère]],Tableau1[#All],12,FALSE))</f>
        <v/>
      </c>
    </row>
    <row r="64" spans="1:12" x14ac:dyDescent="0.3">
      <c r="A64" s="18"/>
      <c r="B64" s="19"/>
      <c r="C64" s="13" t="str">
        <f>IF(Tableau13[[#This Row],[Repère]]="","",VLOOKUP(Tableau13[[#This Row],[Repère]],Tableau1[#All],3,FALSE))</f>
        <v/>
      </c>
      <c r="D64" s="13" t="str">
        <f>IF(Tableau13[[#This Row],[Repère]]="","",VLOOKUP(Tableau13[[#This Row],[Repère]],Tableau1[#All],4,FALSE))</f>
        <v/>
      </c>
      <c r="E64" s="13" t="str">
        <f>IF(Tableau13[[#This Row],[Repère]]="","",VLOOKUP(Tableau13[[#This Row],[Repère]],Tableau1[#All],5,FALSE))</f>
        <v/>
      </c>
      <c r="F64" s="13" t="str">
        <f>IF(Tableau13[[#This Row],[Repère]]="","",VLOOKUP(Tableau13[[#This Row],[Repère]],Tableau1[#All],6,FALSE))</f>
        <v/>
      </c>
      <c r="G64" s="13" t="str">
        <f>IF(Tableau13[[#This Row],[Repère]]="","",VLOOKUP(Tableau13[[#This Row],[Repère]],Tableau1[#All],7,FALSE))</f>
        <v/>
      </c>
      <c r="H64" s="13" t="str">
        <f>IF(Tableau13[[#This Row],[Repère]]="","",VLOOKUP(Tableau13[[#This Row],[Repère]],Tableau1[#All],8,FALSE))</f>
        <v/>
      </c>
      <c r="I64" s="13" t="str">
        <f>IF(Tableau13[[#This Row],[Repère]]="","",VLOOKUP(Tableau13[[#This Row],[Repère]],Tableau1[#All],9,FALSE))</f>
        <v/>
      </c>
      <c r="J64" s="13" t="str">
        <f>IF(Tableau13[[#This Row],[Repère]]="","",VLOOKUP(Tableau13[[#This Row],[Repère]],Tableau1[#All],10,FALSE))</f>
        <v/>
      </c>
      <c r="K64" s="13" t="str">
        <f>IF(Tableau13[[#This Row],[Repère]]="","",VLOOKUP(Tableau13[[#This Row],[Repère]],Tableau1[#All],11,FALSE))</f>
        <v/>
      </c>
      <c r="L64" s="14" t="str">
        <f>IF(Tableau13[[#This Row],[Repère]]="","",VLOOKUP(Tableau13[[#This Row],[Repère]],Tableau1[#All],12,FALSE))</f>
        <v/>
      </c>
    </row>
    <row r="65" spans="1:12" x14ac:dyDescent="0.3">
      <c r="A65" s="18"/>
      <c r="B65" s="19"/>
      <c r="C65" s="13" t="str">
        <f>IF(Tableau13[[#This Row],[Repère]]="","",VLOOKUP(Tableau13[[#This Row],[Repère]],Tableau1[#All],3,FALSE))</f>
        <v/>
      </c>
      <c r="D65" s="13" t="str">
        <f>IF(Tableau13[[#This Row],[Repère]]="","",VLOOKUP(Tableau13[[#This Row],[Repère]],Tableau1[#All],4,FALSE))</f>
        <v/>
      </c>
      <c r="E65" s="13" t="str">
        <f>IF(Tableau13[[#This Row],[Repère]]="","",VLOOKUP(Tableau13[[#This Row],[Repère]],Tableau1[#All],5,FALSE))</f>
        <v/>
      </c>
      <c r="F65" s="13" t="str">
        <f>IF(Tableau13[[#This Row],[Repère]]="","",VLOOKUP(Tableau13[[#This Row],[Repère]],Tableau1[#All],6,FALSE))</f>
        <v/>
      </c>
      <c r="G65" s="13" t="str">
        <f>IF(Tableau13[[#This Row],[Repère]]="","",VLOOKUP(Tableau13[[#This Row],[Repère]],Tableau1[#All],7,FALSE))</f>
        <v/>
      </c>
      <c r="H65" s="13" t="str">
        <f>IF(Tableau13[[#This Row],[Repère]]="","",VLOOKUP(Tableau13[[#This Row],[Repère]],Tableau1[#All],8,FALSE))</f>
        <v/>
      </c>
      <c r="I65" s="13" t="str">
        <f>IF(Tableau13[[#This Row],[Repère]]="","",VLOOKUP(Tableau13[[#This Row],[Repère]],Tableau1[#All],9,FALSE))</f>
        <v/>
      </c>
      <c r="J65" s="13" t="str">
        <f>IF(Tableau13[[#This Row],[Repère]]="","",VLOOKUP(Tableau13[[#This Row],[Repère]],Tableau1[#All],10,FALSE))</f>
        <v/>
      </c>
      <c r="K65" s="13" t="str">
        <f>IF(Tableau13[[#This Row],[Repère]]="","",VLOOKUP(Tableau13[[#This Row],[Repère]],Tableau1[#All],11,FALSE))</f>
        <v/>
      </c>
      <c r="L65" s="14" t="str">
        <f>IF(Tableau13[[#This Row],[Repère]]="","",VLOOKUP(Tableau13[[#This Row],[Repère]],Tableau1[#All],12,FALSE))</f>
        <v/>
      </c>
    </row>
    <row r="66" spans="1:12" x14ac:dyDescent="0.3">
      <c r="A66" s="18"/>
      <c r="B66" s="19"/>
      <c r="C66" s="13" t="str">
        <f>IF(Tableau13[[#This Row],[Repère]]="","",VLOOKUP(Tableau13[[#This Row],[Repère]],Tableau1[#All],3,FALSE))</f>
        <v/>
      </c>
      <c r="D66" s="13" t="str">
        <f>IF(Tableau13[[#This Row],[Repère]]="","",VLOOKUP(Tableau13[[#This Row],[Repère]],Tableau1[#All],4,FALSE))</f>
        <v/>
      </c>
      <c r="E66" s="13" t="str">
        <f>IF(Tableau13[[#This Row],[Repère]]="","",VLOOKUP(Tableau13[[#This Row],[Repère]],Tableau1[#All],5,FALSE))</f>
        <v/>
      </c>
      <c r="F66" s="13" t="str">
        <f>IF(Tableau13[[#This Row],[Repère]]="","",VLOOKUP(Tableau13[[#This Row],[Repère]],Tableau1[#All],6,FALSE))</f>
        <v/>
      </c>
      <c r="G66" s="13" t="str">
        <f>IF(Tableau13[[#This Row],[Repère]]="","",VLOOKUP(Tableau13[[#This Row],[Repère]],Tableau1[#All],7,FALSE))</f>
        <v/>
      </c>
      <c r="H66" s="13" t="str">
        <f>IF(Tableau13[[#This Row],[Repère]]="","",VLOOKUP(Tableau13[[#This Row],[Repère]],Tableau1[#All],8,FALSE))</f>
        <v/>
      </c>
      <c r="I66" s="13" t="str">
        <f>IF(Tableau13[[#This Row],[Repère]]="","",VLOOKUP(Tableau13[[#This Row],[Repère]],Tableau1[#All],9,FALSE))</f>
        <v/>
      </c>
      <c r="J66" s="13" t="str">
        <f>IF(Tableau13[[#This Row],[Repère]]="","",VLOOKUP(Tableau13[[#This Row],[Repère]],Tableau1[#All],10,FALSE))</f>
        <v/>
      </c>
      <c r="K66" s="13" t="str">
        <f>IF(Tableau13[[#This Row],[Repère]]="","",VLOOKUP(Tableau13[[#This Row],[Repère]],Tableau1[#All],11,FALSE))</f>
        <v/>
      </c>
      <c r="L66" s="14" t="str">
        <f>IF(Tableau13[[#This Row],[Repère]]="","",VLOOKUP(Tableau13[[#This Row],[Repère]],Tableau1[#All],12,FALSE))</f>
        <v/>
      </c>
    </row>
    <row r="67" spans="1:12" x14ac:dyDescent="0.3">
      <c r="A67" s="18"/>
      <c r="B67" s="19"/>
      <c r="C67" s="13" t="str">
        <f>IF(Tableau13[[#This Row],[Repère]]="","",VLOOKUP(Tableau13[[#This Row],[Repère]],Tableau1[#All],3,FALSE))</f>
        <v/>
      </c>
      <c r="D67" s="13" t="str">
        <f>IF(Tableau13[[#This Row],[Repère]]="","",VLOOKUP(Tableau13[[#This Row],[Repère]],Tableau1[#All],4,FALSE))</f>
        <v/>
      </c>
      <c r="E67" s="13" t="str">
        <f>IF(Tableau13[[#This Row],[Repère]]="","",VLOOKUP(Tableau13[[#This Row],[Repère]],Tableau1[#All],5,FALSE))</f>
        <v/>
      </c>
      <c r="F67" s="13" t="str">
        <f>IF(Tableau13[[#This Row],[Repère]]="","",VLOOKUP(Tableau13[[#This Row],[Repère]],Tableau1[#All],6,FALSE))</f>
        <v/>
      </c>
      <c r="G67" s="13" t="str">
        <f>IF(Tableau13[[#This Row],[Repère]]="","",VLOOKUP(Tableau13[[#This Row],[Repère]],Tableau1[#All],7,FALSE))</f>
        <v/>
      </c>
      <c r="H67" s="13" t="str">
        <f>IF(Tableau13[[#This Row],[Repère]]="","",VLOOKUP(Tableau13[[#This Row],[Repère]],Tableau1[#All],8,FALSE))</f>
        <v/>
      </c>
      <c r="I67" s="13" t="str">
        <f>IF(Tableau13[[#This Row],[Repère]]="","",VLOOKUP(Tableau13[[#This Row],[Repère]],Tableau1[#All],9,FALSE))</f>
        <v/>
      </c>
      <c r="J67" s="13" t="str">
        <f>IF(Tableau13[[#This Row],[Repère]]="","",VLOOKUP(Tableau13[[#This Row],[Repère]],Tableau1[#All],10,FALSE))</f>
        <v/>
      </c>
      <c r="K67" s="13" t="str">
        <f>IF(Tableau13[[#This Row],[Repère]]="","",VLOOKUP(Tableau13[[#This Row],[Repère]],Tableau1[#All],11,FALSE))</f>
        <v/>
      </c>
      <c r="L67" s="14" t="str">
        <f>IF(Tableau13[[#This Row],[Repère]]="","",VLOOKUP(Tableau13[[#This Row],[Repère]],Tableau1[#All],12,FALSE))</f>
        <v/>
      </c>
    </row>
    <row r="68" spans="1:12" x14ac:dyDescent="0.3">
      <c r="A68" s="18"/>
      <c r="B68" s="19"/>
      <c r="C68" s="13" t="str">
        <f>IF(Tableau13[[#This Row],[Repère]]="","",VLOOKUP(Tableau13[[#This Row],[Repère]],Tableau1[#All],3,FALSE))</f>
        <v/>
      </c>
      <c r="D68" s="13" t="str">
        <f>IF(Tableau13[[#This Row],[Repère]]="","",VLOOKUP(Tableau13[[#This Row],[Repère]],Tableau1[#All],4,FALSE))</f>
        <v/>
      </c>
      <c r="E68" s="13" t="str">
        <f>IF(Tableau13[[#This Row],[Repère]]="","",VLOOKUP(Tableau13[[#This Row],[Repère]],Tableau1[#All],5,FALSE))</f>
        <v/>
      </c>
      <c r="F68" s="13" t="str">
        <f>IF(Tableau13[[#This Row],[Repère]]="","",VLOOKUP(Tableau13[[#This Row],[Repère]],Tableau1[#All],6,FALSE))</f>
        <v/>
      </c>
      <c r="G68" s="13" t="str">
        <f>IF(Tableau13[[#This Row],[Repère]]="","",VLOOKUP(Tableau13[[#This Row],[Repère]],Tableau1[#All],7,FALSE))</f>
        <v/>
      </c>
      <c r="H68" s="13" t="str">
        <f>IF(Tableau13[[#This Row],[Repère]]="","",VLOOKUP(Tableau13[[#This Row],[Repère]],Tableau1[#All],8,FALSE))</f>
        <v/>
      </c>
      <c r="I68" s="13" t="str">
        <f>IF(Tableau13[[#This Row],[Repère]]="","",VLOOKUP(Tableau13[[#This Row],[Repère]],Tableau1[#All],9,FALSE))</f>
        <v/>
      </c>
      <c r="J68" s="13" t="str">
        <f>IF(Tableau13[[#This Row],[Repère]]="","",VLOOKUP(Tableau13[[#This Row],[Repère]],Tableau1[#All],10,FALSE))</f>
        <v/>
      </c>
      <c r="K68" s="13" t="str">
        <f>IF(Tableau13[[#This Row],[Repère]]="","",VLOOKUP(Tableau13[[#This Row],[Repère]],Tableau1[#All],11,FALSE))</f>
        <v/>
      </c>
      <c r="L68" s="14" t="str">
        <f>IF(Tableau13[[#This Row],[Repère]]="","",VLOOKUP(Tableau13[[#This Row],[Repère]],Tableau1[#All],12,FALSE))</f>
        <v/>
      </c>
    </row>
    <row r="69" spans="1:12" x14ac:dyDescent="0.3">
      <c r="A69" s="18"/>
      <c r="B69" s="19"/>
      <c r="C69" s="13" t="str">
        <f>IF(Tableau13[[#This Row],[Repère]]="","",VLOOKUP(Tableau13[[#This Row],[Repère]],Tableau1[#All],3,FALSE))</f>
        <v/>
      </c>
      <c r="D69" s="13" t="str">
        <f>IF(Tableau13[[#This Row],[Repère]]="","",VLOOKUP(Tableau13[[#This Row],[Repère]],Tableau1[#All],4,FALSE))</f>
        <v/>
      </c>
      <c r="E69" s="13" t="str">
        <f>IF(Tableau13[[#This Row],[Repère]]="","",VLOOKUP(Tableau13[[#This Row],[Repère]],Tableau1[#All],5,FALSE))</f>
        <v/>
      </c>
      <c r="F69" s="13" t="str">
        <f>IF(Tableau13[[#This Row],[Repère]]="","",VLOOKUP(Tableau13[[#This Row],[Repère]],Tableau1[#All],6,FALSE))</f>
        <v/>
      </c>
      <c r="G69" s="13" t="str">
        <f>IF(Tableau13[[#This Row],[Repère]]="","",VLOOKUP(Tableau13[[#This Row],[Repère]],Tableau1[#All],7,FALSE))</f>
        <v/>
      </c>
      <c r="H69" s="13" t="str">
        <f>IF(Tableau13[[#This Row],[Repère]]="","",VLOOKUP(Tableau13[[#This Row],[Repère]],Tableau1[#All],8,FALSE))</f>
        <v/>
      </c>
      <c r="I69" s="13" t="str">
        <f>IF(Tableau13[[#This Row],[Repère]]="","",VLOOKUP(Tableau13[[#This Row],[Repère]],Tableau1[#All],9,FALSE))</f>
        <v/>
      </c>
      <c r="J69" s="13" t="str">
        <f>IF(Tableau13[[#This Row],[Repère]]="","",VLOOKUP(Tableau13[[#This Row],[Repère]],Tableau1[#All],10,FALSE))</f>
        <v/>
      </c>
      <c r="K69" s="13" t="str">
        <f>IF(Tableau13[[#This Row],[Repère]]="","",VLOOKUP(Tableau13[[#This Row],[Repère]],Tableau1[#All],11,FALSE))</f>
        <v/>
      </c>
      <c r="L69" s="14" t="str">
        <f>IF(Tableau13[[#This Row],[Repère]]="","",VLOOKUP(Tableau13[[#This Row],[Repère]],Tableau1[#All],12,FALSE))</f>
        <v/>
      </c>
    </row>
    <row r="70" spans="1:12" x14ac:dyDescent="0.3">
      <c r="A70" s="18"/>
      <c r="B70" s="19"/>
      <c r="C70" s="13" t="str">
        <f>IF(Tableau13[[#This Row],[Repère]]="","",VLOOKUP(Tableau13[[#This Row],[Repère]],Tableau1[#All],3,FALSE))</f>
        <v/>
      </c>
      <c r="D70" s="13" t="str">
        <f>IF(Tableau13[[#This Row],[Repère]]="","",VLOOKUP(Tableau13[[#This Row],[Repère]],Tableau1[#All],4,FALSE))</f>
        <v/>
      </c>
      <c r="E70" s="13" t="str">
        <f>IF(Tableau13[[#This Row],[Repère]]="","",VLOOKUP(Tableau13[[#This Row],[Repère]],Tableau1[#All],5,FALSE))</f>
        <v/>
      </c>
      <c r="F70" s="13" t="str">
        <f>IF(Tableau13[[#This Row],[Repère]]="","",VLOOKUP(Tableau13[[#This Row],[Repère]],Tableau1[#All],6,FALSE))</f>
        <v/>
      </c>
      <c r="G70" s="13" t="str">
        <f>IF(Tableau13[[#This Row],[Repère]]="","",VLOOKUP(Tableau13[[#This Row],[Repère]],Tableau1[#All],7,FALSE))</f>
        <v/>
      </c>
      <c r="H70" s="13" t="str">
        <f>IF(Tableau13[[#This Row],[Repère]]="","",VLOOKUP(Tableau13[[#This Row],[Repère]],Tableau1[#All],8,FALSE))</f>
        <v/>
      </c>
      <c r="I70" s="13" t="str">
        <f>IF(Tableau13[[#This Row],[Repère]]="","",VLOOKUP(Tableau13[[#This Row],[Repère]],Tableau1[#All],9,FALSE))</f>
        <v/>
      </c>
      <c r="J70" s="13" t="str">
        <f>IF(Tableau13[[#This Row],[Repère]]="","",VLOOKUP(Tableau13[[#This Row],[Repère]],Tableau1[#All],10,FALSE))</f>
        <v/>
      </c>
      <c r="K70" s="13" t="str">
        <f>IF(Tableau13[[#This Row],[Repère]]="","",VLOOKUP(Tableau13[[#This Row],[Repère]],Tableau1[#All],11,FALSE))</f>
        <v/>
      </c>
      <c r="L70" s="14" t="str">
        <f>IF(Tableau13[[#This Row],[Repère]]="","",VLOOKUP(Tableau13[[#This Row],[Repère]],Tableau1[#All],12,FALSE))</f>
        <v/>
      </c>
    </row>
    <row r="71" spans="1:12" x14ac:dyDescent="0.3">
      <c r="A71" s="18"/>
      <c r="B71" s="19"/>
      <c r="C71" s="13" t="str">
        <f>IF(Tableau13[[#This Row],[Repère]]="","",VLOOKUP(Tableau13[[#This Row],[Repère]],Tableau1[#All],3,FALSE))</f>
        <v/>
      </c>
      <c r="D71" s="13" t="str">
        <f>IF(Tableau13[[#This Row],[Repère]]="","",VLOOKUP(Tableau13[[#This Row],[Repère]],Tableau1[#All],4,FALSE))</f>
        <v/>
      </c>
      <c r="E71" s="13" t="str">
        <f>IF(Tableau13[[#This Row],[Repère]]="","",VLOOKUP(Tableau13[[#This Row],[Repère]],Tableau1[#All],5,FALSE))</f>
        <v/>
      </c>
      <c r="F71" s="13" t="str">
        <f>IF(Tableau13[[#This Row],[Repère]]="","",VLOOKUP(Tableau13[[#This Row],[Repère]],Tableau1[#All],6,FALSE))</f>
        <v/>
      </c>
      <c r="G71" s="13" t="str">
        <f>IF(Tableau13[[#This Row],[Repère]]="","",VLOOKUP(Tableau13[[#This Row],[Repère]],Tableau1[#All],7,FALSE))</f>
        <v/>
      </c>
      <c r="H71" s="13" t="str">
        <f>IF(Tableau13[[#This Row],[Repère]]="","",VLOOKUP(Tableau13[[#This Row],[Repère]],Tableau1[#All],8,FALSE))</f>
        <v/>
      </c>
      <c r="I71" s="13" t="str">
        <f>IF(Tableau13[[#This Row],[Repère]]="","",VLOOKUP(Tableau13[[#This Row],[Repère]],Tableau1[#All],9,FALSE))</f>
        <v/>
      </c>
      <c r="J71" s="13" t="str">
        <f>IF(Tableau13[[#This Row],[Repère]]="","",VLOOKUP(Tableau13[[#This Row],[Repère]],Tableau1[#All],10,FALSE))</f>
        <v/>
      </c>
      <c r="K71" s="13" t="str">
        <f>IF(Tableau13[[#This Row],[Repère]]="","",VLOOKUP(Tableau13[[#This Row],[Repère]],Tableau1[#All],11,FALSE))</f>
        <v/>
      </c>
      <c r="L71" s="14" t="str">
        <f>IF(Tableau13[[#This Row],[Repère]]="","",VLOOKUP(Tableau13[[#This Row],[Repère]],Tableau1[#All],12,FALSE))</f>
        <v/>
      </c>
    </row>
    <row r="72" spans="1:12" x14ac:dyDescent="0.3">
      <c r="A72" s="18"/>
      <c r="B72" s="19"/>
      <c r="C72" s="13" t="str">
        <f>IF(Tableau13[[#This Row],[Repère]]="","",VLOOKUP(Tableau13[[#This Row],[Repère]],Tableau1[#All],3,FALSE))</f>
        <v/>
      </c>
      <c r="D72" s="13" t="str">
        <f>IF(Tableau13[[#This Row],[Repère]]="","",VLOOKUP(Tableau13[[#This Row],[Repère]],Tableau1[#All],4,FALSE))</f>
        <v/>
      </c>
      <c r="E72" s="13" t="str">
        <f>IF(Tableau13[[#This Row],[Repère]]="","",VLOOKUP(Tableau13[[#This Row],[Repère]],Tableau1[#All],5,FALSE))</f>
        <v/>
      </c>
      <c r="F72" s="13" t="str">
        <f>IF(Tableau13[[#This Row],[Repère]]="","",VLOOKUP(Tableau13[[#This Row],[Repère]],Tableau1[#All],6,FALSE))</f>
        <v/>
      </c>
      <c r="G72" s="13" t="str">
        <f>IF(Tableau13[[#This Row],[Repère]]="","",VLOOKUP(Tableau13[[#This Row],[Repère]],Tableau1[#All],7,FALSE))</f>
        <v/>
      </c>
      <c r="H72" s="13" t="str">
        <f>IF(Tableau13[[#This Row],[Repère]]="","",VLOOKUP(Tableau13[[#This Row],[Repère]],Tableau1[#All],8,FALSE))</f>
        <v/>
      </c>
      <c r="I72" s="13" t="str">
        <f>IF(Tableau13[[#This Row],[Repère]]="","",VLOOKUP(Tableau13[[#This Row],[Repère]],Tableau1[#All],9,FALSE))</f>
        <v/>
      </c>
      <c r="J72" s="13" t="str">
        <f>IF(Tableau13[[#This Row],[Repère]]="","",VLOOKUP(Tableau13[[#This Row],[Repère]],Tableau1[#All],10,FALSE))</f>
        <v/>
      </c>
      <c r="K72" s="13" t="str">
        <f>IF(Tableau13[[#This Row],[Repère]]="","",VLOOKUP(Tableau13[[#This Row],[Repère]],Tableau1[#All],11,FALSE))</f>
        <v/>
      </c>
      <c r="L72" s="14" t="str">
        <f>IF(Tableau13[[#This Row],[Repère]]="","",VLOOKUP(Tableau13[[#This Row],[Repère]],Tableau1[#All],12,FALSE))</f>
        <v/>
      </c>
    </row>
    <row r="73" spans="1:12" x14ac:dyDescent="0.3">
      <c r="A73" s="18"/>
      <c r="B73" s="19"/>
      <c r="C73" s="13" t="str">
        <f>IF(Tableau13[[#This Row],[Repère]]="","",VLOOKUP(Tableau13[[#This Row],[Repère]],Tableau1[#All],3,FALSE))</f>
        <v/>
      </c>
      <c r="D73" s="13" t="str">
        <f>IF(Tableau13[[#This Row],[Repère]]="","",VLOOKUP(Tableau13[[#This Row],[Repère]],Tableau1[#All],4,FALSE))</f>
        <v/>
      </c>
      <c r="E73" s="13" t="str">
        <f>IF(Tableau13[[#This Row],[Repère]]="","",VLOOKUP(Tableau13[[#This Row],[Repère]],Tableau1[#All],5,FALSE))</f>
        <v/>
      </c>
      <c r="F73" s="13" t="str">
        <f>IF(Tableau13[[#This Row],[Repère]]="","",VLOOKUP(Tableau13[[#This Row],[Repère]],Tableau1[#All],6,FALSE))</f>
        <v/>
      </c>
      <c r="G73" s="13" t="str">
        <f>IF(Tableau13[[#This Row],[Repère]]="","",VLOOKUP(Tableau13[[#This Row],[Repère]],Tableau1[#All],7,FALSE))</f>
        <v/>
      </c>
      <c r="H73" s="13" t="str">
        <f>IF(Tableau13[[#This Row],[Repère]]="","",VLOOKUP(Tableau13[[#This Row],[Repère]],Tableau1[#All],8,FALSE))</f>
        <v/>
      </c>
      <c r="I73" s="13" t="str">
        <f>IF(Tableau13[[#This Row],[Repère]]="","",VLOOKUP(Tableau13[[#This Row],[Repère]],Tableau1[#All],9,FALSE))</f>
        <v/>
      </c>
      <c r="J73" s="13" t="str">
        <f>IF(Tableau13[[#This Row],[Repère]]="","",VLOOKUP(Tableau13[[#This Row],[Repère]],Tableau1[#All],10,FALSE))</f>
        <v/>
      </c>
      <c r="K73" s="13" t="str">
        <f>IF(Tableau13[[#This Row],[Repère]]="","",VLOOKUP(Tableau13[[#This Row],[Repère]],Tableau1[#All],11,FALSE))</f>
        <v/>
      </c>
      <c r="L73" s="14" t="str">
        <f>IF(Tableau13[[#This Row],[Repère]]="","",VLOOKUP(Tableau13[[#This Row],[Repère]],Tableau1[#All],12,FALSE))</f>
        <v/>
      </c>
    </row>
    <row r="74" spans="1:12" x14ac:dyDescent="0.3">
      <c r="A74" s="18"/>
      <c r="B74" s="19"/>
      <c r="C74" s="13" t="str">
        <f>IF(Tableau13[[#This Row],[Repère]]="","",VLOOKUP(Tableau13[[#This Row],[Repère]],Tableau1[#All],3,FALSE))</f>
        <v/>
      </c>
      <c r="D74" s="13" t="str">
        <f>IF(Tableau13[[#This Row],[Repère]]="","",VLOOKUP(Tableau13[[#This Row],[Repère]],Tableau1[#All],4,FALSE))</f>
        <v/>
      </c>
      <c r="E74" s="13" t="str">
        <f>IF(Tableau13[[#This Row],[Repère]]="","",VLOOKUP(Tableau13[[#This Row],[Repère]],Tableau1[#All],5,FALSE))</f>
        <v/>
      </c>
      <c r="F74" s="13" t="str">
        <f>IF(Tableau13[[#This Row],[Repère]]="","",VLOOKUP(Tableau13[[#This Row],[Repère]],Tableau1[#All],6,FALSE))</f>
        <v/>
      </c>
      <c r="G74" s="13" t="str">
        <f>IF(Tableau13[[#This Row],[Repère]]="","",VLOOKUP(Tableau13[[#This Row],[Repère]],Tableau1[#All],7,FALSE))</f>
        <v/>
      </c>
      <c r="H74" s="13" t="str">
        <f>IF(Tableau13[[#This Row],[Repère]]="","",VLOOKUP(Tableau13[[#This Row],[Repère]],Tableau1[#All],8,FALSE))</f>
        <v/>
      </c>
      <c r="I74" s="13" t="str">
        <f>IF(Tableau13[[#This Row],[Repère]]="","",VLOOKUP(Tableau13[[#This Row],[Repère]],Tableau1[#All],9,FALSE))</f>
        <v/>
      </c>
      <c r="J74" s="13" t="str">
        <f>IF(Tableau13[[#This Row],[Repère]]="","",VLOOKUP(Tableau13[[#This Row],[Repère]],Tableau1[#All],10,FALSE))</f>
        <v/>
      </c>
      <c r="K74" s="13" t="str">
        <f>IF(Tableau13[[#This Row],[Repère]]="","",VLOOKUP(Tableau13[[#This Row],[Repère]],Tableau1[#All],11,FALSE))</f>
        <v/>
      </c>
      <c r="L74" s="14" t="str">
        <f>IF(Tableau13[[#This Row],[Repère]]="","",VLOOKUP(Tableau13[[#This Row],[Repère]],Tableau1[#All],12,FALSE))</f>
        <v/>
      </c>
    </row>
    <row r="75" spans="1:12" x14ac:dyDescent="0.3">
      <c r="A75" s="18"/>
      <c r="B75" s="19"/>
      <c r="C75" s="13" t="str">
        <f>IF(Tableau13[[#This Row],[Repère]]="","",VLOOKUP(Tableau13[[#This Row],[Repère]],Tableau1[#All],3,FALSE))</f>
        <v/>
      </c>
      <c r="D75" s="13" t="str">
        <f>IF(Tableau13[[#This Row],[Repère]]="","",VLOOKUP(Tableau13[[#This Row],[Repère]],Tableau1[#All],4,FALSE))</f>
        <v/>
      </c>
      <c r="E75" s="13" t="str">
        <f>IF(Tableau13[[#This Row],[Repère]]="","",VLOOKUP(Tableau13[[#This Row],[Repère]],Tableau1[#All],5,FALSE))</f>
        <v/>
      </c>
      <c r="F75" s="13" t="str">
        <f>IF(Tableau13[[#This Row],[Repère]]="","",VLOOKUP(Tableau13[[#This Row],[Repère]],Tableau1[#All],6,FALSE))</f>
        <v/>
      </c>
      <c r="G75" s="13" t="str">
        <f>IF(Tableau13[[#This Row],[Repère]]="","",VLOOKUP(Tableau13[[#This Row],[Repère]],Tableau1[#All],7,FALSE))</f>
        <v/>
      </c>
      <c r="H75" s="13" t="str">
        <f>IF(Tableau13[[#This Row],[Repère]]="","",VLOOKUP(Tableau13[[#This Row],[Repère]],Tableau1[#All],8,FALSE))</f>
        <v/>
      </c>
      <c r="I75" s="13" t="str">
        <f>IF(Tableau13[[#This Row],[Repère]]="","",VLOOKUP(Tableau13[[#This Row],[Repère]],Tableau1[#All],9,FALSE))</f>
        <v/>
      </c>
      <c r="J75" s="13" t="str">
        <f>IF(Tableau13[[#This Row],[Repère]]="","",VLOOKUP(Tableau13[[#This Row],[Repère]],Tableau1[#All],10,FALSE))</f>
        <v/>
      </c>
      <c r="K75" s="13" t="str">
        <f>IF(Tableau13[[#This Row],[Repère]]="","",VLOOKUP(Tableau13[[#This Row],[Repère]],Tableau1[#All],11,FALSE))</f>
        <v/>
      </c>
      <c r="L75" s="14" t="str">
        <f>IF(Tableau13[[#This Row],[Repère]]="","",VLOOKUP(Tableau13[[#This Row],[Repère]],Tableau1[#All],12,FALSE))</f>
        <v/>
      </c>
    </row>
    <row r="76" spans="1:12" x14ac:dyDescent="0.3">
      <c r="A76" s="18"/>
      <c r="B76" s="19"/>
      <c r="C76" s="13" t="str">
        <f>IF(Tableau13[[#This Row],[Repère]]="","",VLOOKUP(Tableau13[[#This Row],[Repère]],Tableau1[#All],3,FALSE))</f>
        <v/>
      </c>
      <c r="D76" s="13" t="str">
        <f>IF(Tableau13[[#This Row],[Repère]]="","",VLOOKUP(Tableau13[[#This Row],[Repère]],Tableau1[#All],4,FALSE))</f>
        <v/>
      </c>
      <c r="E76" s="13" t="str">
        <f>IF(Tableau13[[#This Row],[Repère]]="","",VLOOKUP(Tableau13[[#This Row],[Repère]],Tableau1[#All],5,FALSE))</f>
        <v/>
      </c>
      <c r="F76" s="13" t="str">
        <f>IF(Tableau13[[#This Row],[Repère]]="","",VLOOKUP(Tableau13[[#This Row],[Repère]],Tableau1[#All],6,FALSE))</f>
        <v/>
      </c>
      <c r="G76" s="13" t="str">
        <f>IF(Tableau13[[#This Row],[Repère]]="","",VLOOKUP(Tableau13[[#This Row],[Repère]],Tableau1[#All],7,FALSE))</f>
        <v/>
      </c>
      <c r="H76" s="13" t="str">
        <f>IF(Tableau13[[#This Row],[Repère]]="","",VLOOKUP(Tableau13[[#This Row],[Repère]],Tableau1[#All],8,FALSE))</f>
        <v/>
      </c>
      <c r="I76" s="13" t="str">
        <f>IF(Tableau13[[#This Row],[Repère]]="","",VLOOKUP(Tableau13[[#This Row],[Repère]],Tableau1[#All],9,FALSE))</f>
        <v/>
      </c>
      <c r="J76" s="13" t="str">
        <f>IF(Tableau13[[#This Row],[Repère]]="","",VLOOKUP(Tableau13[[#This Row],[Repère]],Tableau1[#All],10,FALSE))</f>
        <v/>
      </c>
      <c r="K76" s="13" t="str">
        <f>IF(Tableau13[[#This Row],[Repère]]="","",VLOOKUP(Tableau13[[#This Row],[Repère]],Tableau1[#All],11,FALSE))</f>
        <v/>
      </c>
      <c r="L76" s="14" t="str">
        <f>IF(Tableau13[[#This Row],[Repère]]="","",VLOOKUP(Tableau13[[#This Row],[Repère]],Tableau1[#All],12,FALSE))</f>
        <v/>
      </c>
    </row>
    <row r="77" spans="1:12" x14ac:dyDescent="0.3">
      <c r="A77" s="18"/>
      <c r="B77" s="19"/>
      <c r="C77" s="13" t="str">
        <f>IF(Tableau13[[#This Row],[Repère]]="","",VLOOKUP(Tableau13[[#This Row],[Repère]],Tableau1[#All],3,FALSE))</f>
        <v/>
      </c>
      <c r="D77" s="13" t="str">
        <f>IF(Tableau13[[#This Row],[Repère]]="","",VLOOKUP(Tableau13[[#This Row],[Repère]],Tableau1[#All],4,FALSE))</f>
        <v/>
      </c>
      <c r="E77" s="13" t="str">
        <f>IF(Tableau13[[#This Row],[Repère]]="","",VLOOKUP(Tableau13[[#This Row],[Repère]],Tableau1[#All],5,FALSE))</f>
        <v/>
      </c>
      <c r="F77" s="13" t="str">
        <f>IF(Tableau13[[#This Row],[Repère]]="","",VLOOKUP(Tableau13[[#This Row],[Repère]],Tableau1[#All],6,FALSE))</f>
        <v/>
      </c>
      <c r="G77" s="13" t="str">
        <f>IF(Tableau13[[#This Row],[Repère]]="","",VLOOKUP(Tableau13[[#This Row],[Repère]],Tableau1[#All],7,FALSE))</f>
        <v/>
      </c>
      <c r="H77" s="13" t="str">
        <f>IF(Tableau13[[#This Row],[Repère]]="","",VLOOKUP(Tableau13[[#This Row],[Repère]],Tableau1[#All],8,FALSE))</f>
        <v/>
      </c>
      <c r="I77" s="13" t="str">
        <f>IF(Tableau13[[#This Row],[Repère]]="","",VLOOKUP(Tableau13[[#This Row],[Repère]],Tableau1[#All],9,FALSE))</f>
        <v/>
      </c>
      <c r="J77" s="13" t="str">
        <f>IF(Tableau13[[#This Row],[Repère]]="","",VLOOKUP(Tableau13[[#This Row],[Repère]],Tableau1[#All],10,FALSE))</f>
        <v/>
      </c>
      <c r="K77" s="13" t="str">
        <f>IF(Tableau13[[#This Row],[Repère]]="","",VLOOKUP(Tableau13[[#This Row],[Repère]],Tableau1[#All],11,FALSE))</f>
        <v/>
      </c>
      <c r="L77" s="14" t="str">
        <f>IF(Tableau13[[#This Row],[Repère]]="","",VLOOKUP(Tableau13[[#This Row],[Repère]],Tableau1[#All],12,FALSE))</f>
        <v/>
      </c>
    </row>
    <row r="78" spans="1:12" x14ac:dyDescent="0.3">
      <c r="A78" s="18"/>
      <c r="B78" s="19"/>
      <c r="C78" s="13" t="str">
        <f>IF(Tableau13[[#This Row],[Repère]]="","",VLOOKUP(Tableau13[[#This Row],[Repère]],Tableau1[#All],3,FALSE))</f>
        <v/>
      </c>
      <c r="D78" s="13" t="str">
        <f>IF(Tableau13[[#This Row],[Repère]]="","",VLOOKUP(Tableau13[[#This Row],[Repère]],Tableau1[#All],4,FALSE))</f>
        <v/>
      </c>
      <c r="E78" s="13" t="str">
        <f>IF(Tableau13[[#This Row],[Repère]]="","",VLOOKUP(Tableau13[[#This Row],[Repère]],Tableau1[#All],5,FALSE))</f>
        <v/>
      </c>
      <c r="F78" s="13" t="str">
        <f>IF(Tableau13[[#This Row],[Repère]]="","",VLOOKUP(Tableau13[[#This Row],[Repère]],Tableau1[#All],6,FALSE))</f>
        <v/>
      </c>
      <c r="G78" s="13" t="str">
        <f>IF(Tableau13[[#This Row],[Repère]]="","",VLOOKUP(Tableau13[[#This Row],[Repère]],Tableau1[#All],7,FALSE))</f>
        <v/>
      </c>
      <c r="H78" s="13" t="str">
        <f>IF(Tableau13[[#This Row],[Repère]]="","",VLOOKUP(Tableau13[[#This Row],[Repère]],Tableau1[#All],8,FALSE))</f>
        <v/>
      </c>
      <c r="I78" s="13" t="str">
        <f>IF(Tableau13[[#This Row],[Repère]]="","",VLOOKUP(Tableau13[[#This Row],[Repère]],Tableau1[#All],9,FALSE))</f>
        <v/>
      </c>
      <c r="J78" s="13" t="str">
        <f>IF(Tableau13[[#This Row],[Repère]]="","",VLOOKUP(Tableau13[[#This Row],[Repère]],Tableau1[#All],10,FALSE))</f>
        <v/>
      </c>
      <c r="K78" s="13" t="str">
        <f>IF(Tableau13[[#This Row],[Repère]]="","",VLOOKUP(Tableau13[[#This Row],[Repère]],Tableau1[#All],11,FALSE))</f>
        <v/>
      </c>
      <c r="L78" s="14" t="str">
        <f>IF(Tableau13[[#This Row],[Repère]]="","",VLOOKUP(Tableau13[[#This Row],[Repère]],Tableau1[#All],12,FALSE))</f>
        <v/>
      </c>
    </row>
    <row r="79" spans="1:12" x14ac:dyDescent="0.3">
      <c r="A79" s="18"/>
      <c r="B79" s="19"/>
      <c r="C79" s="13" t="str">
        <f>IF(Tableau13[[#This Row],[Repère]]="","",VLOOKUP(Tableau13[[#This Row],[Repère]],Tableau1[#All],3,FALSE))</f>
        <v/>
      </c>
      <c r="D79" s="13" t="str">
        <f>IF(Tableau13[[#This Row],[Repère]]="","",VLOOKUP(Tableau13[[#This Row],[Repère]],Tableau1[#All],4,FALSE))</f>
        <v/>
      </c>
      <c r="E79" s="13" t="str">
        <f>IF(Tableau13[[#This Row],[Repère]]="","",VLOOKUP(Tableau13[[#This Row],[Repère]],Tableau1[#All],5,FALSE))</f>
        <v/>
      </c>
      <c r="F79" s="13" t="str">
        <f>IF(Tableau13[[#This Row],[Repère]]="","",VLOOKUP(Tableau13[[#This Row],[Repère]],Tableau1[#All],6,FALSE))</f>
        <v/>
      </c>
      <c r="G79" s="13" t="str">
        <f>IF(Tableau13[[#This Row],[Repère]]="","",VLOOKUP(Tableau13[[#This Row],[Repère]],Tableau1[#All],7,FALSE))</f>
        <v/>
      </c>
      <c r="H79" s="13" t="str">
        <f>IF(Tableau13[[#This Row],[Repère]]="","",VLOOKUP(Tableau13[[#This Row],[Repère]],Tableau1[#All],8,FALSE))</f>
        <v/>
      </c>
      <c r="I79" s="13" t="str">
        <f>IF(Tableau13[[#This Row],[Repère]]="","",VLOOKUP(Tableau13[[#This Row],[Repère]],Tableau1[#All],9,FALSE))</f>
        <v/>
      </c>
      <c r="J79" s="13" t="str">
        <f>IF(Tableau13[[#This Row],[Repère]]="","",VLOOKUP(Tableau13[[#This Row],[Repère]],Tableau1[#All],10,FALSE))</f>
        <v/>
      </c>
      <c r="K79" s="13" t="str">
        <f>IF(Tableau13[[#This Row],[Repère]]="","",VLOOKUP(Tableau13[[#This Row],[Repère]],Tableau1[#All],11,FALSE))</f>
        <v/>
      </c>
      <c r="L79" s="14" t="str">
        <f>IF(Tableau13[[#This Row],[Repère]]="","",VLOOKUP(Tableau13[[#This Row],[Repère]],Tableau1[#All],12,FALSE))</f>
        <v/>
      </c>
    </row>
    <row r="80" spans="1:12" x14ac:dyDescent="0.3">
      <c r="A80" s="18"/>
      <c r="B80" s="19"/>
      <c r="C80" s="13" t="str">
        <f>IF(Tableau13[[#This Row],[Repère]]="","",VLOOKUP(Tableau13[[#This Row],[Repère]],Tableau1[#All],3,FALSE))</f>
        <v/>
      </c>
      <c r="D80" s="13" t="str">
        <f>IF(Tableau13[[#This Row],[Repère]]="","",VLOOKUP(Tableau13[[#This Row],[Repère]],Tableau1[#All],4,FALSE))</f>
        <v/>
      </c>
      <c r="E80" s="13" t="str">
        <f>IF(Tableau13[[#This Row],[Repère]]="","",VLOOKUP(Tableau13[[#This Row],[Repère]],Tableau1[#All],5,FALSE))</f>
        <v/>
      </c>
      <c r="F80" s="13" t="str">
        <f>IF(Tableau13[[#This Row],[Repère]]="","",VLOOKUP(Tableau13[[#This Row],[Repère]],Tableau1[#All],6,FALSE))</f>
        <v/>
      </c>
      <c r="G80" s="13" t="str">
        <f>IF(Tableau13[[#This Row],[Repère]]="","",VLOOKUP(Tableau13[[#This Row],[Repère]],Tableau1[#All],7,FALSE))</f>
        <v/>
      </c>
      <c r="H80" s="13" t="str">
        <f>IF(Tableau13[[#This Row],[Repère]]="","",VLOOKUP(Tableau13[[#This Row],[Repère]],Tableau1[#All],8,FALSE))</f>
        <v/>
      </c>
      <c r="I80" s="13" t="str">
        <f>IF(Tableau13[[#This Row],[Repère]]="","",VLOOKUP(Tableau13[[#This Row],[Repère]],Tableau1[#All],9,FALSE))</f>
        <v/>
      </c>
      <c r="J80" s="13" t="str">
        <f>IF(Tableau13[[#This Row],[Repère]]="","",VLOOKUP(Tableau13[[#This Row],[Repère]],Tableau1[#All],10,FALSE))</f>
        <v/>
      </c>
      <c r="K80" s="13" t="str">
        <f>IF(Tableau13[[#This Row],[Repère]]="","",VLOOKUP(Tableau13[[#This Row],[Repère]],Tableau1[#All],11,FALSE))</f>
        <v/>
      </c>
      <c r="L80" s="14" t="str">
        <f>IF(Tableau13[[#This Row],[Repère]]="","",VLOOKUP(Tableau13[[#This Row],[Repère]],Tableau1[#All],12,FALSE))</f>
        <v/>
      </c>
    </row>
    <row r="81" spans="1:12" x14ac:dyDescent="0.3">
      <c r="A81" s="18"/>
      <c r="B81" s="19"/>
      <c r="C81" s="13" t="str">
        <f>IF(Tableau13[[#This Row],[Repère]]="","",VLOOKUP(Tableau13[[#This Row],[Repère]],Tableau1[#All],3,FALSE))</f>
        <v/>
      </c>
      <c r="D81" s="13" t="str">
        <f>IF(Tableau13[[#This Row],[Repère]]="","",VLOOKUP(Tableau13[[#This Row],[Repère]],Tableau1[#All],4,FALSE))</f>
        <v/>
      </c>
      <c r="E81" s="13" t="str">
        <f>IF(Tableau13[[#This Row],[Repère]]="","",VLOOKUP(Tableau13[[#This Row],[Repère]],Tableau1[#All],5,FALSE))</f>
        <v/>
      </c>
      <c r="F81" s="13" t="str">
        <f>IF(Tableau13[[#This Row],[Repère]]="","",VLOOKUP(Tableau13[[#This Row],[Repère]],Tableau1[#All],6,FALSE))</f>
        <v/>
      </c>
      <c r="G81" s="13" t="str">
        <f>IF(Tableau13[[#This Row],[Repère]]="","",VLOOKUP(Tableau13[[#This Row],[Repère]],Tableau1[#All],7,FALSE))</f>
        <v/>
      </c>
      <c r="H81" s="13" t="str">
        <f>IF(Tableau13[[#This Row],[Repère]]="","",VLOOKUP(Tableau13[[#This Row],[Repère]],Tableau1[#All],8,FALSE))</f>
        <v/>
      </c>
      <c r="I81" s="13" t="str">
        <f>IF(Tableau13[[#This Row],[Repère]]="","",VLOOKUP(Tableau13[[#This Row],[Repère]],Tableau1[#All],9,FALSE))</f>
        <v/>
      </c>
      <c r="J81" s="13" t="str">
        <f>IF(Tableau13[[#This Row],[Repère]]="","",VLOOKUP(Tableau13[[#This Row],[Repère]],Tableau1[#All],10,FALSE))</f>
        <v/>
      </c>
      <c r="K81" s="13" t="str">
        <f>IF(Tableau13[[#This Row],[Repère]]="","",VLOOKUP(Tableau13[[#This Row],[Repère]],Tableau1[#All],11,FALSE))</f>
        <v/>
      </c>
      <c r="L81" s="14" t="str">
        <f>IF(Tableau13[[#This Row],[Repère]]="","",VLOOKUP(Tableau13[[#This Row],[Repère]],Tableau1[#All],12,FALSE))</f>
        <v/>
      </c>
    </row>
    <row r="82" spans="1:12" x14ac:dyDescent="0.3">
      <c r="A82" s="18"/>
      <c r="B82" s="19"/>
      <c r="C82" s="13" t="str">
        <f>IF(Tableau13[[#This Row],[Repère]]="","",VLOOKUP(Tableau13[[#This Row],[Repère]],Tableau1[#All],3,FALSE))</f>
        <v/>
      </c>
      <c r="D82" s="13" t="str">
        <f>IF(Tableau13[[#This Row],[Repère]]="","",VLOOKUP(Tableau13[[#This Row],[Repère]],Tableau1[#All],4,FALSE))</f>
        <v/>
      </c>
      <c r="E82" s="13" t="str">
        <f>IF(Tableau13[[#This Row],[Repère]]="","",VLOOKUP(Tableau13[[#This Row],[Repère]],Tableau1[#All],5,FALSE))</f>
        <v/>
      </c>
      <c r="F82" s="13" t="str">
        <f>IF(Tableau13[[#This Row],[Repère]]="","",VLOOKUP(Tableau13[[#This Row],[Repère]],Tableau1[#All],6,FALSE))</f>
        <v/>
      </c>
      <c r="G82" s="13" t="str">
        <f>IF(Tableau13[[#This Row],[Repère]]="","",VLOOKUP(Tableau13[[#This Row],[Repère]],Tableau1[#All],7,FALSE))</f>
        <v/>
      </c>
      <c r="H82" s="13" t="str">
        <f>IF(Tableau13[[#This Row],[Repère]]="","",VLOOKUP(Tableau13[[#This Row],[Repère]],Tableau1[#All],8,FALSE))</f>
        <v/>
      </c>
      <c r="I82" s="13" t="str">
        <f>IF(Tableau13[[#This Row],[Repère]]="","",VLOOKUP(Tableau13[[#This Row],[Repère]],Tableau1[#All],9,FALSE))</f>
        <v/>
      </c>
      <c r="J82" s="13" t="str">
        <f>IF(Tableau13[[#This Row],[Repère]]="","",VLOOKUP(Tableau13[[#This Row],[Repère]],Tableau1[#All],10,FALSE))</f>
        <v/>
      </c>
      <c r="K82" s="13" t="str">
        <f>IF(Tableau13[[#This Row],[Repère]]="","",VLOOKUP(Tableau13[[#This Row],[Repère]],Tableau1[#All],11,FALSE))</f>
        <v/>
      </c>
      <c r="L82" s="14" t="str">
        <f>IF(Tableau13[[#This Row],[Repère]]="","",VLOOKUP(Tableau13[[#This Row],[Repère]],Tableau1[#All],12,FALSE))</f>
        <v/>
      </c>
    </row>
    <row r="83" spans="1:12" x14ac:dyDescent="0.3">
      <c r="A83" s="18"/>
      <c r="B83" s="19"/>
      <c r="C83" s="13" t="str">
        <f>IF(Tableau13[[#This Row],[Repère]]="","",VLOOKUP(Tableau13[[#This Row],[Repère]],Tableau1[#All],3,FALSE))</f>
        <v/>
      </c>
      <c r="D83" s="13" t="str">
        <f>IF(Tableau13[[#This Row],[Repère]]="","",VLOOKUP(Tableau13[[#This Row],[Repère]],Tableau1[#All],4,FALSE))</f>
        <v/>
      </c>
      <c r="E83" s="13" t="str">
        <f>IF(Tableau13[[#This Row],[Repère]]="","",VLOOKUP(Tableau13[[#This Row],[Repère]],Tableau1[#All],5,FALSE))</f>
        <v/>
      </c>
      <c r="F83" s="13" t="str">
        <f>IF(Tableau13[[#This Row],[Repère]]="","",VLOOKUP(Tableau13[[#This Row],[Repère]],Tableau1[#All],6,FALSE))</f>
        <v/>
      </c>
      <c r="G83" s="13" t="str">
        <f>IF(Tableau13[[#This Row],[Repère]]="","",VLOOKUP(Tableau13[[#This Row],[Repère]],Tableau1[#All],7,FALSE))</f>
        <v/>
      </c>
      <c r="H83" s="13" t="str">
        <f>IF(Tableau13[[#This Row],[Repère]]="","",VLOOKUP(Tableau13[[#This Row],[Repère]],Tableau1[#All],8,FALSE))</f>
        <v/>
      </c>
      <c r="I83" s="13" t="str">
        <f>IF(Tableau13[[#This Row],[Repère]]="","",VLOOKUP(Tableau13[[#This Row],[Repère]],Tableau1[#All],9,FALSE))</f>
        <v/>
      </c>
      <c r="J83" s="13" t="str">
        <f>IF(Tableau13[[#This Row],[Repère]]="","",VLOOKUP(Tableau13[[#This Row],[Repère]],Tableau1[#All],10,FALSE))</f>
        <v/>
      </c>
      <c r="K83" s="13" t="str">
        <f>IF(Tableau13[[#This Row],[Repère]]="","",VLOOKUP(Tableau13[[#This Row],[Repère]],Tableau1[#All],11,FALSE))</f>
        <v/>
      </c>
      <c r="L83" s="14" t="str">
        <f>IF(Tableau13[[#This Row],[Repère]]="","",VLOOKUP(Tableau13[[#This Row],[Repère]],Tableau1[#All],12,FALSE))</f>
        <v/>
      </c>
    </row>
    <row r="84" spans="1:12" x14ac:dyDescent="0.3">
      <c r="A84" s="18"/>
      <c r="B84" s="19"/>
      <c r="C84" s="13" t="str">
        <f>IF(Tableau13[[#This Row],[Repère]]="","",VLOOKUP(Tableau13[[#This Row],[Repère]],Tableau1[#All],3,FALSE))</f>
        <v/>
      </c>
      <c r="D84" s="13" t="str">
        <f>IF(Tableau13[[#This Row],[Repère]]="","",VLOOKUP(Tableau13[[#This Row],[Repère]],Tableau1[#All],4,FALSE))</f>
        <v/>
      </c>
      <c r="E84" s="13" t="str">
        <f>IF(Tableau13[[#This Row],[Repère]]="","",VLOOKUP(Tableau13[[#This Row],[Repère]],Tableau1[#All],5,FALSE))</f>
        <v/>
      </c>
      <c r="F84" s="13" t="str">
        <f>IF(Tableau13[[#This Row],[Repère]]="","",VLOOKUP(Tableau13[[#This Row],[Repère]],Tableau1[#All],6,FALSE))</f>
        <v/>
      </c>
      <c r="G84" s="13" t="str">
        <f>IF(Tableau13[[#This Row],[Repère]]="","",VLOOKUP(Tableau13[[#This Row],[Repère]],Tableau1[#All],7,FALSE))</f>
        <v/>
      </c>
      <c r="H84" s="13" t="str">
        <f>IF(Tableau13[[#This Row],[Repère]]="","",VLOOKUP(Tableau13[[#This Row],[Repère]],Tableau1[#All],8,FALSE))</f>
        <v/>
      </c>
      <c r="I84" s="13" t="str">
        <f>IF(Tableau13[[#This Row],[Repère]]="","",VLOOKUP(Tableau13[[#This Row],[Repère]],Tableau1[#All],9,FALSE))</f>
        <v/>
      </c>
      <c r="J84" s="13" t="str">
        <f>IF(Tableau13[[#This Row],[Repère]]="","",VLOOKUP(Tableau13[[#This Row],[Repère]],Tableau1[#All],10,FALSE))</f>
        <v/>
      </c>
      <c r="K84" s="13" t="str">
        <f>IF(Tableau13[[#This Row],[Repère]]="","",VLOOKUP(Tableau13[[#This Row],[Repère]],Tableau1[#All],11,FALSE))</f>
        <v/>
      </c>
      <c r="L84" s="14" t="str">
        <f>IF(Tableau13[[#This Row],[Repère]]="","",VLOOKUP(Tableau13[[#This Row],[Repère]],Tableau1[#All],12,FALSE))</f>
        <v/>
      </c>
    </row>
    <row r="85" spans="1:12" x14ac:dyDescent="0.3">
      <c r="A85" s="18"/>
      <c r="B85" s="19"/>
      <c r="C85" s="13" t="str">
        <f>IF(Tableau13[[#This Row],[Repère]]="","",VLOOKUP(Tableau13[[#This Row],[Repère]],Tableau1[#All],3,FALSE))</f>
        <v/>
      </c>
      <c r="D85" s="13" t="str">
        <f>IF(Tableau13[[#This Row],[Repère]]="","",VLOOKUP(Tableau13[[#This Row],[Repère]],Tableau1[#All],4,FALSE))</f>
        <v/>
      </c>
      <c r="E85" s="13" t="str">
        <f>IF(Tableau13[[#This Row],[Repère]]="","",VLOOKUP(Tableau13[[#This Row],[Repère]],Tableau1[#All],5,FALSE))</f>
        <v/>
      </c>
      <c r="F85" s="13" t="str">
        <f>IF(Tableau13[[#This Row],[Repère]]="","",VLOOKUP(Tableau13[[#This Row],[Repère]],Tableau1[#All],6,FALSE))</f>
        <v/>
      </c>
      <c r="G85" s="13" t="str">
        <f>IF(Tableau13[[#This Row],[Repère]]="","",VLOOKUP(Tableau13[[#This Row],[Repère]],Tableau1[#All],7,FALSE))</f>
        <v/>
      </c>
      <c r="H85" s="13" t="str">
        <f>IF(Tableau13[[#This Row],[Repère]]="","",VLOOKUP(Tableau13[[#This Row],[Repère]],Tableau1[#All],8,FALSE))</f>
        <v/>
      </c>
      <c r="I85" s="13" t="str">
        <f>IF(Tableau13[[#This Row],[Repère]]="","",VLOOKUP(Tableau13[[#This Row],[Repère]],Tableau1[#All],9,FALSE))</f>
        <v/>
      </c>
      <c r="J85" s="13" t="str">
        <f>IF(Tableau13[[#This Row],[Repère]]="","",VLOOKUP(Tableau13[[#This Row],[Repère]],Tableau1[#All],10,FALSE))</f>
        <v/>
      </c>
      <c r="K85" s="13" t="str">
        <f>IF(Tableau13[[#This Row],[Repère]]="","",VLOOKUP(Tableau13[[#This Row],[Repère]],Tableau1[#All],11,FALSE))</f>
        <v/>
      </c>
      <c r="L85" s="14" t="str">
        <f>IF(Tableau13[[#This Row],[Repère]]="","",VLOOKUP(Tableau13[[#This Row],[Repère]],Tableau1[#All],12,FALSE))</f>
        <v/>
      </c>
    </row>
    <row r="86" spans="1:12" x14ac:dyDescent="0.3">
      <c r="A86" s="18"/>
      <c r="B86" s="19"/>
      <c r="C86" s="13" t="str">
        <f>IF(Tableau13[[#This Row],[Repère]]="","",VLOOKUP(Tableau13[[#This Row],[Repère]],Tableau1[#All],3,FALSE))</f>
        <v/>
      </c>
      <c r="D86" s="13" t="str">
        <f>IF(Tableau13[[#This Row],[Repère]]="","",VLOOKUP(Tableau13[[#This Row],[Repère]],Tableau1[#All],4,FALSE))</f>
        <v/>
      </c>
      <c r="E86" s="13" t="str">
        <f>IF(Tableau13[[#This Row],[Repère]]="","",VLOOKUP(Tableau13[[#This Row],[Repère]],Tableau1[#All],5,FALSE))</f>
        <v/>
      </c>
      <c r="F86" s="13" t="str">
        <f>IF(Tableau13[[#This Row],[Repère]]="","",VLOOKUP(Tableau13[[#This Row],[Repère]],Tableau1[#All],6,FALSE))</f>
        <v/>
      </c>
      <c r="G86" s="13" t="str">
        <f>IF(Tableau13[[#This Row],[Repère]]="","",VLOOKUP(Tableau13[[#This Row],[Repère]],Tableau1[#All],7,FALSE))</f>
        <v/>
      </c>
      <c r="H86" s="13" t="str">
        <f>IF(Tableau13[[#This Row],[Repère]]="","",VLOOKUP(Tableau13[[#This Row],[Repère]],Tableau1[#All],8,FALSE))</f>
        <v/>
      </c>
      <c r="I86" s="13" t="str">
        <f>IF(Tableau13[[#This Row],[Repère]]="","",VLOOKUP(Tableau13[[#This Row],[Repère]],Tableau1[#All],9,FALSE))</f>
        <v/>
      </c>
      <c r="J86" s="13" t="str">
        <f>IF(Tableau13[[#This Row],[Repère]]="","",VLOOKUP(Tableau13[[#This Row],[Repère]],Tableau1[#All],10,FALSE))</f>
        <v/>
      </c>
      <c r="K86" s="13" t="str">
        <f>IF(Tableau13[[#This Row],[Repère]]="","",VLOOKUP(Tableau13[[#This Row],[Repère]],Tableau1[#All],11,FALSE))</f>
        <v/>
      </c>
      <c r="L86" s="14" t="str">
        <f>IF(Tableau13[[#This Row],[Repère]]="","",VLOOKUP(Tableau13[[#This Row],[Repère]],Tableau1[#All],12,FALSE))</f>
        <v/>
      </c>
    </row>
    <row r="87" spans="1:12" x14ac:dyDescent="0.3">
      <c r="A87" s="18"/>
      <c r="B87" s="19"/>
      <c r="C87" s="13" t="str">
        <f>IF(Tableau13[[#This Row],[Repère]]="","",VLOOKUP(Tableau13[[#This Row],[Repère]],Tableau1[#All],3,FALSE))</f>
        <v/>
      </c>
      <c r="D87" s="13" t="str">
        <f>IF(Tableau13[[#This Row],[Repère]]="","",VLOOKUP(Tableau13[[#This Row],[Repère]],Tableau1[#All],4,FALSE))</f>
        <v/>
      </c>
      <c r="E87" s="13" t="str">
        <f>IF(Tableau13[[#This Row],[Repère]]="","",VLOOKUP(Tableau13[[#This Row],[Repère]],Tableau1[#All],5,FALSE))</f>
        <v/>
      </c>
      <c r="F87" s="13" t="str">
        <f>IF(Tableau13[[#This Row],[Repère]]="","",VLOOKUP(Tableau13[[#This Row],[Repère]],Tableau1[#All],6,FALSE))</f>
        <v/>
      </c>
      <c r="G87" s="13" t="str">
        <f>IF(Tableau13[[#This Row],[Repère]]="","",VLOOKUP(Tableau13[[#This Row],[Repère]],Tableau1[#All],7,FALSE))</f>
        <v/>
      </c>
      <c r="H87" s="13" t="str">
        <f>IF(Tableau13[[#This Row],[Repère]]="","",VLOOKUP(Tableau13[[#This Row],[Repère]],Tableau1[#All],8,FALSE))</f>
        <v/>
      </c>
      <c r="I87" s="13" t="str">
        <f>IF(Tableau13[[#This Row],[Repère]]="","",VLOOKUP(Tableau13[[#This Row],[Repère]],Tableau1[#All],9,FALSE))</f>
        <v/>
      </c>
      <c r="J87" s="13" t="str">
        <f>IF(Tableau13[[#This Row],[Repère]]="","",VLOOKUP(Tableau13[[#This Row],[Repère]],Tableau1[#All],10,FALSE))</f>
        <v/>
      </c>
      <c r="K87" s="13" t="str">
        <f>IF(Tableau13[[#This Row],[Repère]]="","",VLOOKUP(Tableau13[[#This Row],[Repère]],Tableau1[#All],11,FALSE))</f>
        <v/>
      </c>
      <c r="L87" s="14" t="str">
        <f>IF(Tableau13[[#This Row],[Repère]]="","",VLOOKUP(Tableau13[[#This Row],[Repère]],Tableau1[#All],12,FALSE))</f>
        <v/>
      </c>
    </row>
    <row r="88" spans="1:12" x14ac:dyDescent="0.3">
      <c r="A88" s="18"/>
      <c r="B88" s="19"/>
      <c r="C88" s="13" t="str">
        <f>IF(Tableau13[[#This Row],[Repère]]="","",VLOOKUP(Tableau13[[#This Row],[Repère]],Tableau1[#All],3,FALSE))</f>
        <v/>
      </c>
      <c r="D88" s="13" t="str">
        <f>IF(Tableau13[[#This Row],[Repère]]="","",VLOOKUP(Tableau13[[#This Row],[Repère]],Tableau1[#All],4,FALSE))</f>
        <v/>
      </c>
      <c r="E88" s="13" t="str">
        <f>IF(Tableau13[[#This Row],[Repère]]="","",VLOOKUP(Tableau13[[#This Row],[Repère]],Tableau1[#All],5,FALSE))</f>
        <v/>
      </c>
      <c r="F88" s="13" t="str">
        <f>IF(Tableau13[[#This Row],[Repère]]="","",VLOOKUP(Tableau13[[#This Row],[Repère]],Tableau1[#All],6,FALSE))</f>
        <v/>
      </c>
      <c r="G88" s="13" t="str">
        <f>IF(Tableau13[[#This Row],[Repère]]="","",VLOOKUP(Tableau13[[#This Row],[Repère]],Tableau1[#All],7,FALSE))</f>
        <v/>
      </c>
      <c r="H88" s="13" t="str">
        <f>IF(Tableau13[[#This Row],[Repère]]="","",VLOOKUP(Tableau13[[#This Row],[Repère]],Tableau1[#All],8,FALSE))</f>
        <v/>
      </c>
      <c r="I88" s="13" t="str">
        <f>IF(Tableau13[[#This Row],[Repère]]="","",VLOOKUP(Tableau13[[#This Row],[Repère]],Tableau1[#All],9,FALSE))</f>
        <v/>
      </c>
      <c r="J88" s="13" t="str">
        <f>IF(Tableau13[[#This Row],[Repère]]="","",VLOOKUP(Tableau13[[#This Row],[Repère]],Tableau1[#All],10,FALSE))</f>
        <v/>
      </c>
      <c r="K88" s="13" t="str">
        <f>IF(Tableau13[[#This Row],[Repère]]="","",VLOOKUP(Tableau13[[#This Row],[Repère]],Tableau1[#All],11,FALSE))</f>
        <v/>
      </c>
      <c r="L88" s="14" t="str">
        <f>IF(Tableau13[[#This Row],[Repère]]="","",VLOOKUP(Tableau13[[#This Row],[Repère]],Tableau1[#All],12,FALSE))</f>
        <v/>
      </c>
    </row>
    <row r="89" spans="1:12" x14ac:dyDescent="0.3">
      <c r="A89" s="18"/>
      <c r="B89" s="19"/>
      <c r="C89" s="13" t="str">
        <f>IF(Tableau13[[#This Row],[Repère]]="","",VLOOKUP(Tableau13[[#This Row],[Repère]],Tableau1[#All],3,FALSE))</f>
        <v/>
      </c>
      <c r="D89" s="13" t="str">
        <f>IF(Tableau13[[#This Row],[Repère]]="","",VLOOKUP(Tableau13[[#This Row],[Repère]],Tableau1[#All],4,FALSE))</f>
        <v/>
      </c>
      <c r="E89" s="13" t="str">
        <f>IF(Tableau13[[#This Row],[Repère]]="","",VLOOKUP(Tableau13[[#This Row],[Repère]],Tableau1[#All],5,FALSE))</f>
        <v/>
      </c>
      <c r="F89" s="13" t="str">
        <f>IF(Tableau13[[#This Row],[Repère]]="","",VLOOKUP(Tableau13[[#This Row],[Repère]],Tableau1[#All],6,FALSE))</f>
        <v/>
      </c>
      <c r="G89" s="13" t="str">
        <f>IF(Tableau13[[#This Row],[Repère]]="","",VLOOKUP(Tableau13[[#This Row],[Repère]],Tableau1[#All],7,FALSE))</f>
        <v/>
      </c>
      <c r="H89" s="13" t="str">
        <f>IF(Tableau13[[#This Row],[Repère]]="","",VLOOKUP(Tableau13[[#This Row],[Repère]],Tableau1[#All],8,FALSE))</f>
        <v/>
      </c>
      <c r="I89" s="13" t="str">
        <f>IF(Tableau13[[#This Row],[Repère]]="","",VLOOKUP(Tableau13[[#This Row],[Repère]],Tableau1[#All],9,FALSE))</f>
        <v/>
      </c>
      <c r="J89" s="13" t="str">
        <f>IF(Tableau13[[#This Row],[Repère]]="","",VLOOKUP(Tableau13[[#This Row],[Repère]],Tableau1[#All],10,FALSE))</f>
        <v/>
      </c>
      <c r="K89" s="13" t="str">
        <f>IF(Tableau13[[#This Row],[Repère]]="","",VLOOKUP(Tableau13[[#This Row],[Repère]],Tableau1[#All],11,FALSE))</f>
        <v/>
      </c>
      <c r="L89" s="14" t="str">
        <f>IF(Tableau13[[#This Row],[Repère]]="","",VLOOKUP(Tableau13[[#This Row],[Repère]],Tableau1[#All],12,FALSE))</f>
        <v/>
      </c>
    </row>
    <row r="90" spans="1:12" x14ac:dyDescent="0.3">
      <c r="A90" s="18"/>
      <c r="B90" s="19"/>
      <c r="C90" s="13" t="str">
        <f>IF(Tableau13[[#This Row],[Repère]]="","",VLOOKUP(Tableau13[[#This Row],[Repère]],Tableau1[#All],3,FALSE))</f>
        <v/>
      </c>
      <c r="D90" s="13" t="str">
        <f>IF(Tableau13[[#This Row],[Repère]]="","",VLOOKUP(Tableau13[[#This Row],[Repère]],Tableau1[#All],4,FALSE))</f>
        <v/>
      </c>
      <c r="E90" s="13" t="str">
        <f>IF(Tableau13[[#This Row],[Repère]]="","",VLOOKUP(Tableau13[[#This Row],[Repère]],Tableau1[#All],5,FALSE))</f>
        <v/>
      </c>
      <c r="F90" s="13" t="str">
        <f>IF(Tableau13[[#This Row],[Repère]]="","",VLOOKUP(Tableau13[[#This Row],[Repère]],Tableau1[#All],6,FALSE))</f>
        <v/>
      </c>
      <c r="G90" s="13" t="str">
        <f>IF(Tableau13[[#This Row],[Repère]]="","",VLOOKUP(Tableau13[[#This Row],[Repère]],Tableau1[#All],7,FALSE))</f>
        <v/>
      </c>
      <c r="H90" s="13" t="str">
        <f>IF(Tableau13[[#This Row],[Repère]]="","",VLOOKUP(Tableau13[[#This Row],[Repère]],Tableau1[#All],8,FALSE))</f>
        <v/>
      </c>
      <c r="I90" s="13" t="str">
        <f>IF(Tableau13[[#This Row],[Repère]]="","",VLOOKUP(Tableau13[[#This Row],[Repère]],Tableau1[#All],9,FALSE))</f>
        <v/>
      </c>
      <c r="J90" s="13" t="str">
        <f>IF(Tableau13[[#This Row],[Repère]]="","",VLOOKUP(Tableau13[[#This Row],[Repère]],Tableau1[#All],10,FALSE))</f>
        <v/>
      </c>
      <c r="K90" s="13" t="str">
        <f>IF(Tableau13[[#This Row],[Repère]]="","",VLOOKUP(Tableau13[[#This Row],[Repère]],Tableau1[#All],11,FALSE))</f>
        <v/>
      </c>
      <c r="L90" s="14" t="str">
        <f>IF(Tableau13[[#This Row],[Repère]]="","",VLOOKUP(Tableau13[[#This Row],[Repère]],Tableau1[#All],12,FALSE))</f>
        <v/>
      </c>
    </row>
    <row r="91" spans="1:12" x14ac:dyDescent="0.3">
      <c r="A91" s="18"/>
      <c r="B91" s="19"/>
      <c r="C91" s="13" t="str">
        <f>IF(Tableau13[[#This Row],[Repère]]="","",VLOOKUP(Tableau13[[#This Row],[Repère]],Tableau1[#All],3,FALSE))</f>
        <v/>
      </c>
      <c r="D91" s="13" t="str">
        <f>IF(Tableau13[[#This Row],[Repère]]="","",VLOOKUP(Tableau13[[#This Row],[Repère]],Tableau1[#All],4,FALSE))</f>
        <v/>
      </c>
      <c r="E91" s="13" t="str">
        <f>IF(Tableau13[[#This Row],[Repère]]="","",VLOOKUP(Tableau13[[#This Row],[Repère]],Tableau1[#All],5,FALSE))</f>
        <v/>
      </c>
      <c r="F91" s="13" t="str">
        <f>IF(Tableau13[[#This Row],[Repère]]="","",VLOOKUP(Tableau13[[#This Row],[Repère]],Tableau1[#All],6,FALSE))</f>
        <v/>
      </c>
      <c r="G91" s="13" t="str">
        <f>IF(Tableau13[[#This Row],[Repère]]="","",VLOOKUP(Tableau13[[#This Row],[Repère]],Tableau1[#All],7,FALSE))</f>
        <v/>
      </c>
      <c r="H91" s="13" t="str">
        <f>IF(Tableau13[[#This Row],[Repère]]="","",VLOOKUP(Tableau13[[#This Row],[Repère]],Tableau1[#All],8,FALSE))</f>
        <v/>
      </c>
      <c r="I91" s="13" t="str">
        <f>IF(Tableau13[[#This Row],[Repère]]="","",VLOOKUP(Tableau13[[#This Row],[Repère]],Tableau1[#All],9,FALSE))</f>
        <v/>
      </c>
      <c r="J91" s="13" t="str">
        <f>IF(Tableau13[[#This Row],[Repère]]="","",VLOOKUP(Tableau13[[#This Row],[Repère]],Tableau1[#All],10,FALSE))</f>
        <v/>
      </c>
      <c r="K91" s="13" t="str">
        <f>IF(Tableau13[[#This Row],[Repère]]="","",VLOOKUP(Tableau13[[#This Row],[Repère]],Tableau1[#All],11,FALSE))</f>
        <v/>
      </c>
      <c r="L91" s="14" t="str">
        <f>IF(Tableau13[[#This Row],[Repère]]="","",VLOOKUP(Tableau13[[#This Row],[Repère]],Tableau1[#All],12,FALSE))</f>
        <v/>
      </c>
    </row>
    <row r="92" spans="1:12" x14ac:dyDescent="0.3">
      <c r="A92" s="18"/>
      <c r="B92" s="19"/>
      <c r="C92" s="13" t="str">
        <f>IF(Tableau13[[#This Row],[Repère]]="","",VLOOKUP(Tableau13[[#This Row],[Repère]],Tableau1[#All],3,FALSE))</f>
        <v/>
      </c>
      <c r="D92" s="13" t="str">
        <f>IF(Tableau13[[#This Row],[Repère]]="","",VLOOKUP(Tableau13[[#This Row],[Repère]],Tableau1[#All],4,FALSE))</f>
        <v/>
      </c>
      <c r="E92" s="13" t="str">
        <f>IF(Tableau13[[#This Row],[Repère]]="","",VLOOKUP(Tableau13[[#This Row],[Repère]],Tableau1[#All],5,FALSE))</f>
        <v/>
      </c>
      <c r="F92" s="13" t="str">
        <f>IF(Tableau13[[#This Row],[Repère]]="","",VLOOKUP(Tableau13[[#This Row],[Repère]],Tableau1[#All],6,FALSE))</f>
        <v/>
      </c>
      <c r="G92" s="13" t="str">
        <f>IF(Tableau13[[#This Row],[Repère]]="","",VLOOKUP(Tableau13[[#This Row],[Repère]],Tableau1[#All],7,FALSE))</f>
        <v/>
      </c>
      <c r="H92" s="13" t="str">
        <f>IF(Tableau13[[#This Row],[Repère]]="","",VLOOKUP(Tableau13[[#This Row],[Repère]],Tableau1[#All],8,FALSE))</f>
        <v/>
      </c>
      <c r="I92" s="13" t="str">
        <f>IF(Tableau13[[#This Row],[Repère]]="","",VLOOKUP(Tableau13[[#This Row],[Repère]],Tableau1[#All],9,FALSE))</f>
        <v/>
      </c>
      <c r="J92" s="13" t="str">
        <f>IF(Tableau13[[#This Row],[Repère]]="","",VLOOKUP(Tableau13[[#This Row],[Repère]],Tableau1[#All],10,FALSE))</f>
        <v/>
      </c>
      <c r="K92" s="13" t="str">
        <f>IF(Tableau13[[#This Row],[Repère]]="","",VLOOKUP(Tableau13[[#This Row],[Repère]],Tableau1[#All],11,FALSE))</f>
        <v/>
      </c>
      <c r="L92" s="14" t="str">
        <f>IF(Tableau13[[#This Row],[Repère]]="","",VLOOKUP(Tableau13[[#This Row],[Repère]],Tableau1[#All],12,FALSE))</f>
        <v/>
      </c>
    </row>
    <row r="93" spans="1:12" x14ac:dyDescent="0.3">
      <c r="A93" s="18"/>
      <c r="B93" s="19"/>
      <c r="C93" s="13" t="str">
        <f>IF(Tableau13[[#This Row],[Repère]]="","",VLOOKUP(Tableau13[[#This Row],[Repère]],Tableau1[#All],3,FALSE))</f>
        <v/>
      </c>
      <c r="D93" s="13" t="str">
        <f>IF(Tableau13[[#This Row],[Repère]]="","",VLOOKUP(Tableau13[[#This Row],[Repère]],Tableau1[#All],4,FALSE))</f>
        <v/>
      </c>
      <c r="E93" s="13" t="str">
        <f>IF(Tableau13[[#This Row],[Repère]]="","",VLOOKUP(Tableau13[[#This Row],[Repère]],Tableau1[#All],5,FALSE))</f>
        <v/>
      </c>
      <c r="F93" s="13" t="str">
        <f>IF(Tableau13[[#This Row],[Repère]]="","",VLOOKUP(Tableau13[[#This Row],[Repère]],Tableau1[#All],6,FALSE))</f>
        <v/>
      </c>
      <c r="G93" s="13" t="str">
        <f>IF(Tableau13[[#This Row],[Repère]]="","",VLOOKUP(Tableau13[[#This Row],[Repère]],Tableau1[#All],7,FALSE))</f>
        <v/>
      </c>
      <c r="H93" s="13" t="str">
        <f>IF(Tableau13[[#This Row],[Repère]]="","",VLOOKUP(Tableau13[[#This Row],[Repère]],Tableau1[#All],8,FALSE))</f>
        <v/>
      </c>
      <c r="I93" s="13" t="str">
        <f>IF(Tableau13[[#This Row],[Repère]]="","",VLOOKUP(Tableau13[[#This Row],[Repère]],Tableau1[#All],9,FALSE))</f>
        <v/>
      </c>
      <c r="J93" s="13" t="str">
        <f>IF(Tableau13[[#This Row],[Repère]]="","",VLOOKUP(Tableau13[[#This Row],[Repère]],Tableau1[#All],10,FALSE))</f>
        <v/>
      </c>
      <c r="K93" s="13" t="str">
        <f>IF(Tableau13[[#This Row],[Repère]]="","",VLOOKUP(Tableau13[[#This Row],[Repère]],Tableau1[#All],11,FALSE))</f>
        <v/>
      </c>
      <c r="L93" s="14" t="str">
        <f>IF(Tableau13[[#This Row],[Repère]]="","",VLOOKUP(Tableau13[[#This Row],[Repère]],Tableau1[#All],12,FALSE))</f>
        <v/>
      </c>
    </row>
    <row r="94" spans="1:12" x14ac:dyDescent="0.3">
      <c r="A94" s="18"/>
      <c r="B94" s="19"/>
      <c r="C94" s="13" t="str">
        <f>IF(Tableau13[[#This Row],[Repère]]="","",VLOOKUP(Tableau13[[#This Row],[Repère]],Tableau1[#All],3,FALSE))</f>
        <v/>
      </c>
      <c r="D94" s="13" t="str">
        <f>IF(Tableau13[[#This Row],[Repère]]="","",VLOOKUP(Tableau13[[#This Row],[Repère]],Tableau1[#All],4,FALSE))</f>
        <v/>
      </c>
      <c r="E94" s="13" t="str">
        <f>IF(Tableau13[[#This Row],[Repère]]="","",VLOOKUP(Tableau13[[#This Row],[Repère]],Tableau1[#All],5,FALSE))</f>
        <v/>
      </c>
      <c r="F94" s="13" t="str">
        <f>IF(Tableau13[[#This Row],[Repère]]="","",VLOOKUP(Tableau13[[#This Row],[Repère]],Tableau1[#All],6,FALSE))</f>
        <v/>
      </c>
      <c r="G94" s="13" t="str">
        <f>IF(Tableau13[[#This Row],[Repère]]="","",VLOOKUP(Tableau13[[#This Row],[Repère]],Tableau1[#All],7,FALSE))</f>
        <v/>
      </c>
      <c r="H94" s="13" t="str">
        <f>IF(Tableau13[[#This Row],[Repère]]="","",VLOOKUP(Tableau13[[#This Row],[Repère]],Tableau1[#All],8,FALSE))</f>
        <v/>
      </c>
      <c r="I94" s="13" t="str">
        <f>IF(Tableau13[[#This Row],[Repère]]="","",VLOOKUP(Tableau13[[#This Row],[Repère]],Tableau1[#All],9,FALSE))</f>
        <v/>
      </c>
      <c r="J94" s="13" t="str">
        <f>IF(Tableau13[[#This Row],[Repère]]="","",VLOOKUP(Tableau13[[#This Row],[Repère]],Tableau1[#All],10,FALSE))</f>
        <v/>
      </c>
      <c r="K94" s="13" t="str">
        <f>IF(Tableau13[[#This Row],[Repère]]="","",VLOOKUP(Tableau13[[#This Row],[Repère]],Tableau1[#All],11,FALSE))</f>
        <v/>
      </c>
      <c r="L94" s="14" t="str">
        <f>IF(Tableau13[[#This Row],[Repère]]="","",VLOOKUP(Tableau13[[#This Row],[Repère]],Tableau1[#All],12,FALSE))</f>
        <v/>
      </c>
    </row>
    <row r="95" spans="1:12" x14ac:dyDescent="0.3">
      <c r="A95" s="18"/>
      <c r="B95" s="19"/>
      <c r="C95" s="13" t="str">
        <f>IF(Tableau13[[#This Row],[Repère]]="","",VLOOKUP(Tableau13[[#This Row],[Repère]],Tableau1[#All],3,FALSE))</f>
        <v/>
      </c>
      <c r="D95" s="13" t="str">
        <f>IF(Tableau13[[#This Row],[Repère]]="","",VLOOKUP(Tableau13[[#This Row],[Repère]],Tableau1[#All],4,FALSE))</f>
        <v/>
      </c>
      <c r="E95" s="13" t="str">
        <f>IF(Tableau13[[#This Row],[Repère]]="","",VLOOKUP(Tableau13[[#This Row],[Repère]],Tableau1[#All],5,FALSE))</f>
        <v/>
      </c>
      <c r="F95" s="13" t="str">
        <f>IF(Tableau13[[#This Row],[Repère]]="","",VLOOKUP(Tableau13[[#This Row],[Repère]],Tableau1[#All],6,FALSE))</f>
        <v/>
      </c>
      <c r="G95" s="13" t="str">
        <f>IF(Tableau13[[#This Row],[Repère]]="","",VLOOKUP(Tableau13[[#This Row],[Repère]],Tableau1[#All],7,FALSE))</f>
        <v/>
      </c>
      <c r="H95" s="13" t="str">
        <f>IF(Tableau13[[#This Row],[Repère]]="","",VLOOKUP(Tableau13[[#This Row],[Repère]],Tableau1[#All],8,FALSE))</f>
        <v/>
      </c>
      <c r="I95" s="13" t="str">
        <f>IF(Tableau13[[#This Row],[Repère]]="","",VLOOKUP(Tableau13[[#This Row],[Repère]],Tableau1[#All],9,FALSE))</f>
        <v/>
      </c>
      <c r="J95" s="13" t="str">
        <f>IF(Tableau13[[#This Row],[Repère]]="","",VLOOKUP(Tableau13[[#This Row],[Repère]],Tableau1[#All],10,FALSE))</f>
        <v/>
      </c>
      <c r="K95" s="13" t="str">
        <f>IF(Tableau13[[#This Row],[Repère]]="","",VLOOKUP(Tableau13[[#This Row],[Repère]],Tableau1[#All],11,FALSE))</f>
        <v/>
      </c>
      <c r="L95" s="14" t="str">
        <f>IF(Tableau13[[#This Row],[Repère]]="","",VLOOKUP(Tableau13[[#This Row],[Repère]],Tableau1[#All],12,FALSE))</f>
        <v/>
      </c>
    </row>
    <row r="96" spans="1:12" x14ac:dyDescent="0.3">
      <c r="A96" s="18"/>
      <c r="B96" s="19"/>
      <c r="C96" s="13" t="str">
        <f>IF(Tableau13[[#This Row],[Repère]]="","",VLOOKUP(Tableau13[[#This Row],[Repère]],Tableau1[#All],3,FALSE))</f>
        <v/>
      </c>
      <c r="D96" s="13" t="str">
        <f>IF(Tableau13[[#This Row],[Repère]]="","",VLOOKUP(Tableau13[[#This Row],[Repère]],Tableau1[#All],4,FALSE))</f>
        <v/>
      </c>
      <c r="E96" s="13" t="str">
        <f>IF(Tableau13[[#This Row],[Repère]]="","",VLOOKUP(Tableau13[[#This Row],[Repère]],Tableau1[#All],5,FALSE))</f>
        <v/>
      </c>
      <c r="F96" s="13" t="str">
        <f>IF(Tableau13[[#This Row],[Repère]]="","",VLOOKUP(Tableau13[[#This Row],[Repère]],Tableau1[#All],6,FALSE))</f>
        <v/>
      </c>
      <c r="G96" s="13" t="str">
        <f>IF(Tableau13[[#This Row],[Repère]]="","",VLOOKUP(Tableau13[[#This Row],[Repère]],Tableau1[#All],7,FALSE))</f>
        <v/>
      </c>
      <c r="H96" s="13" t="str">
        <f>IF(Tableau13[[#This Row],[Repère]]="","",VLOOKUP(Tableau13[[#This Row],[Repère]],Tableau1[#All],8,FALSE))</f>
        <v/>
      </c>
      <c r="I96" s="13" t="str">
        <f>IF(Tableau13[[#This Row],[Repère]]="","",VLOOKUP(Tableau13[[#This Row],[Repère]],Tableau1[#All],9,FALSE))</f>
        <v/>
      </c>
      <c r="J96" s="13" t="str">
        <f>IF(Tableau13[[#This Row],[Repère]]="","",VLOOKUP(Tableau13[[#This Row],[Repère]],Tableau1[#All],10,FALSE))</f>
        <v/>
      </c>
      <c r="K96" s="13" t="str">
        <f>IF(Tableau13[[#This Row],[Repère]]="","",VLOOKUP(Tableau13[[#This Row],[Repère]],Tableau1[#All],11,FALSE))</f>
        <v/>
      </c>
      <c r="L96" s="14" t="str">
        <f>IF(Tableau13[[#This Row],[Repère]]="","",VLOOKUP(Tableau13[[#This Row],[Repère]],Tableau1[#All],12,FALSE))</f>
        <v/>
      </c>
    </row>
    <row r="97" spans="1:12" x14ac:dyDescent="0.3">
      <c r="A97" s="18"/>
      <c r="B97" s="19"/>
      <c r="C97" s="13" t="str">
        <f>IF(Tableau13[[#This Row],[Repère]]="","",VLOOKUP(Tableau13[[#This Row],[Repère]],Tableau1[#All],3,FALSE))</f>
        <v/>
      </c>
      <c r="D97" s="13" t="str">
        <f>IF(Tableau13[[#This Row],[Repère]]="","",VLOOKUP(Tableau13[[#This Row],[Repère]],Tableau1[#All],4,FALSE))</f>
        <v/>
      </c>
      <c r="E97" s="13" t="str">
        <f>IF(Tableau13[[#This Row],[Repère]]="","",VLOOKUP(Tableau13[[#This Row],[Repère]],Tableau1[#All],5,FALSE))</f>
        <v/>
      </c>
      <c r="F97" s="13" t="str">
        <f>IF(Tableau13[[#This Row],[Repère]]="","",VLOOKUP(Tableau13[[#This Row],[Repère]],Tableau1[#All],6,FALSE))</f>
        <v/>
      </c>
      <c r="G97" s="13" t="str">
        <f>IF(Tableau13[[#This Row],[Repère]]="","",VLOOKUP(Tableau13[[#This Row],[Repère]],Tableau1[#All],7,FALSE))</f>
        <v/>
      </c>
      <c r="H97" s="13" t="str">
        <f>IF(Tableau13[[#This Row],[Repère]]="","",VLOOKUP(Tableau13[[#This Row],[Repère]],Tableau1[#All],8,FALSE))</f>
        <v/>
      </c>
      <c r="I97" s="13" t="str">
        <f>IF(Tableau13[[#This Row],[Repère]]="","",VLOOKUP(Tableau13[[#This Row],[Repère]],Tableau1[#All],9,FALSE))</f>
        <v/>
      </c>
      <c r="J97" s="13" t="str">
        <f>IF(Tableau13[[#This Row],[Repère]]="","",VLOOKUP(Tableau13[[#This Row],[Repère]],Tableau1[#All],10,FALSE))</f>
        <v/>
      </c>
      <c r="K97" s="13" t="str">
        <f>IF(Tableau13[[#This Row],[Repère]]="","",VLOOKUP(Tableau13[[#This Row],[Repère]],Tableau1[#All],11,FALSE))</f>
        <v/>
      </c>
      <c r="L97" s="14" t="str">
        <f>IF(Tableau13[[#This Row],[Repère]]="","",VLOOKUP(Tableau13[[#This Row],[Repère]],Tableau1[#All],12,FALSE))</f>
        <v/>
      </c>
    </row>
    <row r="98" spans="1:12" x14ac:dyDescent="0.3">
      <c r="A98" s="18"/>
      <c r="B98" s="19"/>
      <c r="C98" s="13" t="str">
        <f>IF(Tableau13[[#This Row],[Repère]]="","",VLOOKUP(Tableau13[[#This Row],[Repère]],Tableau1[#All],3,FALSE))</f>
        <v/>
      </c>
      <c r="D98" s="13" t="str">
        <f>IF(Tableau13[[#This Row],[Repère]]="","",VLOOKUP(Tableau13[[#This Row],[Repère]],Tableau1[#All],4,FALSE))</f>
        <v/>
      </c>
      <c r="E98" s="13" t="str">
        <f>IF(Tableau13[[#This Row],[Repère]]="","",VLOOKUP(Tableau13[[#This Row],[Repère]],Tableau1[#All],5,FALSE))</f>
        <v/>
      </c>
      <c r="F98" s="13" t="str">
        <f>IF(Tableau13[[#This Row],[Repère]]="","",VLOOKUP(Tableau13[[#This Row],[Repère]],Tableau1[#All],6,FALSE))</f>
        <v/>
      </c>
      <c r="G98" s="13" t="str">
        <f>IF(Tableau13[[#This Row],[Repère]]="","",VLOOKUP(Tableau13[[#This Row],[Repère]],Tableau1[#All],7,FALSE))</f>
        <v/>
      </c>
      <c r="H98" s="13" t="str">
        <f>IF(Tableau13[[#This Row],[Repère]]="","",VLOOKUP(Tableau13[[#This Row],[Repère]],Tableau1[#All],8,FALSE))</f>
        <v/>
      </c>
      <c r="I98" s="13" t="str">
        <f>IF(Tableau13[[#This Row],[Repère]]="","",VLOOKUP(Tableau13[[#This Row],[Repère]],Tableau1[#All],9,FALSE))</f>
        <v/>
      </c>
      <c r="J98" s="13" t="str">
        <f>IF(Tableau13[[#This Row],[Repère]]="","",VLOOKUP(Tableau13[[#This Row],[Repère]],Tableau1[#All],10,FALSE))</f>
        <v/>
      </c>
      <c r="K98" s="13" t="str">
        <f>IF(Tableau13[[#This Row],[Repère]]="","",VLOOKUP(Tableau13[[#This Row],[Repère]],Tableau1[#All],11,FALSE))</f>
        <v/>
      </c>
      <c r="L98" s="14" t="str">
        <f>IF(Tableau13[[#This Row],[Repère]]="","",VLOOKUP(Tableau13[[#This Row],[Repère]],Tableau1[#All],12,FALSE))</f>
        <v/>
      </c>
    </row>
    <row r="99" spans="1:12" x14ac:dyDescent="0.3">
      <c r="A99" s="18"/>
      <c r="B99" s="19"/>
      <c r="C99" s="13" t="str">
        <f>IF(Tableau13[[#This Row],[Repère]]="","",VLOOKUP(Tableau13[[#This Row],[Repère]],Tableau1[#All],3,FALSE))</f>
        <v/>
      </c>
      <c r="D99" s="13" t="str">
        <f>IF(Tableau13[[#This Row],[Repère]]="","",VLOOKUP(Tableau13[[#This Row],[Repère]],Tableau1[#All],4,FALSE))</f>
        <v/>
      </c>
      <c r="E99" s="13" t="str">
        <f>IF(Tableau13[[#This Row],[Repère]]="","",VLOOKUP(Tableau13[[#This Row],[Repère]],Tableau1[#All],5,FALSE))</f>
        <v/>
      </c>
      <c r="F99" s="13" t="str">
        <f>IF(Tableau13[[#This Row],[Repère]]="","",VLOOKUP(Tableau13[[#This Row],[Repère]],Tableau1[#All],6,FALSE))</f>
        <v/>
      </c>
      <c r="G99" s="13" t="str">
        <f>IF(Tableau13[[#This Row],[Repère]]="","",VLOOKUP(Tableau13[[#This Row],[Repère]],Tableau1[#All],7,FALSE))</f>
        <v/>
      </c>
      <c r="H99" s="13" t="str">
        <f>IF(Tableau13[[#This Row],[Repère]]="","",VLOOKUP(Tableau13[[#This Row],[Repère]],Tableau1[#All],8,FALSE))</f>
        <v/>
      </c>
      <c r="I99" s="13" t="str">
        <f>IF(Tableau13[[#This Row],[Repère]]="","",VLOOKUP(Tableau13[[#This Row],[Repère]],Tableau1[#All],9,FALSE))</f>
        <v/>
      </c>
      <c r="J99" s="13" t="str">
        <f>IF(Tableau13[[#This Row],[Repère]]="","",VLOOKUP(Tableau13[[#This Row],[Repère]],Tableau1[#All],10,FALSE))</f>
        <v/>
      </c>
      <c r="K99" s="13" t="str">
        <f>IF(Tableau13[[#This Row],[Repère]]="","",VLOOKUP(Tableau13[[#This Row],[Repère]],Tableau1[#All],11,FALSE))</f>
        <v/>
      </c>
      <c r="L99" s="14" t="str">
        <f>IF(Tableau13[[#This Row],[Repère]]="","",VLOOKUP(Tableau13[[#This Row],[Repère]],Tableau1[#All],12,FALSE))</f>
        <v/>
      </c>
    </row>
    <row r="100" spans="1:12" x14ac:dyDescent="0.3">
      <c r="A100" s="18"/>
      <c r="B100" s="19"/>
      <c r="C100" s="13" t="str">
        <f>IF(Tableau13[[#This Row],[Repère]]="","",VLOOKUP(Tableau13[[#This Row],[Repère]],Tableau1[#All],3,FALSE))</f>
        <v/>
      </c>
      <c r="D100" s="13" t="str">
        <f>IF(Tableau13[[#This Row],[Repère]]="","",VLOOKUP(Tableau13[[#This Row],[Repère]],Tableau1[#All],4,FALSE))</f>
        <v/>
      </c>
      <c r="E100" s="13" t="str">
        <f>IF(Tableau13[[#This Row],[Repère]]="","",VLOOKUP(Tableau13[[#This Row],[Repère]],Tableau1[#All],5,FALSE))</f>
        <v/>
      </c>
      <c r="F100" s="13" t="str">
        <f>IF(Tableau13[[#This Row],[Repère]]="","",VLOOKUP(Tableau13[[#This Row],[Repère]],Tableau1[#All],6,FALSE))</f>
        <v/>
      </c>
      <c r="G100" s="13" t="str">
        <f>IF(Tableau13[[#This Row],[Repère]]="","",VLOOKUP(Tableau13[[#This Row],[Repère]],Tableau1[#All],7,FALSE))</f>
        <v/>
      </c>
      <c r="H100" s="13" t="str">
        <f>IF(Tableau13[[#This Row],[Repère]]="","",VLOOKUP(Tableau13[[#This Row],[Repère]],Tableau1[#All],8,FALSE))</f>
        <v/>
      </c>
      <c r="I100" s="13" t="str">
        <f>IF(Tableau13[[#This Row],[Repère]]="","",VLOOKUP(Tableau13[[#This Row],[Repère]],Tableau1[#All],9,FALSE))</f>
        <v/>
      </c>
      <c r="J100" s="13" t="str">
        <f>IF(Tableau13[[#This Row],[Repère]]="","",VLOOKUP(Tableau13[[#This Row],[Repère]],Tableau1[#All],10,FALSE))</f>
        <v/>
      </c>
      <c r="K100" s="13" t="str">
        <f>IF(Tableau13[[#This Row],[Repère]]="","",VLOOKUP(Tableau13[[#This Row],[Repère]],Tableau1[#All],11,FALSE))</f>
        <v/>
      </c>
      <c r="L100" s="14" t="str">
        <f>IF(Tableau13[[#This Row],[Repère]]="","",VLOOKUP(Tableau13[[#This Row],[Repère]],Tableau1[#All],12,FALSE))</f>
        <v/>
      </c>
    </row>
    <row r="101" spans="1:12" x14ac:dyDescent="0.3">
      <c r="A101" s="18"/>
      <c r="B101" s="19"/>
      <c r="C101" s="13" t="str">
        <f>IF(Tableau13[[#This Row],[Repère]]="","",VLOOKUP(Tableau13[[#This Row],[Repère]],Tableau1[#All],3,FALSE))</f>
        <v/>
      </c>
      <c r="D101" s="13" t="str">
        <f>IF(Tableau13[[#This Row],[Repère]]="","",VLOOKUP(Tableau13[[#This Row],[Repère]],Tableau1[#All],4,FALSE))</f>
        <v/>
      </c>
      <c r="E101" s="13" t="str">
        <f>IF(Tableau13[[#This Row],[Repère]]="","",VLOOKUP(Tableau13[[#This Row],[Repère]],Tableau1[#All],5,FALSE))</f>
        <v/>
      </c>
      <c r="F101" s="13" t="str">
        <f>IF(Tableau13[[#This Row],[Repère]]="","",VLOOKUP(Tableau13[[#This Row],[Repère]],Tableau1[#All],6,FALSE))</f>
        <v/>
      </c>
      <c r="G101" s="13" t="str">
        <f>IF(Tableau13[[#This Row],[Repère]]="","",VLOOKUP(Tableau13[[#This Row],[Repère]],Tableau1[#All],7,FALSE))</f>
        <v/>
      </c>
      <c r="H101" s="13" t="str">
        <f>IF(Tableau13[[#This Row],[Repère]]="","",VLOOKUP(Tableau13[[#This Row],[Repère]],Tableau1[#All],8,FALSE))</f>
        <v/>
      </c>
      <c r="I101" s="13" t="str">
        <f>IF(Tableau13[[#This Row],[Repère]]="","",VLOOKUP(Tableau13[[#This Row],[Repère]],Tableau1[#All],9,FALSE))</f>
        <v/>
      </c>
      <c r="J101" s="13" t="str">
        <f>IF(Tableau13[[#This Row],[Repère]]="","",VLOOKUP(Tableau13[[#This Row],[Repère]],Tableau1[#All],10,FALSE))</f>
        <v/>
      </c>
      <c r="K101" s="13" t="str">
        <f>IF(Tableau13[[#This Row],[Repère]]="","",VLOOKUP(Tableau13[[#This Row],[Repère]],Tableau1[#All],11,FALSE))</f>
        <v/>
      </c>
      <c r="L101" s="14" t="str">
        <f>IF(Tableau13[[#This Row],[Repère]]="","",VLOOKUP(Tableau13[[#This Row],[Repère]],Tableau1[#All],12,FALSE))</f>
        <v/>
      </c>
    </row>
  </sheetData>
  <sheetProtection algorithmName="SHA-512" hashValue="uxVNSzqO2CbSstMkIAob8QN1Y75HpFVgqEmO5K2nCWYeHFMTEXGTS3SPmjweXj4fzjEdgGzYvZz4ghsoeFNyhQ==" saltValue="9fWjSlJT9dRzZPzZ0fbwlw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5468-0FDB-4E17-B522-63672A24B81F}">
  <dimension ref="A1:L101"/>
  <sheetViews>
    <sheetView workbookViewId="0">
      <selection activeCell="B2" sqref="B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IF(Tableau134[[#This Row],[Repère]]="","",VLOOKUP(Tableau134[[#This Row],[Repère]],Tableau1[#All],3,FALSE))</f>
        <v/>
      </c>
      <c r="D2" s="13" t="str">
        <f>IF(Tableau134[[#This Row],[Repère]]="","",VLOOKUP(Tableau134[[#This Row],[Repère]],Tableau1[#All],4,FALSE))</f>
        <v/>
      </c>
      <c r="E2" s="13" t="str">
        <f>IF(Tableau134[[#This Row],[Repère]]="","",VLOOKUP(Tableau134[[#This Row],[Repère]],Tableau1[#All],5,FALSE))</f>
        <v/>
      </c>
      <c r="F2" s="13" t="str">
        <f>IF(Tableau134[[#This Row],[Repère]]="","",VLOOKUP(Tableau134[[#This Row],[Repère]],Tableau1[#All],6,FALSE))</f>
        <v/>
      </c>
      <c r="G2" s="13" t="str">
        <f>IF(Tableau134[[#This Row],[Repère]]="","",VLOOKUP(Tableau134[[#This Row],[Repère]],Tableau1[#All],7,FALSE))</f>
        <v/>
      </c>
      <c r="H2" s="13" t="str">
        <f>IF(Tableau134[[#This Row],[Repère]]="","",VLOOKUP(Tableau134[[#This Row],[Repère]],Tableau1[#All],8,FALSE))</f>
        <v/>
      </c>
      <c r="I2" s="13" t="str">
        <f>IF(Tableau134[[#This Row],[Repère]]="","",VLOOKUP(Tableau134[[#This Row],[Repère]],Tableau1[#All],9,FALSE))</f>
        <v/>
      </c>
      <c r="J2" s="13" t="str">
        <f>IF(Tableau134[[#This Row],[Repère]]="","",VLOOKUP(Tableau134[[#This Row],[Repère]],Tableau1[#All],10,FALSE))</f>
        <v/>
      </c>
      <c r="K2" s="13" t="str">
        <f>IF(Tableau134[[#This Row],[Repère]]="","",VLOOKUP(Tableau134[[#This Row],[Repère]],Tableau1[#All],11,FALSE))</f>
        <v/>
      </c>
      <c r="L2" s="13" t="str">
        <f>IF(Tableau134[[#This Row],[Repère]]="","",VLOOKUP(Tableau134[[#This Row],[Repère]],Tableau1[#All],12,FALSE))</f>
        <v/>
      </c>
    </row>
    <row r="3" spans="1:12" x14ac:dyDescent="0.3">
      <c r="A3" s="18"/>
      <c r="B3" s="19"/>
      <c r="C3" s="13" t="str">
        <f>IF(Tableau134[[#This Row],[Repère]]="","",VLOOKUP(Tableau134[[#This Row],[Repère]],Tableau1[#All],3,FALSE))</f>
        <v/>
      </c>
      <c r="D3" s="13" t="str">
        <f>IF(Tableau134[[#This Row],[Repère]]="","",VLOOKUP(Tableau134[[#This Row],[Repère]],Tableau1[#All],4,FALSE))</f>
        <v/>
      </c>
      <c r="E3" s="13" t="str">
        <f>IF(Tableau134[[#This Row],[Repère]]="","",VLOOKUP(Tableau134[[#This Row],[Repère]],Tableau1[#All],5,FALSE))</f>
        <v/>
      </c>
      <c r="F3" s="13" t="str">
        <f>IF(Tableau134[[#This Row],[Repère]]="","",VLOOKUP(Tableau134[[#This Row],[Repère]],Tableau1[#All],6,FALSE))</f>
        <v/>
      </c>
      <c r="G3" s="13" t="str">
        <f>IF(Tableau134[[#This Row],[Repère]]="","",VLOOKUP(Tableau134[[#This Row],[Repère]],Tableau1[#All],7,FALSE))</f>
        <v/>
      </c>
      <c r="H3" s="13" t="str">
        <f>IF(Tableau134[[#This Row],[Repère]]="","",VLOOKUP(Tableau134[[#This Row],[Repère]],Tableau1[#All],8,FALSE))</f>
        <v/>
      </c>
      <c r="I3" s="13" t="str">
        <f>IF(Tableau134[[#This Row],[Repère]]="","",VLOOKUP(Tableau134[[#This Row],[Repère]],Tableau1[#All],9,FALSE))</f>
        <v/>
      </c>
      <c r="J3" s="13" t="str">
        <f>IF(Tableau134[[#This Row],[Repère]]="","",VLOOKUP(Tableau134[[#This Row],[Repère]],Tableau1[#All],10,FALSE))</f>
        <v/>
      </c>
      <c r="K3" s="13" t="str">
        <f>IF(Tableau134[[#This Row],[Repère]]="","",VLOOKUP(Tableau134[[#This Row],[Repère]],Tableau1[#All],11,FALSE))</f>
        <v/>
      </c>
      <c r="L3" s="14" t="str">
        <f>IF(Tableau134[[#This Row],[Repère]]="","",VLOOKUP(Tableau134[[#This Row],[Repère]],Tableau1[#All],12,FALSE))</f>
        <v/>
      </c>
    </row>
    <row r="4" spans="1:12" x14ac:dyDescent="0.3">
      <c r="A4" s="18"/>
      <c r="B4" s="19"/>
      <c r="C4" s="13" t="str">
        <f>IF(Tableau134[[#This Row],[Repère]]="","",VLOOKUP(Tableau134[[#This Row],[Repère]],Tableau1[#All],3,FALSE))</f>
        <v/>
      </c>
      <c r="D4" s="13" t="str">
        <f>IF(Tableau134[[#This Row],[Repère]]="","",VLOOKUP(Tableau134[[#This Row],[Repère]],Tableau1[#All],4,FALSE))</f>
        <v/>
      </c>
      <c r="E4" s="13" t="str">
        <f>IF(Tableau134[[#This Row],[Repère]]="","",VLOOKUP(Tableau134[[#This Row],[Repère]],Tableau1[#All],5,FALSE))</f>
        <v/>
      </c>
      <c r="F4" s="13" t="str">
        <f>IF(Tableau134[[#This Row],[Repère]]="","",VLOOKUP(Tableau134[[#This Row],[Repère]],Tableau1[#All],6,FALSE))</f>
        <v/>
      </c>
      <c r="G4" s="13" t="str">
        <f>IF(Tableau134[[#This Row],[Repère]]="","",VLOOKUP(Tableau134[[#This Row],[Repère]],Tableau1[#All],7,FALSE))</f>
        <v/>
      </c>
      <c r="H4" s="13" t="str">
        <f>IF(Tableau134[[#This Row],[Repère]]="","",VLOOKUP(Tableau134[[#This Row],[Repère]],Tableau1[#All],8,FALSE))</f>
        <v/>
      </c>
      <c r="I4" s="13" t="str">
        <f>IF(Tableau134[[#This Row],[Repère]]="","",VLOOKUP(Tableau134[[#This Row],[Repère]],Tableau1[#All],9,FALSE))</f>
        <v/>
      </c>
      <c r="J4" s="13" t="str">
        <f>IF(Tableau134[[#This Row],[Repère]]="","",VLOOKUP(Tableau134[[#This Row],[Repère]],Tableau1[#All],10,FALSE))</f>
        <v/>
      </c>
      <c r="K4" s="13" t="str">
        <f>IF(Tableau134[[#This Row],[Repère]]="","",VLOOKUP(Tableau134[[#This Row],[Repère]],Tableau1[#All],11,FALSE))</f>
        <v/>
      </c>
      <c r="L4" s="14" t="str">
        <f>IF(Tableau134[[#This Row],[Repère]]="","",VLOOKUP(Tableau134[[#This Row],[Repère]],Tableau1[#All],12,FALSE))</f>
        <v/>
      </c>
    </row>
    <row r="5" spans="1:12" x14ac:dyDescent="0.3">
      <c r="A5" s="18"/>
      <c r="B5" s="19"/>
      <c r="C5" s="13" t="str">
        <f>IF(Tableau134[[#This Row],[Repère]]="","",VLOOKUP(Tableau134[[#This Row],[Repère]],Tableau1[#All],3,FALSE))</f>
        <v/>
      </c>
      <c r="D5" s="13" t="str">
        <f>IF(Tableau134[[#This Row],[Repère]]="","",VLOOKUP(Tableau134[[#This Row],[Repère]],Tableau1[#All],4,FALSE))</f>
        <v/>
      </c>
      <c r="E5" s="13" t="str">
        <f>IF(Tableau134[[#This Row],[Repère]]="","",VLOOKUP(Tableau134[[#This Row],[Repère]],Tableau1[#All],5,FALSE))</f>
        <v/>
      </c>
      <c r="F5" s="13" t="str">
        <f>IF(Tableau134[[#This Row],[Repère]]="","",VLOOKUP(Tableau134[[#This Row],[Repère]],Tableau1[#All],6,FALSE))</f>
        <v/>
      </c>
      <c r="G5" s="13" t="str">
        <f>IF(Tableau134[[#This Row],[Repère]]="","",VLOOKUP(Tableau134[[#This Row],[Repère]],Tableau1[#All],7,FALSE))</f>
        <v/>
      </c>
      <c r="H5" s="13" t="str">
        <f>IF(Tableau134[[#This Row],[Repère]]="","",VLOOKUP(Tableau134[[#This Row],[Repère]],Tableau1[#All],8,FALSE))</f>
        <v/>
      </c>
      <c r="I5" s="13" t="str">
        <f>IF(Tableau134[[#This Row],[Repère]]="","",VLOOKUP(Tableau134[[#This Row],[Repère]],Tableau1[#All],9,FALSE))</f>
        <v/>
      </c>
      <c r="J5" s="13" t="str">
        <f>IF(Tableau134[[#This Row],[Repère]]="","",VLOOKUP(Tableau134[[#This Row],[Repère]],Tableau1[#All],10,FALSE))</f>
        <v/>
      </c>
      <c r="K5" s="13" t="str">
        <f>IF(Tableau134[[#This Row],[Repère]]="","",VLOOKUP(Tableau134[[#This Row],[Repère]],Tableau1[#All],11,FALSE))</f>
        <v/>
      </c>
      <c r="L5" s="14" t="str">
        <f>IF(Tableau134[[#This Row],[Repère]]="","",VLOOKUP(Tableau134[[#This Row],[Repère]],Tableau1[#All],12,FALSE))</f>
        <v/>
      </c>
    </row>
    <row r="6" spans="1:12" x14ac:dyDescent="0.3">
      <c r="A6" s="18"/>
      <c r="B6" s="19"/>
      <c r="C6" s="13" t="str">
        <f>IF(Tableau134[[#This Row],[Repère]]="","",VLOOKUP(Tableau134[[#This Row],[Repère]],Tableau1[#All],3,FALSE))</f>
        <v/>
      </c>
      <c r="D6" s="13" t="str">
        <f>IF(Tableau134[[#This Row],[Repère]]="","",VLOOKUP(Tableau134[[#This Row],[Repère]],Tableau1[#All],4,FALSE))</f>
        <v/>
      </c>
      <c r="E6" s="13" t="str">
        <f>IF(Tableau134[[#This Row],[Repère]]="","",VLOOKUP(Tableau134[[#This Row],[Repère]],Tableau1[#All],5,FALSE))</f>
        <v/>
      </c>
      <c r="F6" s="13" t="str">
        <f>IF(Tableau134[[#This Row],[Repère]]="","",VLOOKUP(Tableau134[[#This Row],[Repère]],Tableau1[#All],6,FALSE))</f>
        <v/>
      </c>
      <c r="G6" s="13" t="str">
        <f>IF(Tableau134[[#This Row],[Repère]]="","",VLOOKUP(Tableau134[[#This Row],[Repère]],Tableau1[#All],7,FALSE))</f>
        <v/>
      </c>
      <c r="H6" s="13" t="str">
        <f>IF(Tableau134[[#This Row],[Repère]]="","",VLOOKUP(Tableau134[[#This Row],[Repère]],Tableau1[#All],8,FALSE))</f>
        <v/>
      </c>
      <c r="I6" s="13" t="str">
        <f>IF(Tableau134[[#This Row],[Repère]]="","",VLOOKUP(Tableau134[[#This Row],[Repère]],Tableau1[#All],9,FALSE))</f>
        <v/>
      </c>
      <c r="J6" s="13" t="str">
        <f>IF(Tableau134[[#This Row],[Repère]]="","",VLOOKUP(Tableau134[[#This Row],[Repère]],Tableau1[#All],10,FALSE))</f>
        <v/>
      </c>
      <c r="K6" s="13" t="str">
        <f>IF(Tableau134[[#This Row],[Repère]]="","",VLOOKUP(Tableau134[[#This Row],[Repère]],Tableau1[#All],11,FALSE))</f>
        <v/>
      </c>
      <c r="L6" s="14" t="str">
        <f>IF(Tableau134[[#This Row],[Repère]]="","",VLOOKUP(Tableau134[[#This Row],[Repère]],Tableau1[#All],12,FALSE))</f>
        <v/>
      </c>
    </row>
    <row r="7" spans="1:12" x14ac:dyDescent="0.3">
      <c r="A7" s="18"/>
      <c r="B7" s="19"/>
      <c r="C7" s="13" t="str">
        <f>IF(Tableau134[[#This Row],[Repère]]="","",VLOOKUP(Tableau134[[#This Row],[Repère]],Tableau1[#All],3,FALSE))</f>
        <v/>
      </c>
      <c r="D7" s="13" t="str">
        <f>IF(Tableau134[[#This Row],[Repère]]="","",VLOOKUP(Tableau134[[#This Row],[Repère]],Tableau1[#All],4,FALSE))</f>
        <v/>
      </c>
      <c r="E7" s="13" t="str">
        <f>IF(Tableau134[[#This Row],[Repère]]="","",VLOOKUP(Tableau134[[#This Row],[Repère]],Tableau1[#All],5,FALSE))</f>
        <v/>
      </c>
      <c r="F7" s="13" t="str">
        <f>IF(Tableau134[[#This Row],[Repère]]="","",VLOOKUP(Tableau134[[#This Row],[Repère]],Tableau1[#All],6,FALSE))</f>
        <v/>
      </c>
      <c r="G7" s="13" t="str">
        <f>IF(Tableau134[[#This Row],[Repère]]="","",VLOOKUP(Tableau134[[#This Row],[Repère]],Tableau1[#All],7,FALSE))</f>
        <v/>
      </c>
      <c r="H7" s="13" t="str">
        <f>IF(Tableau134[[#This Row],[Repère]]="","",VLOOKUP(Tableau134[[#This Row],[Repère]],Tableau1[#All],8,FALSE))</f>
        <v/>
      </c>
      <c r="I7" s="13" t="str">
        <f>IF(Tableau134[[#This Row],[Repère]]="","",VLOOKUP(Tableau134[[#This Row],[Repère]],Tableau1[#All],9,FALSE))</f>
        <v/>
      </c>
      <c r="J7" s="13" t="str">
        <f>IF(Tableau134[[#This Row],[Repère]]="","",VLOOKUP(Tableau134[[#This Row],[Repère]],Tableau1[#All],10,FALSE))</f>
        <v/>
      </c>
      <c r="K7" s="13" t="str">
        <f>IF(Tableau134[[#This Row],[Repère]]="","",VLOOKUP(Tableau134[[#This Row],[Repère]],Tableau1[#All],11,FALSE))</f>
        <v/>
      </c>
      <c r="L7" s="14" t="str">
        <f>IF(Tableau134[[#This Row],[Repère]]="","",VLOOKUP(Tableau134[[#This Row],[Repère]],Tableau1[#All],12,FALSE))</f>
        <v/>
      </c>
    </row>
    <row r="8" spans="1:12" x14ac:dyDescent="0.3">
      <c r="A8" s="18"/>
      <c r="B8" s="19"/>
      <c r="C8" s="13" t="str">
        <f>IF(Tableau134[[#This Row],[Repère]]="","",VLOOKUP(Tableau134[[#This Row],[Repère]],Tableau1[#All],3,FALSE))</f>
        <v/>
      </c>
      <c r="D8" s="13" t="str">
        <f>IF(Tableau134[[#This Row],[Repère]]="","",VLOOKUP(Tableau134[[#This Row],[Repère]],Tableau1[#All],4,FALSE))</f>
        <v/>
      </c>
      <c r="E8" s="13" t="str">
        <f>IF(Tableau134[[#This Row],[Repère]]="","",VLOOKUP(Tableau134[[#This Row],[Repère]],Tableau1[#All],5,FALSE))</f>
        <v/>
      </c>
      <c r="F8" s="13" t="str">
        <f>IF(Tableau134[[#This Row],[Repère]]="","",VLOOKUP(Tableau134[[#This Row],[Repère]],Tableau1[#All],6,FALSE))</f>
        <v/>
      </c>
      <c r="G8" s="13" t="str">
        <f>IF(Tableau134[[#This Row],[Repère]]="","",VLOOKUP(Tableau134[[#This Row],[Repère]],Tableau1[#All],7,FALSE))</f>
        <v/>
      </c>
      <c r="H8" s="13" t="str">
        <f>IF(Tableau134[[#This Row],[Repère]]="","",VLOOKUP(Tableau134[[#This Row],[Repère]],Tableau1[#All],8,FALSE))</f>
        <v/>
      </c>
      <c r="I8" s="13" t="str">
        <f>IF(Tableau134[[#This Row],[Repère]]="","",VLOOKUP(Tableau134[[#This Row],[Repère]],Tableau1[#All],9,FALSE))</f>
        <v/>
      </c>
      <c r="J8" s="13" t="str">
        <f>IF(Tableau134[[#This Row],[Repère]]="","",VLOOKUP(Tableau134[[#This Row],[Repère]],Tableau1[#All],10,FALSE))</f>
        <v/>
      </c>
      <c r="K8" s="13" t="str">
        <f>IF(Tableau134[[#This Row],[Repère]]="","",VLOOKUP(Tableau134[[#This Row],[Repère]],Tableau1[#All],11,FALSE))</f>
        <v/>
      </c>
      <c r="L8" s="14" t="str">
        <f>IF(Tableau134[[#This Row],[Repère]]="","",VLOOKUP(Tableau134[[#This Row],[Repère]],Tableau1[#All],12,FALSE))</f>
        <v/>
      </c>
    </row>
    <row r="9" spans="1:12" x14ac:dyDescent="0.3">
      <c r="A9" s="18"/>
      <c r="B9" s="19"/>
      <c r="C9" s="13" t="str">
        <f>IF(Tableau134[[#This Row],[Repère]]="","",VLOOKUP(Tableau134[[#This Row],[Repère]],Tableau1[#All],3,FALSE))</f>
        <v/>
      </c>
      <c r="D9" s="13" t="str">
        <f>IF(Tableau134[[#This Row],[Repère]]="","",VLOOKUP(Tableau134[[#This Row],[Repère]],Tableau1[#All],4,FALSE))</f>
        <v/>
      </c>
      <c r="E9" s="13" t="str">
        <f>IF(Tableau134[[#This Row],[Repère]]="","",VLOOKUP(Tableau134[[#This Row],[Repère]],Tableau1[#All],5,FALSE))</f>
        <v/>
      </c>
      <c r="F9" s="13" t="str">
        <f>IF(Tableau134[[#This Row],[Repère]]="","",VLOOKUP(Tableau134[[#This Row],[Repère]],Tableau1[#All],6,FALSE))</f>
        <v/>
      </c>
      <c r="G9" s="13" t="str">
        <f>IF(Tableau134[[#This Row],[Repère]]="","",VLOOKUP(Tableau134[[#This Row],[Repère]],Tableau1[#All],7,FALSE))</f>
        <v/>
      </c>
      <c r="H9" s="13" t="str">
        <f>IF(Tableau134[[#This Row],[Repère]]="","",VLOOKUP(Tableau134[[#This Row],[Repère]],Tableau1[#All],8,FALSE))</f>
        <v/>
      </c>
      <c r="I9" s="13" t="str">
        <f>IF(Tableau134[[#This Row],[Repère]]="","",VLOOKUP(Tableau134[[#This Row],[Repère]],Tableau1[#All],9,FALSE))</f>
        <v/>
      </c>
      <c r="J9" s="13" t="str">
        <f>IF(Tableau134[[#This Row],[Repère]]="","",VLOOKUP(Tableau134[[#This Row],[Repère]],Tableau1[#All],10,FALSE))</f>
        <v/>
      </c>
      <c r="K9" s="13" t="str">
        <f>IF(Tableau134[[#This Row],[Repère]]="","",VLOOKUP(Tableau134[[#This Row],[Repère]],Tableau1[#All],11,FALSE))</f>
        <v/>
      </c>
      <c r="L9" s="14" t="str">
        <f>IF(Tableau134[[#This Row],[Repère]]="","",VLOOKUP(Tableau134[[#This Row],[Repère]],Tableau1[#All],12,FALSE))</f>
        <v/>
      </c>
    </row>
    <row r="10" spans="1:12" x14ac:dyDescent="0.3">
      <c r="A10" s="18"/>
      <c r="B10" s="19"/>
      <c r="C10" s="13" t="str">
        <f>IF(Tableau134[[#This Row],[Repère]]="","",VLOOKUP(Tableau134[[#This Row],[Repère]],Tableau1[#All],3,FALSE))</f>
        <v/>
      </c>
      <c r="D10" s="13" t="str">
        <f>IF(Tableau134[[#This Row],[Repère]]="","",VLOOKUP(Tableau134[[#This Row],[Repère]],Tableau1[#All],4,FALSE))</f>
        <v/>
      </c>
      <c r="E10" s="13" t="str">
        <f>IF(Tableau134[[#This Row],[Repère]]="","",VLOOKUP(Tableau134[[#This Row],[Repère]],Tableau1[#All],5,FALSE))</f>
        <v/>
      </c>
      <c r="F10" s="13" t="str">
        <f>IF(Tableau134[[#This Row],[Repère]]="","",VLOOKUP(Tableau134[[#This Row],[Repère]],Tableau1[#All],6,FALSE))</f>
        <v/>
      </c>
      <c r="G10" s="13" t="str">
        <f>IF(Tableau134[[#This Row],[Repère]]="","",VLOOKUP(Tableau134[[#This Row],[Repère]],Tableau1[#All],7,FALSE))</f>
        <v/>
      </c>
      <c r="H10" s="13" t="str">
        <f>IF(Tableau134[[#This Row],[Repère]]="","",VLOOKUP(Tableau134[[#This Row],[Repère]],Tableau1[#All],8,FALSE))</f>
        <v/>
      </c>
      <c r="I10" s="13" t="str">
        <f>IF(Tableau134[[#This Row],[Repère]]="","",VLOOKUP(Tableau134[[#This Row],[Repère]],Tableau1[#All],9,FALSE))</f>
        <v/>
      </c>
      <c r="J10" s="13" t="str">
        <f>IF(Tableau134[[#This Row],[Repère]]="","",VLOOKUP(Tableau134[[#This Row],[Repère]],Tableau1[#All],10,FALSE))</f>
        <v/>
      </c>
      <c r="K10" s="13" t="str">
        <f>IF(Tableau134[[#This Row],[Repère]]="","",VLOOKUP(Tableau134[[#This Row],[Repère]],Tableau1[#All],11,FALSE))</f>
        <v/>
      </c>
      <c r="L10" s="14" t="str">
        <f>IF(Tableau134[[#This Row],[Repère]]="","",VLOOKUP(Tableau134[[#This Row],[Repère]],Tableau1[#All],12,FALSE))</f>
        <v/>
      </c>
    </row>
    <row r="11" spans="1:12" x14ac:dyDescent="0.3">
      <c r="A11" s="18"/>
      <c r="B11" s="19"/>
      <c r="C11" s="13" t="str">
        <f>IF(Tableau134[[#This Row],[Repère]]="","",VLOOKUP(Tableau134[[#This Row],[Repère]],Tableau1[#All],3,FALSE))</f>
        <v/>
      </c>
      <c r="D11" s="13" t="str">
        <f>IF(Tableau134[[#This Row],[Repère]]="","",VLOOKUP(Tableau134[[#This Row],[Repère]],Tableau1[#All],4,FALSE))</f>
        <v/>
      </c>
      <c r="E11" s="13" t="str">
        <f>IF(Tableau134[[#This Row],[Repère]]="","",VLOOKUP(Tableau134[[#This Row],[Repère]],Tableau1[#All],5,FALSE))</f>
        <v/>
      </c>
      <c r="F11" s="13" t="str">
        <f>IF(Tableau134[[#This Row],[Repère]]="","",VLOOKUP(Tableau134[[#This Row],[Repère]],Tableau1[#All],6,FALSE))</f>
        <v/>
      </c>
      <c r="G11" s="13" t="str">
        <f>IF(Tableau134[[#This Row],[Repère]]="","",VLOOKUP(Tableau134[[#This Row],[Repère]],Tableau1[#All],7,FALSE))</f>
        <v/>
      </c>
      <c r="H11" s="13" t="str">
        <f>IF(Tableau134[[#This Row],[Repère]]="","",VLOOKUP(Tableau134[[#This Row],[Repère]],Tableau1[#All],8,FALSE))</f>
        <v/>
      </c>
      <c r="I11" s="13" t="str">
        <f>IF(Tableau134[[#This Row],[Repère]]="","",VLOOKUP(Tableau134[[#This Row],[Repère]],Tableau1[#All],9,FALSE))</f>
        <v/>
      </c>
      <c r="J11" s="13" t="str">
        <f>IF(Tableau134[[#This Row],[Repère]]="","",VLOOKUP(Tableau134[[#This Row],[Repère]],Tableau1[#All],10,FALSE))</f>
        <v/>
      </c>
      <c r="K11" s="13" t="str">
        <f>IF(Tableau134[[#This Row],[Repère]]="","",VLOOKUP(Tableau134[[#This Row],[Repère]],Tableau1[#All],11,FALSE))</f>
        <v/>
      </c>
      <c r="L11" s="14" t="str">
        <f>IF(Tableau134[[#This Row],[Repère]]="","",VLOOKUP(Tableau134[[#This Row],[Repère]],Tableau1[#All],12,FALSE))</f>
        <v/>
      </c>
    </row>
    <row r="12" spans="1:12" x14ac:dyDescent="0.3">
      <c r="A12" s="18"/>
      <c r="B12" s="19"/>
      <c r="C12" s="13" t="str">
        <f>IF(Tableau134[[#This Row],[Repère]]="","",VLOOKUP(Tableau134[[#This Row],[Repère]],Tableau1[#All],3,FALSE))</f>
        <v/>
      </c>
      <c r="D12" s="13" t="str">
        <f>IF(Tableau134[[#This Row],[Repère]]="","",VLOOKUP(Tableau134[[#This Row],[Repère]],Tableau1[#All],4,FALSE))</f>
        <v/>
      </c>
      <c r="E12" s="13" t="str">
        <f>IF(Tableau134[[#This Row],[Repère]]="","",VLOOKUP(Tableau134[[#This Row],[Repère]],Tableau1[#All],5,FALSE))</f>
        <v/>
      </c>
      <c r="F12" s="13" t="str">
        <f>IF(Tableau134[[#This Row],[Repère]]="","",VLOOKUP(Tableau134[[#This Row],[Repère]],Tableau1[#All],6,FALSE))</f>
        <v/>
      </c>
      <c r="G12" s="13" t="str">
        <f>IF(Tableau134[[#This Row],[Repère]]="","",VLOOKUP(Tableau134[[#This Row],[Repère]],Tableau1[#All],7,FALSE))</f>
        <v/>
      </c>
      <c r="H12" s="13" t="str">
        <f>IF(Tableau134[[#This Row],[Repère]]="","",VLOOKUP(Tableau134[[#This Row],[Repère]],Tableau1[#All],8,FALSE))</f>
        <v/>
      </c>
      <c r="I12" s="13" t="str">
        <f>IF(Tableau134[[#This Row],[Repère]]="","",VLOOKUP(Tableau134[[#This Row],[Repère]],Tableau1[#All],9,FALSE))</f>
        <v/>
      </c>
      <c r="J12" s="13" t="str">
        <f>IF(Tableau134[[#This Row],[Repère]]="","",VLOOKUP(Tableau134[[#This Row],[Repère]],Tableau1[#All],10,FALSE))</f>
        <v/>
      </c>
      <c r="K12" s="13" t="str">
        <f>IF(Tableau134[[#This Row],[Repère]]="","",VLOOKUP(Tableau134[[#This Row],[Repère]],Tableau1[#All],11,FALSE))</f>
        <v/>
      </c>
      <c r="L12" s="14" t="str">
        <f>IF(Tableau134[[#This Row],[Repère]]="","",VLOOKUP(Tableau134[[#This Row],[Repère]],Tableau1[#All],12,FALSE))</f>
        <v/>
      </c>
    </row>
    <row r="13" spans="1:12" x14ac:dyDescent="0.3">
      <c r="A13" s="18"/>
      <c r="B13" s="19"/>
      <c r="C13" s="13" t="str">
        <f>IF(Tableau134[[#This Row],[Repère]]="","",VLOOKUP(Tableau134[[#This Row],[Repère]],Tableau1[#All],3,FALSE))</f>
        <v/>
      </c>
      <c r="D13" s="13" t="str">
        <f>IF(Tableau134[[#This Row],[Repère]]="","",VLOOKUP(Tableau134[[#This Row],[Repère]],Tableau1[#All],4,FALSE))</f>
        <v/>
      </c>
      <c r="E13" s="13" t="str">
        <f>IF(Tableau134[[#This Row],[Repère]]="","",VLOOKUP(Tableau134[[#This Row],[Repère]],Tableau1[#All],5,FALSE))</f>
        <v/>
      </c>
      <c r="F13" s="13" t="str">
        <f>IF(Tableau134[[#This Row],[Repère]]="","",VLOOKUP(Tableau134[[#This Row],[Repère]],Tableau1[#All],6,FALSE))</f>
        <v/>
      </c>
      <c r="G13" s="13" t="str">
        <f>IF(Tableau134[[#This Row],[Repère]]="","",VLOOKUP(Tableau134[[#This Row],[Repère]],Tableau1[#All],7,FALSE))</f>
        <v/>
      </c>
      <c r="H13" s="13" t="str">
        <f>IF(Tableau134[[#This Row],[Repère]]="","",VLOOKUP(Tableau134[[#This Row],[Repère]],Tableau1[#All],8,FALSE))</f>
        <v/>
      </c>
      <c r="I13" s="13" t="str">
        <f>IF(Tableau134[[#This Row],[Repère]]="","",VLOOKUP(Tableau134[[#This Row],[Repère]],Tableau1[#All],9,FALSE))</f>
        <v/>
      </c>
      <c r="J13" s="13" t="str">
        <f>IF(Tableau134[[#This Row],[Repère]]="","",VLOOKUP(Tableau134[[#This Row],[Repère]],Tableau1[#All],10,FALSE))</f>
        <v/>
      </c>
      <c r="K13" s="13" t="str">
        <f>IF(Tableau134[[#This Row],[Repère]]="","",VLOOKUP(Tableau134[[#This Row],[Repère]],Tableau1[#All],11,FALSE))</f>
        <v/>
      </c>
      <c r="L13" s="14" t="str">
        <f>IF(Tableau134[[#This Row],[Repère]]="","",VLOOKUP(Tableau134[[#This Row],[Repère]],Tableau1[#All],12,FALSE))</f>
        <v/>
      </c>
    </row>
    <row r="14" spans="1:12" x14ac:dyDescent="0.3">
      <c r="A14" s="18"/>
      <c r="B14" s="19"/>
      <c r="C14" s="13" t="str">
        <f>IF(Tableau134[[#This Row],[Repère]]="","",VLOOKUP(Tableau134[[#This Row],[Repère]],Tableau1[#All],3,FALSE))</f>
        <v/>
      </c>
      <c r="D14" s="13" t="str">
        <f>IF(Tableau134[[#This Row],[Repère]]="","",VLOOKUP(Tableau134[[#This Row],[Repère]],Tableau1[#All],4,FALSE))</f>
        <v/>
      </c>
      <c r="E14" s="13" t="str">
        <f>IF(Tableau134[[#This Row],[Repère]]="","",VLOOKUP(Tableau134[[#This Row],[Repère]],Tableau1[#All],5,FALSE))</f>
        <v/>
      </c>
      <c r="F14" s="13" t="str">
        <f>IF(Tableau134[[#This Row],[Repère]]="","",VLOOKUP(Tableau134[[#This Row],[Repère]],Tableau1[#All],6,FALSE))</f>
        <v/>
      </c>
      <c r="G14" s="13" t="str">
        <f>IF(Tableau134[[#This Row],[Repère]]="","",VLOOKUP(Tableau134[[#This Row],[Repère]],Tableau1[#All],7,FALSE))</f>
        <v/>
      </c>
      <c r="H14" s="13" t="str">
        <f>IF(Tableau134[[#This Row],[Repère]]="","",VLOOKUP(Tableau134[[#This Row],[Repère]],Tableau1[#All],8,FALSE))</f>
        <v/>
      </c>
      <c r="I14" s="13" t="str">
        <f>IF(Tableau134[[#This Row],[Repère]]="","",VLOOKUP(Tableau134[[#This Row],[Repère]],Tableau1[#All],9,FALSE))</f>
        <v/>
      </c>
      <c r="J14" s="13" t="str">
        <f>IF(Tableau134[[#This Row],[Repère]]="","",VLOOKUP(Tableau134[[#This Row],[Repère]],Tableau1[#All],10,FALSE))</f>
        <v/>
      </c>
      <c r="K14" s="13" t="str">
        <f>IF(Tableau134[[#This Row],[Repère]]="","",VLOOKUP(Tableau134[[#This Row],[Repère]],Tableau1[#All],11,FALSE))</f>
        <v/>
      </c>
      <c r="L14" s="14" t="str">
        <f>IF(Tableau134[[#This Row],[Repère]]="","",VLOOKUP(Tableau134[[#This Row],[Repère]],Tableau1[#All],12,FALSE))</f>
        <v/>
      </c>
    </row>
    <row r="15" spans="1:12" x14ac:dyDescent="0.3">
      <c r="A15" s="18"/>
      <c r="B15" s="19"/>
      <c r="C15" s="13" t="str">
        <f>IF(Tableau134[[#This Row],[Repère]]="","",VLOOKUP(Tableau134[[#This Row],[Repère]],Tableau1[#All],3,FALSE))</f>
        <v/>
      </c>
      <c r="D15" s="13" t="str">
        <f>IF(Tableau134[[#This Row],[Repère]]="","",VLOOKUP(Tableau134[[#This Row],[Repère]],Tableau1[#All],4,FALSE))</f>
        <v/>
      </c>
      <c r="E15" s="13" t="str">
        <f>IF(Tableau134[[#This Row],[Repère]]="","",VLOOKUP(Tableau134[[#This Row],[Repère]],Tableau1[#All],5,FALSE))</f>
        <v/>
      </c>
      <c r="F15" s="13" t="str">
        <f>IF(Tableau134[[#This Row],[Repère]]="","",VLOOKUP(Tableau134[[#This Row],[Repère]],Tableau1[#All],6,FALSE))</f>
        <v/>
      </c>
      <c r="G15" s="13" t="str">
        <f>IF(Tableau134[[#This Row],[Repère]]="","",VLOOKUP(Tableau134[[#This Row],[Repère]],Tableau1[#All],7,FALSE))</f>
        <v/>
      </c>
      <c r="H15" s="13" t="str">
        <f>IF(Tableau134[[#This Row],[Repère]]="","",VLOOKUP(Tableau134[[#This Row],[Repère]],Tableau1[#All],8,FALSE))</f>
        <v/>
      </c>
      <c r="I15" s="13" t="str">
        <f>IF(Tableau134[[#This Row],[Repère]]="","",VLOOKUP(Tableau134[[#This Row],[Repère]],Tableau1[#All],9,FALSE))</f>
        <v/>
      </c>
      <c r="J15" s="13" t="str">
        <f>IF(Tableau134[[#This Row],[Repère]]="","",VLOOKUP(Tableau134[[#This Row],[Repère]],Tableau1[#All],10,FALSE))</f>
        <v/>
      </c>
      <c r="K15" s="13" t="str">
        <f>IF(Tableau134[[#This Row],[Repère]]="","",VLOOKUP(Tableau134[[#This Row],[Repère]],Tableau1[#All],11,FALSE))</f>
        <v/>
      </c>
      <c r="L15" s="14" t="str">
        <f>IF(Tableau134[[#This Row],[Repère]]="","",VLOOKUP(Tableau134[[#This Row],[Repère]],Tableau1[#All],12,FALSE))</f>
        <v/>
      </c>
    </row>
    <row r="16" spans="1:12" x14ac:dyDescent="0.3">
      <c r="A16" s="18"/>
      <c r="B16" s="19"/>
      <c r="C16" s="13" t="str">
        <f>IF(Tableau134[[#This Row],[Repère]]="","",VLOOKUP(Tableau134[[#This Row],[Repère]],Tableau1[#All],3,FALSE))</f>
        <v/>
      </c>
      <c r="D16" s="13" t="str">
        <f>IF(Tableau134[[#This Row],[Repère]]="","",VLOOKUP(Tableau134[[#This Row],[Repère]],Tableau1[#All],4,FALSE))</f>
        <v/>
      </c>
      <c r="E16" s="13" t="str">
        <f>IF(Tableau134[[#This Row],[Repère]]="","",VLOOKUP(Tableau134[[#This Row],[Repère]],Tableau1[#All],5,FALSE))</f>
        <v/>
      </c>
      <c r="F16" s="13" t="str">
        <f>IF(Tableau134[[#This Row],[Repère]]="","",VLOOKUP(Tableau134[[#This Row],[Repère]],Tableau1[#All],6,FALSE))</f>
        <v/>
      </c>
      <c r="G16" s="13" t="str">
        <f>IF(Tableau134[[#This Row],[Repère]]="","",VLOOKUP(Tableau134[[#This Row],[Repère]],Tableau1[#All],7,FALSE))</f>
        <v/>
      </c>
      <c r="H16" s="13" t="str">
        <f>IF(Tableau134[[#This Row],[Repère]]="","",VLOOKUP(Tableau134[[#This Row],[Repère]],Tableau1[#All],8,FALSE))</f>
        <v/>
      </c>
      <c r="I16" s="13" t="str">
        <f>IF(Tableau134[[#This Row],[Repère]]="","",VLOOKUP(Tableau134[[#This Row],[Repère]],Tableau1[#All],9,FALSE))</f>
        <v/>
      </c>
      <c r="J16" s="13" t="str">
        <f>IF(Tableau134[[#This Row],[Repère]]="","",VLOOKUP(Tableau134[[#This Row],[Repère]],Tableau1[#All],10,FALSE))</f>
        <v/>
      </c>
      <c r="K16" s="13" t="str">
        <f>IF(Tableau134[[#This Row],[Repère]]="","",VLOOKUP(Tableau134[[#This Row],[Repère]],Tableau1[#All],11,FALSE))</f>
        <v/>
      </c>
      <c r="L16" s="14" t="str">
        <f>IF(Tableau134[[#This Row],[Repère]]="","",VLOOKUP(Tableau134[[#This Row],[Repère]],Tableau1[#All],12,FALSE))</f>
        <v/>
      </c>
    </row>
    <row r="17" spans="1:12" x14ac:dyDescent="0.3">
      <c r="A17" s="18"/>
      <c r="B17" s="19"/>
      <c r="C17" s="13" t="str">
        <f>IF(Tableau134[[#This Row],[Repère]]="","",VLOOKUP(Tableau134[[#This Row],[Repère]],Tableau1[#All],3,FALSE))</f>
        <v/>
      </c>
      <c r="D17" s="13" t="str">
        <f>IF(Tableau134[[#This Row],[Repère]]="","",VLOOKUP(Tableau134[[#This Row],[Repère]],Tableau1[#All],4,FALSE))</f>
        <v/>
      </c>
      <c r="E17" s="13" t="str">
        <f>IF(Tableau134[[#This Row],[Repère]]="","",VLOOKUP(Tableau134[[#This Row],[Repère]],Tableau1[#All],5,FALSE))</f>
        <v/>
      </c>
      <c r="F17" s="13" t="str">
        <f>IF(Tableau134[[#This Row],[Repère]]="","",VLOOKUP(Tableau134[[#This Row],[Repère]],Tableau1[#All],6,FALSE))</f>
        <v/>
      </c>
      <c r="G17" s="13" t="str">
        <f>IF(Tableau134[[#This Row],[Repère]]="","",VLOOKUP(Tableau134[[#This Row],[Repère]],Tableau1[#All],7,FALSE))</f>
        <v/>
      </c>
      <c r="H17" s="13" t="str">
        <f>IF(Tableau134[[#This Row],[Repère]]="","",VLOOKUP(Tableau134[[#This Row],[Repère]],Tableau1[#All],8,FALSE))</f>
        <v/>
      </c>
      <c r="I17" s="13" t="str">
        <f>IF(Tableau134[[#This Row],[Repère]]="","",VLOOKUP(Tableau134[[#This Row],[Repère]],Tableau1[#All],9,FALSE))</f>
        <v/>
      </c>
      <c r="J17" s="13" t="str">
        <f>IF(Tableau134[[#This Row],[Repère]]="","",VLOOKUP(Tableau134[[#This Row],[Repère]],Tableau1[#All],10,FALSE))</f>
        <v/>
      </c>
      <c r="K17" s="13" t="str">
        <f>IF(Tableau134[[#This Row],[Repère]]="","",VLOOKUP(Tableau134[[#This Row],[Repère]],Tableau1[#All],11,FALSE))</f>
        <v/>
      </c>
      <c r="L17" s="14" t="str">
        <f>IF(Tableau134[[#This Row],[Repère]]="","",VLOOKUP(Tableau134[[#This Row],[Repère]],Tableau1[#All],12,FALSE))</f>
        <v/>
      </c>
    </row>
    <row r="18" spans="1:12" x14ac:dyDescent="0.3">
      <c r="A18" s="18"/>
      <c r="B18" s="19"/>
      <c r="C18" s="13" t="str">
        <f>IF(Tableau134[[#This Row],[Repère]]="","",VLOOKUP(Tableau134[[#This Row],[Repère]],Tableau1[#All],3,FALSE))</f>
        <v/>
      </c>
      <c r="D18" s="13" t="str">
        <f>IF(Tableau134[[#This Row],[Repère]]="","",VLOOKUP(Tableau134[[#This Row],[Repère]],Tableau1[#All],4,FALSE))</f>
        <v/>
      </c>
      <c r="E18" s="13" t="str">
        <f>IF(Tableau134[[#This Row],[Repère]]="","",VLOOKUP(Tableau134[[#This Row],[Repère]],Tableau1[#All],5,FALSE))</f>
        <v/>
      </c>
      <c r="F18" s="13" t="str">
        <f>IF(Tableau134[[#This Row],[Repère]]="","",VLOOKUP(Tableau134[[#This Row],[Repère]],Tableau1[#All],6,FALSE))</f>
        <v/>
      </c>
      <c r="G18" s="13" t="str">
        <f>IF(Tableau134[[#This Row],[Repère]]="","",VLOOKUP(Tableau134[[#This Row],[Repère]],Tableau1[#All],7,FALSE))</f>
        <v/>
      </c>
      <c r="H18" s="13" t="str">
        <f>IF(Tableau134[[#This Row],[Repère]]="","",VLOOKUP(Tableau134[[#This Row],[Repère]],Tableau1[#All],8,FALSE))</f>
        <v/>
      </c>
      <c r="I18" s="13" t="str">
        <f>IF(Tableau134[[#This Row],[Repère]]="","",VLOOKUP(Tableau134[[#This Row],[Repère]],Tableau1[#All],9,FALSE))</f>
        <v/>
      </c>
      <c r="J18" s="13" t="str">
        <f>IF(Tableau134[[#This Row],[Repère]]="","",VLOOKUP(Tableau134[[#This Row],[Repère]],Tableau1[#All],10,FALSE))</f>
        <v/>
      </c>
      <c r="K18" s="13" t="str">
        <f>IF(Tableau134[[#This Row],[Repère]]="","",VLOOKUP(Tableau134[[#This Row],[Repère]],Tableau1[#All],11,FALSE))</f>
        <v/>
      </c>
      <c r="L18" s="14" t="str">
        <f>IF(Tableau134[[#This Row],[Repère]]="","",VLOOKUP(Tableau134[[#This Row],[Repère]],Tableau1[#All],12,FALSE))</f>
        <v/>
      </c>
    </row>
    <row r="19" spans="1:12" x14ac:dyDescent="0.3">
      <c r="A19" s="18"/>
      <c r="B19" s="19"/>
      <c r="C19" s="13" t="str">
        <f>IF(Tableau134[[#This Row],[Repère]]="","",VLOOKUP(Tableau134[[#This Row],[Repère]],Tableau1[#All],3,FALSE))</f>
        <v/>
      </c>
      <c r="D19" s="13" t="str">
        <f>IF(Tableau134[[#This Row],[Repère]]="","",VLOOKUP(Tableau134[[#This Row],[Repère]],Tableau1[#All],4,FALSE))</f>
        <v/>
      </c>
      <c r="E19" s="13" t="str">
        <f>IF(Tableau134[[#This Row],[Repère]]="","",VLOOKUP(Tableau134[[#This Row],[Repère]],Tableau1[#All],5,FALSE))</f>
        <v/>
      </c>
      <c r="F19" s="13" t="str">
        <f>IF(Tableau134[[#This Row],[Repère]]="","",VLOOKUP(Tableau134[[#This Row],[Repère]],Tableau1[#All],6,FALSE))</f>
        <v/>
      </c>
      <c r="G19" s="13" t="str">
        <f>IF(Tableau134[[#This Row],[Repère]]="","",VLOOKUP(Tableau134[[#This Row],[Repère]],Tableau1[#All],7,FALSE))</f>
        <v/>
      </c>
      <c r="H19" s="13" t="str">
        <f>IF(Tableau134[[#This Row],[Repère]]="","",VLOOKUP(Tableau134[[#This Row],[Repère]],Tableau1[#All],8,FALSE))</f>
        <v/>
      </c>
      <c r="I19" s="13" t="str">
        <f>IF(Tableau134[[#This Row],[Repère]]="","",VLOOKUP(Tableau134[[#This Row],[Repère]],Tableau1[#All],9,FALSE))</f>
        <v/>
      </c>
      <c r="J19" s="13" t="str">
        <f>IF(Tableau134[[#This Row],[Repère]]="","",VLOOKUP(Tableau134[[#This Row],[Repère]],Tableau1[#All],10,FALSE))</f>
        <v/>
      </c>
      <c r="K19" s="13" t="str">
        <f>IF(Tableau134[[#This Row],[Repère]]="","",VLOOKUP(Tableau134[[#This Row],[Repère]],Tableau1[#All],11,FALSE))</f>
        <v/>
      </c>
      <c r="L19" s="14" t="str">
        <f>IF(Tableau134[[#This Row],[Repère]]="","",VLOOKUP(Tableau134[[#This Row],[Repère]],Tableau1[#All],12,FALSE))</f>
        <v/>
      </c>
    </row>
    <row r="20" spans="1:12" x14ac:dyDescent="0.3">
      <c r="A20" s="18"/>
      <c r="B20" s="19"/>
      <c r="C20" s="13" t="str">
        <f>IF(Tableau134[[#This Row],[Repère]]="","",VLOOKUP(Tableau134[[#This Row],[Repère]],Tableau1[#All],3,FALSE))</f>
        <v/>
      </c>
      <c r="D20" s="13" t="str">
        <f>IF(Tableau134[[#This Row],[Repère]]="","",VLOOKUP(Tableau134[[#This Row],[Repère]],Tableau1[#All],4,FALSE))</f>
        <v/>
      </c>
      <c r="E20" s="13" t="str">
        <f>IF(Tableau134[[#This Row],[Repère]]="","",VLOOKUP(Tableau134[[#This Row],[Repère]],Tableau1[#All],5,FALSE))</f>
        <v/>
      </c>
      <c r="F20" s="13" t="str">
        <f>IF(Tableau134[[#This Row],[Repère]]="","",VLOOKUP(Tableau134[[#This Row],[Repère]],Tableau1[#All],6,FALSE))</f>
        <v/>
      </c>
      <c r="G20" s="13" t="str">
        <f>IF(Tableau134[[#This Row],[Repère]]="","",VLOOKUP(Tableau134[[#This Row],[Repère]],Tableau1[#All],7,FALSE))</f>
        <v/>
      </c>
      <c r="H20" s="13" t="str">
        <f>IF(Tableau134[[#This Row],[Repère]]="","",VLOOKUP(Tableau134[[#This Row],[Repère]],Tableau1[#All],8,FALSE))</f>
        <v/>
      </c>
      <c r="I20" s="13" t="str">
        <f>IF(Tableau134[[#This Row],[Repère]]="","",VLOOKUP(Tableau134[[#This Row],[Repère]],Tableau1[#All],9,FALSE))</f>
        <v/>
      </c>
      <c r="J20" s="13" t="str">
        <f>IF(Tableau134[[#This Row],[Repère]]="","",VLOOKUP(Tableau134[[#This Row],[Repère]],Tableau1[#All],10,FALSE))</f>
        <v/>
      </c>
      <c r="K20" s="13" t="str">
        <f>IF(Tableau134[[#This Row],[Repère]]="","",VLOOKUP(Tableau134[[#This Row],[Repère]],Tableau1[#All],11,FALSE))</f>
        <v/>
      </c>
      <c r="L20" s="14" t="str">
        <f>IF(Tableau134[[#This Row],[Repère]]="","",VLOOKUP(Tableau134[[#This Row],[Repère]],Tableau1[#All],12,FALSE))</f>
        <v/>
      </c>
    </row>
    <row r="21" spans="1:12" x14ac:dyDescent="0.3">
      <c r="A21" s="18"/>
      <c r="B21" s="19"/>
      <c r="C21" s="13" t="str">
        <f>IF(Tableau134[[#This Row],[Repère]]="","",VLOOKUP(Tableau134[[#This Row],[Repère]],Tableau1[#All],3,FALSE))</f>
        <v/>
      </c>
      <c r="D21" s="13" t="str">
        <f>IF(Tableau134[[#This Row],[Repère]]="","",VLOOKUP(Tableau134[[#This Row],[Repère]],Tableau1[#All],4,FALSE))</f>
        <v/>
      </c>
      <c r="E21" s="13" t="str">
        <f>IF(Tableau134[[#This Row],[Repère]]="","",VLOOKUP(Tableau134[[#This Row],[Repère]],Tableau1[#All],5,FALSE))</f>
        <v/>
      </c>
      <c r="F21" s="13" t="str">
        <f>IF(Tableau134[[#This Row],[Repère]]="","",VLOOKUP(Tableau134[[#This Row],[Repère]],Tableau1[#All],6,FALSE))</f>
        <v/>
      </c>
      <c r="G21" s="13" t="str">
        <f>IF(Tableau134[[#This Row],[Repère]]="","",VLOOKUP(Tableau134[[#This Row],[Repère]],Tableau1[#All],7,FALSE))</f>
        <v/>
      </c>
      <c r="H21" s="13" t="str">
        <f>IF(Tableau134[[#This Row],[Repère]]="","",VLOOKUP(Tableau134[[#This Row],[Repère]],Tableau1[#All],8,FALSE))</f>
        <v/>
      </c>
      <c r="I21" s="13" t="str">
        <f>IF(Tableau134[[#This Row],[Repère]]="","",VLOOKUP(Tableau134[[#This Row],[Repère]],Tableau1[#All],9,FALSE))</f>
        <v/>
      </c>
      <c r="J21" s="13" t="str">
        <f>IF(Tableau134[[#This Row],[Repère]]="","",VLOOKUP(Tableau134[[#This Row],[Repère]],Tableau1[#All],10,FALSE))</f>
        <v/>
      </c>
      <c r="K21" s="13" t="str">
        <f>IF(Tableau134[[#This Row],[Repère]]="","",VLOOKUP(Tableau134[[#This Row],[Repère]],Tableau1[#All],11,FALSE))</f>
        <v/>
      </c>
      <c r="L21" s="14" t="str">
        <f>IF(Tableau134[[#This Row],[Repère]]="","",VLOOKUP(Tableau134[[#This Row],[Repère]],Tableau1[#All],12,FALSE))</f>
        <v/>
      </c>
    </row>
    <row r="22" spans="1:12" x14ac:dyDescent="0.3">
      <c r="A22" s="18"/>
      <c r="B22" s="19"/>
      <c r="C22" s="13" t="str">
        <f>IF(Tableau134[[#This Row],[Repère]]="","",VLOOKUP(Tableau134[[#This Row],[Repère]],Tableau1[#All],3,FALSE))</f>
        <v/>
      </c>
      <c r="D22" s="13" t="str">
        <f>IF(Tableau134[[#This Row],[Repère]]="","",VLOOKUP(Tableau134[[#This Row],[Repère]],Tableau1[#All],4,FALSE))</f>
        <v/>
      </c>
      <c r="E22" s="13" t="str">
        <f>IF(Tableau134[[#This Row],[Repère]]="","",VLOOKUP(Tableau134[[#This Row],[Repère]],Tableau1[#All],5,FALSE))</f>
        <v/>
      </c>
      <c r="F22" s="13" t="str">
        <f>IF(Tableau134[[#This Row],[Repère]]="","",VLOOKUP(Tableau134[[#This Row],[Repère]],Tableau1[#All],6,FALSE))</f>
        <v/>
      </c>
      <c r="G22" s="13" t="str">
        <f>IF(Tableau134[[#This Row],[Repère]]="","",VLOOKUP(Tableau134[[#This Row],[Repère]],Tableau1[#All],7,FALSE))</f>
        <v/>
      </c>
      <c r="H22" s="13" t="str">
        <f>IF(Tableau134[[#This Row],[Repère]]="","",VLOOKUP(Tableau134[[#This Row],[Repère]],Tableau1[#All],8,FALSE))</f>
        <v/>
      </c>
      <c r="I22" s="13" t="str">
        <f>IF(Tableau134[[#This Row],[Repère]]="","",VLOOKUP(Tableau134[[#This Row],[Repère]],Tableau1[#All],9,FALSE))</f>
        <v/>
      </c>
      <c r="J22" s="13" t="str">
        <f>IF(Tableau134[[#This Row],[Repère]]="","",VLOOKUP(Tableau134[[#This Row],[Repère]],Tableau1[#All],10,FALSE))</f>
        <v/>
      </c>
      <c r="K22" s="13" t="str">
        <f>IF(Tableau134[[#This Row],[Repère]]="","",VLOOKUP(Tableau134[[#This Row],[Repère]],Tableau1[#All],11,FALSE))</f>
        <v/>
      </c>
      <c r="L22" s="14" t="str">
        <f>IF(Tableau134[[#This Row],[Repère]]="","",VLOOKUP(Tableau134[[#This Row],[Repère]],Tableau1[#All],12,FALSE))</f>
        <v/>
      </c>
    </row>
    <row r="23" spans="1:12" x14ac:dyDescent="0.3">
      <c r="A23" s="18"/>
      <c r="B23" s="19"/>
      <c r="C23" s="13" t="str">
        <f>IF(Tableau134[[#This Row],[Repère]]="","",VLOOKUP(Tableau134[[#This Row],[Repère]],Tableau1[#All],3,FALSE))</f>
        <v/>
      </c>
      <c r="D23" s="13" t="str">
        <f>IF(Tableau134[[#This Row],[Repère]]="","",VLOOKUP(Tableau134[[#This Row],[Repère]],Tableau1[#All],4,FALSE))</f>
        <v/>
      </c>
      <c r="E23" s="13" t="str">
        <f>IF(Tableau134[[#This Row],[Repère]]="","",VLOOKUP(Tableau134[[#This Row],[Repère]],Tableau1[#All],5,FALSE))</f>
        <v/>
      </c>
      <c r="F23" s="13" t="str">
        <f>IF(Tableau134[[#This Row],[Repère]]="","",VLOOKUP(Tableau134[[#This Row],[Repère]],Tableau1[#All],6,FALSE))</f>
        <v/>
      </c>
      <c r="G23" s="13" t="str">
        <f>IF(Tableau134[[#This Row],[Repère]]="","",VLOOKUP(Tableau134[[#This Row],[Repère]],Tableau1[#All],7,FALSE))</f>
        <v/>
      </c>
      <c r="H23" s="13" t="str">
        <f>IF(Tableau134[[#This Row],[Repère]]="","",VLOOKUP(Tableau134[[#This Row],[Repère]],Tableau1[#All],8,FALSE))</f>
        <v/>
      </c>
      <c r="I23" s="13" t="str">
        <f>IF(Tableau134[[#This Row],[Repère]]="","",VLOOKUP(Tableau134[[#This Row],[Repère]],Tableau1[#All],9,FALSE))</f>
        <v/>
      </c>
      <c r="J23" s="13" t="str">
        <f>IF(Tableau134[[#This Row],[Repère]]="","",VLOOKUP(Tableau134[[#This Row],[Repère]],Tableau1[#All],10,FALSE))</f>
        <v/>
      </c>
      <c r="K23" s="13" t="str">
        <f>IF(Tableau134[[#This Row],[Repère]]="","",VLOOKUP(Tableau134[[#This Row],[Repère]],Tableau1[#All],11,FALSE))</f>
        <v/>
      </c>
      <c r="L23" s="14" t="str">
        <f>IF(Tableau134[[#This Row],[Repère]]="","",VLOOKUP(Tableau134[[#This Row],[Repère]],Tableau1[#All],12,FALSE))</f>
        <v/>
      </c>
    </row>
    <row r="24" spans="1:12" x14ac:dyDescent="0.3">
      <c r="A24" s="18"/>
      <c r="B24" s="19"/>
      <c r="C24" s="13" t="str">
        <f>IF(Tableau134[[#This Row],[Repère]]="","",VLOOKUP(Tableau134[[#This Row],[Repère]],Tableau1[#All],3,FALSE))</f>
        <v/>
      </c>
      <c r="D24" s="13" t="str">
        <f>IF(Tableau134[[#This Row],[Repère]]="","",VLOOKUP(Tableau134[[#This Row],[Repère]],Tableau1[#All],4,FALSE))</f>
        <v/>
      </c>
      <c r="E24" s="13" t="str">
        <f>IF(Tableau134[[#This Row],[Repère]]="","",VLOOKUP(Tableau134[[#This Row],[Repère]],Tableau1[#All],5,FALSE))</f>
        <v/>
      </c>
      <c r="F24" s="13" t="str">
        <f>IF(Tableau134[[#This Row],[Repère]]="","",VLOOKUP(Tableau134[[#This Row],[Repère]],Tableau1[#All],6,FALSE))</f>
        <v/>
      </c>
      <c r="G24" s="13" t="str">
        <f>IF(Tableau134[[#This Row],[Repère]]="","",VLOOKUP(Tableau134[[#This Row],[Repère]],Tableau1[#All],7,FALSE))</f>
        <v/>
      </c>
      <c r="H24" s="13" t="str">
        <f>IF(Tableau134[[#This Row],[Repère]]="","",VLOOKUP(Tableau134[[#This Row],[Repère]],Tableau1[#All],8,FALSE))</f>
        <v/>
      </c>
      <c r="I24" s="13" t="str">
        <f>IF(Tableau134[[#This Row],[Repère]]="","",VLOOKUP(Tableau134[[#This Row],[Repère]],Tableau1[#All],9,FALSE))</f>
        <v/>
      </c>
      <c r="J24" s="13" t="str">
        <f>IF(Tableau134[[#This Row],[Repère]]="","",VLOOKUP(Tableau134[[#This Row],[Repère]],Tableau1[#All],10,FALSE))</f>
        <v/>
      </c>
      <c r="K24" s="13" t="str">
        <f>IF(Tableau134[[#This Row],[Repère]]="","",VLOOKUP(Tableau134[[#This Row],[Repère]],Tableau1[#All],11,FALSE))</f>
        <v/>
      </c>
      <c r="L24" s="14" t="str">
        <f>IF(Tableau134[[#This Row],[Repère]]="","",VLOOKUP(Tableau134[[#This Row],[Repère]],Tableau1[#All],12,FALSE))</f>
        <v/>
      </c>
    </row>
    <row r="25" spans="1:12" x14ac:dyDescent="0.3">
      <c r="A25" s="18"/>
      <c r="B25" s="19"/>
      <c r="C25" s="13" t="str">
        <f>IF(Tableau134[[#This Row],[Repère]]="","",VLOOKUP(Tableau134[[#This Row],[Repère]],Tableau1[#All],3,FALSE))</f>
        <v/>
      </c>
      <c r="D25" s="13" t="str">
        <f>IF(Tableau134[[#This Row],[Repère]]="","",VLOOKUP(Tableau134[[#This Row],[Repère]],Tableau1[#All],4,FALSE))</f>
        <v/>
      </c>
      <c r="E25" s="13" t="str">
        <f>IF(Tableau134[[#This Row],[Repère]]="","",VLOOKUP(Tableau134[[#This Row],[Repère]],Tableau1[#All],5,FALSE))</f>
        <v/>
      </c>
      <c r="F25" s="13" t="str">
        <f>IF(Tableau134[[#This Row],[Repère]]="","",VLOOKUP(Tableau134[[#This Row],[Repère]],Tableau1[#All],6,FALSE))</f>
        <v/>
      </c>
      <c r="G25" s="13" t="str">
        <f>IF(Tableau134[[#This Row],[Repère]]="","",VLOOKUP(Tableau134[[#This Row],[Repère]],Tableau1[#All],7,FALSE))</f>
        <v/>
      </c>
      <c r="H25" s="13" t="str">
        <f>IF(Tableau134[[#This Row],[Repère]]="","",VLOOKUP(Tableau134[[#This Row],[Repère]],Tableau1[#All],8,FALSE))</f>
        <v/>
      </c>
      <c r="I25" s="13" t="str">
        <f>IF(Tableau134[[#This Row],[Repère]]="","",VLOOKUP(Tableau134[[#This Row],[Repère]],Tableau1[#All],9,FALSE))</f>
        <v/>
      </c>
      <c r="J25" s="13" t="str">
        <f>IF(Tableau134[[#This Row],[Repère]]="","",VLOOKUP(Tableau134[[#This Row],[Repère]],Tableau1[#All],10,FALSE))</f>
        <v/>
      </c>
      <c r="K25" s="13" t="str">
        <f>IF(Tableau134[[#This Row],[Repère]]="","",VLOOKUP(Tableau134[[#This Row],[Repère]],Tableau1[#All],11,FALSE))</f>
        <v/>
      </c>
      <c r="L25" s="14" t="str">
        <f>IF(Tableau134[[#This Row],[Repère]]="","",VLOOKUP(Tableau134[[#This Row],[Repère]],Tableau1[#All],12,FALSE))</f>
        <v/>
      </c>
    </row>
    <row r="26" spans="1:12" x14ac:dyDescent="0.3">
      <c r="A26" s="18"/>
      <c r="B26" s="19"/>
      <c r="C26" s="13" t="str">
        <f>IF(Tableau134[[#This Row],[Repère]]="","",VLOOKUP(Tableau134[[#This Row],[Repère]],Tableau1[#All],3,FALSE))</f>
        <v/>
      </c>
      <c r="D26" s="13" t="str">
        <f>IF(Tableau134[[#This Row],[Repère]]="","",VLOOKUP(Tableau134[[#This Row],[Repère]],Tableau1[#All],4,FALSE))</f>
        <v/>
      </c>
      <c r="E26" s="13" t="str">
        <f>IF(Tableau134[[#This Row],[Repère]]="","",VLOOKUP(Tableau134[[#This Row],[Repère]],Tableau1[#All],5,FALSE))</f>
        <v/>
      </c>
      <c r="F26" s="13" t="str">
        <f>IF(Tableau134[[#This Row],[Repère]]="","",VLOOKUP(Tableau134[[#This Row],[Repère]],Tableau1[#All],6,FALSE))</f>
        <v/>
      </c>
      <c r="G26" s="13" t="str">
        <f>IF(Tableau134[[#This Row],[Repère]]="","",VLOOKUP(Tableau134[[#This Row],[Repère]],Tableau1[#All],7,FALSE))</f>
        <v/>
      </c>
      <c r="H26" s="13" t="str">
        <f>IF(Tableau134[[#This Row],[Repère]]="","",VLOOKUP(Tableau134[[#This Row],[Repère]],Tableau1[#All],8,FALSE))</f>
        <v/>
      </c>
      <c r="I26" s="13" t="str">
        <f>IF(Tableau134[[#This Row],[Repère]]="","",VLOOKUP(Tableau134[[#This Row],[Repère]],Tableau1[#All],9,FALSE))</f>
        <v/>
      </c>
      <c r="J26" s="13" t="str">
        <f>IF(Tableau134[[#This Row],[Repère]]="","",VLOOKUP(Tableau134[[#This Row],[Repère]],Tableau1[#All],10,FALSE))</f>
        <v/>
      </c>
      <c r="K26" s="13" t="str">
        <f>IF(Tableau134[[#This Row],[Repère]]="","",VLOOKUP(Tableau134[[#This Row],[Repère]],Tableau1[#All],11,FALSE))</f>
        <v/>
      </c>
      <c r="L26" s="14" t="str">
        <f>IF(Tableau134[[#This Row],[Repère]]="","",VLOOKUP(Tableau134[[#This Row],[Repère]],Tableau1[#All],12,FALSE))</f>
        <v/>
      </c>
    </row>
    <row r="27" spans="1:12" x14ac:dyDescent="0.3">
      <c r="A27" s="18"/>
      <c r="B27" s="19"/>
      <c r="C27" s="13" t="str">
        <f>IF(Tableau134[[#This Row],[Repère]]="","",VLOOKUP(Tableau134[[#This Row],[Repère]],Tableau1[#All],3,FALSE))</f>
        <v/>
      </c>
      <c r="D27" s="13" t="str">
        <f>IF(Tableau134[[#This Row],[Repère]]="","",VLOOKUP(Tableau134[[#This Row],[Repère]],Tableau1[#All],4,FALSE))</f>
        <v/>
      </c>
      <c r="E27" s="13" t="str">
        <f>IF(Tableau134[[#This Row],[Repère]]="","",VLOOKUP(Tableau134[[#This Row],[Repère]],Tableau1[#All],5,FALSE))</f>
        <v/>
      </c>
      <c r="F27" s="13" t="str">
        <f>IF(Tableau134[[#This Row],[Repère]]="","",VLOOKUP(Tableau134[[#This Row],[Repère]],Tableau1[#All],6,FALSE))</f>
        <v/>
      </c>
      <c r="G27" s="13" t="str">
        <f>IF(Tableau134[[#This Row],[Repère]]="","",VLOOKUP(Tableau134[[#This Row],[Repère]],Tableau1[#All],7,FALSE))</f>
        <v/>
      </c>
      <c r="H27" s="13" t="str">
        <f>IF(Tableau134[[#This Row],[Repère]]="","",VLOOKUP(Tableau134[[#This Row],[Repère]],Tableau1[#All],8,FALSE))</f>
        <v/>
      </c>
      <c r="I27" s="13" t="str">
        <f>IF(Tableau134[[#This Row],[Repère]]="","",VLOOKUP(Tableau134[[#This Row],[Repère]],Tableau1[#All],9,FALSE))</f>
        <v/>
      </c>
      <c r="J27" s="13" t="str">
        <f>IF(Tableau134[[#This Row],[Repère]]="","",VLOOKUP(Tableau134[[#This Row],[Repère]],Tableau1[#All],10,FALSE))</f>
        <v/>
      </c>
      <c r="K27" s="13" t="str">
        <f>IF(Tableau134[[#This Row],[Repère]]="","",VLOOKUP(Tableau134[[#This Row],[Repère]],Tableau1[#All],11,FALSE))</f>
        <v/>
      </c>
      <c r="L27" s="14" t="str">
        <f>IF(Tableau134[[#This Row],[Repère]]="","",VLOOKUP(Tableau134[[#This Row],[Repère]],Tableau1[#All],12,FALSE))</f>
        <v/>
      </c>
    </row>
    <row r="28" spans="1:12" x14ac:dyDescent="0.3">
      <c r="A28" s="18"/>
      <c r="B28" s="19"/>
      <c r="C28" s="13" t="str">
        <f>IF(Tableau134[[#This Row],[Repère]]="","",VLOOKUP(Tableau134[[#This Row],[Repère]],Tableau1[#All],3,FALSE))</f>
        <v/>
      </c>
      <c r="D28" s="13" t="str">
        <f>IF(Tableau134[[#This Row],[Repère]]="","",VLOOKUP(Tableau134[[#This Row],[Repère]],Tableau1[#All],4,FALSE))</f>
        <v/>
      </c>
      <c r="E28" s="13" t="str">
        <f>IF(Tableau134[[#This Row],[Repère]]="","",VLOOKUP(Tableau134[[#This Row],[Repère]],Tableau1[#All],5,FALSE))</f>
        <v/>
      </c>
      <c r="F28" s="13" t="str">
        <f>IF(Tableau134[[#This Row],[Repère]]="","",VLOOKUP(Tableau134[[#This Row],[Repère]],Tableau1[#All],6,FALSE))</f>
        <v/>
      </c>
      <c r="G28" s="13" t="str">
        <f>IF(Tableau134[[#This Row],[Repère]]="","",VLOOKUP(Tableau134[[#This Row],[Repère]],Tableau1[#All],7,FALSE))</f>
        <v/>
      </c>
      <c r="H28" s="13" t="str">
        <f>IF(Tableau134[[#This Row],[Repère]]="","",VLOOKUP(Tableau134[[#This Row],[Repère]],Tableau1[#All],8,FALSE))</f>
        <v/>
      </c>
      <c r="I28" s="13" t="str">
        <f>IF(Tableau134[[#This Row],[Repère]]="","",VLOOKUP(Tableau134[[#This Row],[Repère]],Tableau1[#All],9,FALSE))</f>
        <v/>
      </c>
      <c r="J28" s="13" t="str">
        <f>IF(Tableau134[[#This Row],[Repère]]="","",VLOOKUP(Tableau134[[#This Row],[Repère]],Tableau1[#All],10,FALSE))</f>
        <v/>
      </c>
      <c r="K28" s="13" t="str">
        <f>IF(Tableau134[[#This Row],[Repère]]="","",VLOOKUP(Tableau134[[#This Row],[Repère]],Tableau1[#All],11,FALSE))</f>
        <v/>
      </c>
      <c r="L28" s="14" t="str">
        <f>IF(Tableau134[[#This Row],[Repère]]="","",VLOOKUP(Tableau134[[#This Row],[Repère]],Tableau1[#All],12,FALSE))</f>
        <v/>
      </c>
    </row>
    <row r="29" spans="1:12" x14ac:dyDescent="0.3">
      <c r="A29" s="18"/>
      <c r="B29" s="19"/>
      <c r="C29" s="13" t="str">
        <f>IF(Tableau134[[#This Row],[Repère]]="","",VLOOKUP(Tableau134[[#This Row],[Repère]],Tableau1[#All],3,FALSE))</f>
        <v/>
      </c>
      <c r="D29" s="13" t="str">
        <f>IF(Tableau134[[#This Row],[Repère]]="","",VLOOKUP(Tableau134[[#This Row],[Repère]],Tableau1[#All],4,FALSE))</f>
        <v/>
      </c>
      <c r="E29" s="13" t="str">
        <f>IF(Tableau134[[#This Row],[Repère]]="","",VLOOKUP(Tableau134[[#This Row],[Repère]],Tableau1[#All],5,FALSE))</f>
        <v/>
      </c>
      <c r="F29" s="13" t="str">
        <f>IF(Tableau134[[#This Row],[Repère]]="","",VLOOKUP(Tableau134[[#This Row],[Repère]],Tableau1[#All],6,FALSE))</f>
        <v/>
      </c>
      <c r="G29" s="13" t="str">
        <f>IF(Tableau134[[#This Row],[Repère]]="","",VLOOKUP(Tableau134[[#This Row],[Repère]],Tableau1[#All],7,FALSE))</f>
        <v/>
      </c>
      <c r="H29" s="13" t="str">
        <f>IF(Tableau134[[#This Row],[Repère]]="","",VLOOKUP(Tableau134[[#This Row],[Repère]],Tableau1[#All],8,FALSE))</f>
        <v/>
      </c>
      <c r="I29" s="13" t="str">
        <f>IF(Tableau134[[#This Row],[Repère]]="","",VLOOKUP(Tableau134[[#This Row],[Repère]],Tableau1[#All],9,FALSE))</f>
        <v/>
      </c>
      <c r="J29" s="13" t="str">
        <f>IF(Tableau134[[#This Row],[Repère]]="","",VLOOKUP(Tableau134[[#This Row],[Repère]],Tableau1[#All],10,FALSE))</f>
        <v/>
      </c>
      <c r="K29" s="13" t="str">
        <f>IF(Tableau134[[#This Row],[Repère]]="","",VLOOKUP(Tableau134[[#This Row],[Repère]],Tableau1[#All],11,FALSE))</f>
        <v/>
      </c>
      <c r="L29" s="14" t="str">
        <f>IF(Tableau134[[#This Row],[Repère]]="","",VLOOKUP(Tableau134[[#This Row],[Repère]],Tableau1[#All],12,FALSE))</f>
        <v/>
      </c>
    </row>
    <row r="30" spans="1:12" x14ac:dyDescent="0.3">
      <c r="A30" s="18"/>
      <c r="B30" s="19"/>
      <c r="C30" s="13" t="str">
        <f>IF(Tableau134[[#This Row],[Repère]]="","",VLOOKUP(Tableau134[[#This Row],[Repère]],Tableau1[#All],3,FALSE))</f>
        <v/>
      </c>
      <c r="D30" s="13" t="str">
        <f>IF(Tableau134[[#This Row],[Repère]]="","",VLOOKUP(Tableau134[[#This Row],[Repère]],Tableau1[#All],4,FALSE))</f>
        <v/>
      </c>
      <c r="E30" s="13" t="str">
        <f>IF(Tableau134[[#This Row],[Repère]]="","",VLOOKUP(Tableau134[[#This Row],[Repère]],Tableau1[#All],5,FALSE))</f>
        <v/>
      </c>
      <c r="F30" s="13" t="str">
        <f>IF(Tableau134[[#This Row],[Repère]]="","",VLOOKUP(Tableau134[[#This Row],[Repère]],Tableau1[#All],6,FALSE))</f>
        <v/>
      </c>
      <c r="G30" s="13" t="str">
        <f>IF(Tableau134[[#This Row],[Repère]]="","",VLOOKUP(Tableau134[[#This Row],[Repère]],Tableau1[#All],7,FALSE))</f>
        <v/>
      </c>
      <c r="H30" s="13" t="str">
        <f>IF(Tableau134[[#This Row],[Repère]]="","",VLOOKUP(Tableau134[[#This Row],[Repère]],Tableau1[#All],8,FALSE))</f>
        <v/>
      </c>
      <c r="I30" s="13" t="str">
        <f>IF(Tableau134[[#This Row],[Repère]]="","",VLOOKUP(Tableau134[[#This Row],[Repère]],Tableau1[#All],9,FALSE))</f>
        <v/>
      </c>
      <c r="J30" s="13" t="str">
        <f>IF(Tableau134[[#This Row],[Repère]]="","",VLOOKUP(Tableau134[[#This Row],[Repère]],Tableau1[#All],10,FALSE))</f>
        <v/>
      </c>
      <c r="K30" s="13" t="str">
        <f>IF(Tableau134[[#This Row],[Repère]]="","",VLOOKUP(Tableau134[[#This Row],[Repère]],Tableau1[#All],11,FALSE))</f>
        <v/>
      </c>
      <c r="L30" s="14" t="str">
        <f>IF(Tableau134[[#This Row],[Repère]]="","",VLOOKUP(Tableau134[[#This Row],[Repère]],Tableau1[#All],12,FALSE))</f>
        <v/>
      </c>
    </row>
    <row r="31" spans="1:12" x14ac:dyDescent="0.3">
      <c r="A31" s="18"/>
      <c r="B31" s="19"/>
      <c r="C31" s="13" t="str">
        <f>IF(Tableau134[[#This Row],[Repère]]="","",VLOOKUP(Tableau134[[#This Row],[Repère]],Tableau1[#All],3,FALSE))</f>
        <v/>
      </c>
      <c r="D31" s="13" t="str">
        <f>IF(Tableau134[[#This Row],[Repère]]="","",VLOOKUP(Tableau134[[#This Row],[Repère]],Tableau1[#All],4,FALSE))</f>
        <v/>
      </c>
      <c r="E31" s="13" t="str">
        <f>IF(Tableau134[[#This Row],[Repère]]="","",VLOOKUP(Tableau134[[#This Row],[Repère]],Tableau1[#All],5,FALSE))</f>
        <v/>
      </c>
      <c r="F31" s="13" t="str">
        <f>IF(Tableau134[[#This Row],[Repère]]="","",VLOOKUP(Tableau134[[#This Row],[Repère]],Tableau1[#All],6,FALSE))</f>
        <v/>
      </c>
      <c r="G31" s="13" t="str">
        <f>IF(Tableau134[[#This Row],[Repère]]="","",VLOOKUP(Tableau134[[#This Row],[Repère]],Tableau1[#All],7,FALSE))</f>
        <v/>
      </c>
      <c r="H31" s="13" t="str">
        <f>IF(Tableau134[[#This Row],[Repère]]="","",VLOOKUP(Tableau134[[#This Row],[Repère]],Tableau1[#All],8,FALSE))</f>
        <v/>
      </c>
      <c r="I31" s="13" t="str">
        <f>IF(Tableau134[[#This Row],[Repère]]="","",VLOOKUP(Tableau134[[#This Row],[Repère]],Tableau1[#All],9,FALSE))</f>
        <v/>
      </c>
      <c r="J31" s="13" t="str">
        <f>IF(Tableau134[[#This Row],[Repère]]="","",VLOOKUP(Tableau134[[#This Row],[Repère]],Tableau1[#All],10,FALSE))</f>
        <v/>
      </c>
      <c r="K31" s="13" t="str">
        <f>IF(Tableau134[[#This Row],[Repère]]="","",VLOOKUP(Tableau134[[#This Row],[Repère]],Tableau1[#All],11,FALSE))</f>
        <v/>
      </c>
      <c r="L31" s="14" t="str">
        <f>IF(Tableau134[[#This Row],[Repère]]="","",VLOOKUP(Tableau134[[#This Row],[Repère]],Tableau1[#All],12,FALSE))</f>
        <v/>
      </c>
    </row>
    <row r="32" spans="1:12" x14ac:dyDescent="0.3">
      <c r="A32" s="18"/>
      <c r="B32" s="19"/>
      <c r="C32" s="13" t="str">
        <f>IF(Tableau134[[#This Row],[Repère]]="","",VLOOKUP(Tableau134[[#This Row],[Repère]],Tableau1[#All],3,FALSE))</f>
        <v/>
      </c>
      <c r="D32" s="13" t="str">
        <f>IF(Tableau134[[#This Row],[Repère]]="","",VLOOKUP(Tableau134[[#This Row],[Repère]],Tableau1[#All],4,FALSE))</f>
        <v/>
      </c>
      <c r="E32" s="13" t="str">
        <f>IF(Tableau134[[#This Row],[Repère]]="","",VLOOKUP(Tableau134[[#This Row],[Repère]],Tableau1[#All],5,FALSE))</f>
        <v/>
      </c>
      <c r="F32" s="13" t="str">
        <f>IF(Tableau134[[#This Row],[Repère]]="","",VLOOKUP(Tableau134[[#This Row],[Repère]],Tableau1[#All],6,FALSE))</f>
        <v/>
      </c>
      <c r="G32" s="13" t="str">
        <f>IF(Tableau134[[#This Row],[Repère]]="","",VLOOKUP(Tableau134[[#This Row],[Repère]],Tableau1[#All],7,FALSE))</f>
        <v/>
      </c>
      <c r="H32" s="13" t="str">
        <f>IF(Tableau134[[#This Row],[Repère]]="","",VLOOKUP(Tableau134[[#This Row],[Repère]],Tableau1[#All],8,FALSE))</f>
        <v/>
      </c>
      <c r="I32" s="13" t="str">
        <f>IF(Tableau134[[#This Row],[Repère]]="","",VLOOKUP(Tableau134[[#This Row],[Repère]],Tableau1[#All],9,FALSE))</f>
        <v/>
      </c>
      <c r="J32" s="13" t="str">
        <f>IF(Tableau134[[#This Row],[Repère]]="","",VLOOKUP(Tableau134[[#This Row],[Repère]],Tableau1[#All],10,FALSE))</f>
        <v/>
      </c>
      <c r="K32" s="13" t="str">
        <f>IF(Tableau134[[#This Row],[Repère]]="","",VLOOKUP(Tableau134[[#This Row],[Repère]],Tableau1[#All],11,FALSE))</f>
        <v/>
      </c>
      <c r="L32" s="14" t="str">
        <f>IF(Tableau134[[#This Row],[Repère]]="","",VLOOKUP(Tableau134[[#This Row],[Repère]],Tableau1[#All],12,FALSE))</f>
        <v/>
      </c>
    </row>
    <row r="33" spans="1:12" x14ac:dyDescent="0.3">
      <c r="A33" s="18"/>
      <c r="B33" s="19"/>
      <c r="C33" s="13" t="str">
        <f>IF(Tableau134[[#This Row],[Repère]]="","",VLOOKUP(Tableau134[[#This Row],[Repère]],Tableau1[#All],3,FALSE))</f>
        <v/>
      </c>
      <c r="D33" s="13" t="str">
        <f>IF(Tableau134[[#This Row],[Repère]]="","",VLOOKUP(Tableau134[[#This Row],[Repère]],Tableau1[#All],4,FALSE))</f>
        <v/>
      </c>
      <c r="E33" s="13" t="str">
        <f>IF(Tableau134[[#This Row],[Repère]]="","",VLOOKUP(Tableau134[[#This Row],[Repère]],Tableau1[#All],5,FALSE))</f>
        <v/>
      </c>
      <c r="F33" s="13" t="str">
        <f>IF(Tableau134[[#This Row],[Repère]]="","",VLOOKUP(Tableau134[[#This Row],[Repère]],Tableau1[#All],6,FALSE))</f>
        <v/>
      </c>
      <c r="G33" s="13" t="str">
        <f>IF(Tableau134[[#This Row],[Repère]]="","",VLOOKUP(Tableau134[[#This Row],[Repère]],Tableau1[#All],7,FALSE))</f>
        <v/>
      </c>
      <c r="H33" s="13" t="str">
        <f>IF(Tableau134[[#This Row],[Repère]]="","",VLOOKUP(Tableau134[[#This Row],[Repère]],Tableau1[#All],8,FALSE))</f>
        <v/>
      </c>
      <c r="I33" s="13" t="str">
        <f>IF(Tableau134[[#This Row],[Repère]]="","",VLOOKUP(Tableau134[[#This Row],[Repère]],Tableau1[#All],9,FALSE))</f>
        <v/>
      </c>
      <c r="J33" s="13" t="str">
        <f>IF(Tableau134[[#This Row],[Repère]]="","",VLOOKUP(Tableau134[[#This Row],[Repère]],Tableau1[#All],10,FALSE))</f>
        <v/>
      </c>
      <c r="K33" s="13" t="str">
        <f>IF(Tableau134[[#This Row],[Repère]]="","",VLOOKUP(Tableau134[[#This Row],[Repère]],Tableau1[#All],11,FALSE))</f>
        <v/>
      </c>
      <c r="L33" s="14" t="str">
        <f>IF(Tableau134[[#This Row],[Repère]]="","",VLOOKUP(Tableau134[[#This Row],[Repère]],Tableau1[#All],12,FALSE))</f>
        <v/>
      </c>
    </row>
    <row r="34" spans="1:12" x14ac:dyDescent="0.3">
      <c r="A34" s="18"/>
      <c r="B34" s="19"/>
      <c r="C34" s="13" t="str">
        <f>IF(Tableau134[[#This Row],[Repère]]="","",VLOOKUP(Tableau134[[#This Row],[Repère]],Tableau1[#All],3,FALSE))</f>
        <v/>
      </c>
      <c r="D34" s="13" t="str">
        <f>IF(Tableau134[[#This Row],[Repère]]="","",VLOOKUP(Tableau134[[#This Row],[Repère]],Tableau1[#All],4,FALSE))</f>
        <v/>
      </c>
      <c r="E34" s="13" t="str">
        <f>IF(Tableau134[[#This Row],[Repère]]="","",VLOOKUP(Tableau134[[#This Row],[Repère]],Tableau1[#All],5,FALSE))</f>
        <v/>
      </c>
      <c r="F34" s="13" t="str">
        <f>IF(Tableau134[[#This Row],[Repère]]="","",VLOOKUP(Tableau134[[#This Row],[Repère]],Tableau1[#All],6,FALSE))</f>
        <v/>
      </c>
      <c r="G34" s="13" t="str">
        <f>IF(Tableau134[[#This Row],[Repère]]="","",VLOOKUP(Tableau134[[#This Row],[Repère]],Tableau1[#All],7,FALSE))</f>
        <v/>
      </c>
      <c r="H34" s="13" t="str">
        <f>IF(Tableau134[[#This Row],[Repère]]="","",VLOOKUP(Tableau134[[#This Row],[Repère]],Tableau1[#All],8,FALSE))</f>
        <v/>
      </c>
      <c r="I34" s="13" t="str">
        <f>IF(Tableau134[[#This Row],[Repère]]="","",VLOOKUP(Tableau134[[#This Row],[Repère]],Tableau1[#All],9,FALSE))</f>
        <v/>
      </c>
      <c r="J34" s="13" t="str">
        <f>IF(Tableau134[[#This Row],[Repère]]="","",VLOOKUP(Tableau134[[#This Row],[Repère]],Tableau1[#All],10,FALSE))</f>
        <v/>
      </c>
      <c r="K34" s="13" t="str">
        <f>IF(Tableau134[[#This Row],[Repère]]="","",VLOOKUP(Tableau134[[#This Row],[Repère]],Tableau1[#All],11,FALSE))</f>
        <v/>
      </c>
      <c r="L34" s="14" t="str">
        <f>IF(Tableau134[[#This Row],[Repère]]="","",VLOOKUP(Tableau134[[#This Row],[Repère]],Tableau1[#All],12,FALSE))</f>
        <v/>
      </c>
    </row>
    <row r="35" spans="1:12" x14ac:dyDescent="0.3">
      <c r="A35" s="18"/>
      <c r="B35" s="19"/>
      <c r="C35" s="13" t="str">
        <f>IF(Tableau134[[#This Row],[Repère]]="","",VLOOKUP(Tableau134[[#This Row],[Repère]],Tableau1[#All],3,FALSE))</f>
        <v/>
      </c>
      <c r="D35" s="13" t="str">
        <f>IF(Tableau134[[#This Row],[Repère]]="","",VLOOKUP(Tableau134[[#This Row],[Repère]],Tableau1[#All],4,FALSE))</f>
        <v/>
      </c>
      <c r="E35" s="13" t="str">
        <f>IF(Tableau134[[#This Row],[Repère]]="","",VLOOKUP(Tableau134[[#This Row],[Repère]],Tableau1[#All],5,FALSE))</f>
        <v/>
      </c>
      <c r="F35" s="13" t="str">
        <f>IF(Tableau134[[#This Row],[Repère]]="","",VLOOKUP(Tableau134[[#This Row],[Repère]],Tableau1[#All],6,FALSE))</f>
        <v/>
      </c>
      <c r="G35" s="13" t="str">
        <f>IF(Tableau134[[#This Row],[Repère]]="","",VLOOKUP(Tableau134[[#This Row],[Repère]],Tableau1[#All],7,FALSE))</f>
        <v/>
      </c>
      <c r="H35" s="13" t="str">
        <f>IF(Tableau134[[#This Row],[Repère]]="","",VLOOKUP(Tableau134[[#This Row],[Repère]],Tableau1[#All],8,FALSE))</f>
        <v/>
      </c>
      <c r="I35" s="13" t="str">
        <f>IF(Tableau134[[#This Row],[Repère]]="","",VLOOKUP(Tableau134[[#This Row],[Repère]],Tableau1[#All],9,FALSE))</f>
        <v/>
      </c>
      <c r="J35" s="13" t="str">
        <f>IF(Tableau134[[#This Row],[Repère]]="","",VLOOKUP(Tableau134[[#This Row],[Repère]],Tableau1[#All],10,FALSE))</f>
        <v/>
      </c>
      <c r="K35" s="13" t="str">
        <f>IF(Tableau134[[#This Row],[Repère]]="","",VLOOKUP(Tableau134[[#This Row],[Repère]],Tableau1[#All],11,FALSE))</f>
        <v/>
      </c>
      <c r="L35" s="14" t="str">
        <f>IF(Tableau134[[#This Row],[Repère]]="","",VLOOKUP(Tableau134[[#This Row],[Repère]],Tableau1[#All],12,FALSE))</f>
        <v/>
      </c>
    </row>
    <row r="36" spans="1:12" x14ac:dyDescent="0.3">
      <c r="A36" s="18"/>
      <c r="B36" s="19"/>
      <c r="C36" s="13" t="str">
        <f>IF(Tableau134[[#This Row],[Repère]]="","",VLOOKUP(Tableau134[[#This Row],[Repère]],Tableau1[#All],3,FALSE))</f>
        <v/>
      </c>
      <c r="D36" s="13" t="str">
        <f>IF(Tableau134[[#This Row],[Repère]]="","",VLOOKUP(Tableau134[[#This Row],[Repère]],Tableau1[#All],4,FALSE))</f>
        <v/>
      </c>
      <c r="E36" s="13" t="str">
        <f>IF(Tableau134[[#This Row],[Repère]]="","",VLOOKUP(Tableau134[[#This Row],[Repère]],Tableau1[#All],5,FALSE))</f>
        <v/>
      </c>
      <c r="F36" s="13" t="str">
        <f>IF(Tableau134[[#This Row],[Repère]]="","",VLOOKUP(Tableau134[[#This Row],[Repère]],Tableau1[#All],6,FALSE))</f>
        <v/>
      </c>
      <c r="G36" s="13" t="str">
        <f>IF(Tableau134[[#This Row],[Repère]]="","",VLOOKUP(Tableau134[[#This Row],[Repère]],Tableau1[#All],7,FALSE))</f>
        <v/>
      </c>
      <c r="H36" s="13" t="str">
        <f>IF(Tableau134[[#This Row],[Repère]]="","",VLOOKUP(Tableau134[[#This Row],[Repère]],Tableau1[#All],8,FALSE))</f>
        <v/>
      </c>
      <c r="I36" s="13" t="str">
        <f>IF(Tableau134[[#This Row],[Repère]]="","",VLOOKUP(Tableau134[[#This Row],[Repère]],Tableau1[#All],9,FALSE))</f>
        <v/>
      </c>
      <c r="J36" s="13" t="str">
        <f>IF(Tableau134[[#This Row],[Repère]]="","",VLOOKUP(Tableau134[[#This Row],[Repère]],Tableau1[#All],10,FALSE))</f>
        <v/>
      </c>
      <c r="K36" s="13" t="str">
        <f>IF(Tableau134[[#This Row],[Repère]]="","",VLOOKUP(Tableau134[[#This Row],[Repère]],Tableau1[#All],11,FALSE))</f>
        <v/>
      </c>
      <c r="L36" s="14" t="str">
        <f>IF(Tableau134[[#This Row],[Repère]]="","",VLOOKUP(Tableau134[[#This Row],[Repère]],Tableau1[#All],12,FALSE))</f>
        <v/>
      </c>
    </row>
    <row r="37" spans="1:12" x14ac:dyDescent="0.3">
      <c r="A37" s="18"/>
      <c r="B37" s="19"/>
      <c r="C37" s="13" t="str">
        <f>IF(Tableau134[[#This Row],[Repère]]="","",VLOOKUP(Tableau134[[#This Row],[Repère]],Tableau1[#All],3,FALSE))</f>
        <v/>
      </c>
      <c r="D37" s="13" t="str">
        <f>IF(Tableau134[[#This Row],[Repère]]="","",VLOOKUP(Tableau134[[#This Row],[Repère]],Tableau1[#All],4,FALSE))</f>
        <v/>
      </c>
      <c r="E37" s="13" t="str">
        <f>IF(Tableau134[[#This Row],[Repère]]="","",VLOOKUP(Tableau134[[#This Row],[Repère]],Tableau1[#All],5,FALSE))</f>
        <v/>
      </c>
      <c r="F37" s="13" t="str">
        <f>IF(Tableau134[[#This Row],[Repère]]="","",VLOOKUP(Tableau134[[#This Row],[Repère]],Tableau1[#All],6,FALSE))</f>
        <v/>
      </c>
      <c r="G37" s="13" t="str">
        <f>IF(Tableau134[[#This Row],[Repère]]="","",VLOOKUP(Tableau134[[#This Row],[Repère]],Tableau1[#All],7,FALSE))</f>
        <v/>
      </c>
      <c r="H37" s="13" t="str">
        <f>IF(Tableau134[[#This Row],[Repère]]="","",VLOOKUP(Tableau134[[#This Row],[Repère]],Tableau1[#All],8,FALSE))</f>
        <v/>
      </c>
      <c r="I37" s="13" t="str">
        <f>IF(Tableau134[[#This Row],[Repère]]="","",VLOOKUP(Tableau134[[#This Row],[Repère]],Tableau1[#All],9,FALSE))</f>
        <v/>
      </c>
      <c r="J37" s="13" t="str">
        <f>IF(Tableau134[[#This Row],[Repère]]="","",VLOOKUP(Tableau134[[#This Row],[Repère]],Tableau1[#All],10,FALSE))</f>
        <v/>
      </c>
      <c r="K37" s="13" t="str">
        <f>IF(Tableau134[[#This Row],[Repère]]="","",VLOOKUP(Tableau134[[#This Row],[Repère]],Tableau1[#All],11,FALSE))</f>
        <v/>
      </c>
      <c r="L37" s="14" t="str">
        <f>IF(Tableau134[[#This Row],[Repère]]="","",VLOOKUP(Tableau134[[#This Row],[Repère]],Tableau1[#All],12,FALSE))</f>
        <v/>
      </c>
    </row>
    <row r="38" spans="1:12" x14ac:dyDescent="0.3">
      <c r="A38" s="18"/>
      <c r="B38" s="19"/>
      <c r="C38" s="13" t="str">
        <f>IF(Tableau134[[#This Row],[Repère]]="","",VLOOKUP(Tableau134[[#This Row],[Repère]],Tableau1[#All],3,FALSE))</f>
        <v/>
      </c>
      <c r="D38" s="13" t="str">
        <f>IF(Tableau134[[#This Row],[Repère]]="","",VLOOKUP(Tableau134[[#This Row],[Repère]],Tableau1[#All],4,FALSE))</f>
        <v/>
      </c>
      <c r="E38" s="13" t="str">
        <f>IF(Tableau134[[#This Row],[Repère]]="","",VLOOKUP(Tableau134[[#This Row],[Repère]],Tableau1[#All],5,FALSE))</f>
        <v/>
      </c>
      <c r="F38" s="13" t="str">
        <f>IF(Tableau134[[#This Row],[Repère]]="","",VLOOKUP(Tableau134[[#This Row],[Repère]],Tableau1[#All],6,FALSE))</f>
        <v/>
      </c>
      <c r="G38" s="13" t="str">
        <f>IF(Tableau134[[#This Row],[Repère]]="","",VLOOKUP(Tableau134[[#This Row],[Repère]],Tableau1[#All],7,FALSE))</f>
        <v/>
      </c>
      <c r="H38" s="13" t="str">
        <f>IF(Tableau134[[#This Row],[Repère]]="","",VLOOKUP(Tableau134[[#This Row],[Repère]],Tableau1[#All],8,FALSE))</f>
        <v/>
      </c>
      <c r="I38" s="13" t="str">
        <f>IF(Tableau134[[#This Row],[Repère]]="","",VLOOKUP(Tableau134[[#This Row],[Repère]],Tableau1[#All],9,FALSE))</f>
        <v/>
      </c>
      <c r="J38" s="13" t="str">
        <f>IF(Tableau134[[#This Row],[Repère]]="","",VLOOKUP(Tableau134[[#This Row],[Repère]],Tableau1[#All],10,FALSE))</f>
        <v/>
      </c>
      <c r="K38" s="13" t="str">
        <f>IF(Tableau134[[#This Row],[Repère]]="","",VLOOKUP(Tableau134[[#This Row],[Repère]],Tableau1[#All],11,FALSE))</f>
        <v/>
      </c>
      <c r="L38" s="14" t="str">
        <f>IF(Tableau134[[#This Row],[Repère]]="","",VLOOKUP(Tableau134[[#This Row],[Repère]],Tableau1[#All],12,FALSE))</f>
        <v/>
      </c>
    </row>
    <row r="39" spans="1:12" x14ac:dyDescent="0.3">
      <c r="A39" s="18"/>
      <c r="B39" s="19"/>
      <c r="C39" s="13" t="str">
        <f>IF(Tableau134[[#This Row],[Repère]]="","",VLOOKUP(Tableau134[[#This Row],[Repère]],Tableau1[#All],3,FALSE))</f>
        <v/>
      </c>
      <c r="D39" s="13" t="str">
        <f>IF(Tableau134[[#This Row],[Repère]]="","",VLOOKUP(Tableau134[[#This Row],[Repère]],Tableau1[#All],4,FALSE))</f>
        <v/>
      </c>
      <c r="E39" s="13" t="str">
        <f>IF(Tableau134[[#This Row],[Repère]]="","",VLOOKUP(Tableau134[[#This Row],[Repère]],Tableau1[#All],5,FALSE))</f>
        <v/>
      </c>
      <c r="F39" s="13" t="str">
        <f>IF(Tableau134[[#This Row],[Repère]]="","",VLOOKUP(Tableau134[[#This Row],[Repère]],Tableau1[#All],6,FALSE))</f>
        <v/>
      </c>
      <c r="G39" s="13" t="str">
        <f>IF(Tableau134[[#This Row],[Repère]]="","",VLOOKUP(Tableau134[[#This Row],[Repère]],Tableau1[#All],7,FALSE))</f>
        <v/>
      </c>
      <c r="H39" s="13" t="str">
        <f>IF(Tableau134[[#This Row],[Repère]]="","",VLOOKUP(Tableau134[[#This Row],[Repère]],Tableau1[#All],8,FALSE))</f>
        <v/>
      </c>
      <c r="I39" s="13" t="str">
        <f>IF(Tableau134[[#This Row],[Repère]]="","",VLOOKUP(Tableau134[[#This Row],[Repère]],Tableau1[#All],9,FALSE))</f>
        <v/>
      </c>
      <c r="J39" s="13" t="str">
        <f>IF(Tableau134[[#This Row],[Repère]]="","",VLOOKUP(Tableau134[[#This Row],[Repère]],Tableau1[#All],10,FALSE))</f>
        <v/>
      </c>
      <c r="K39" s="13" t="str">
        <f>IF(Tableau134[[#This Row],[Repère]]="","",VLOOKUP(Tableau134[[#This Row],[Repère]],Tableau1[#All],11,FALSE))</f>
        <v/>
      </c>
      <c r="L39" s="14" t="str">
        <f>IF(Tableau134[[#This Row],[Repère]]="","",VLOOKUP(Tableau134[[#This Row],[Repère]],Tableau1[#All],12,FALSE))</f>
        <v/>
      </c>
    </row>
    <row r="40" spans="1:12" x14ac:dyDescent="0.3">
      <c r="A40" s="18"/>
      <c r="B40" s="19"/>
      <c r="C40" s="13" t="str">
        <f>IF(Tableau134[[#This Row],[Repère]]="","",VLOOKUP(Tableau134[[#This Row],[Repère]],Tableau1[#All],3,FALSE))</f>
        <v/>
      </c>
      <c r="D40" s="13" t="str">
        <f>IF(Tableau134[[#This Row],[Repère]]="","",VLOOKUP(Tableau134[[#This Row],[Repère]],Tableau1[#All],4,FALSE))</f>
        <v/>
      </c>
      <c r="E40" s="13" t="str">
        <f>IF(Tableau134[[#This Row],[Repère]]="","",VLOOKUP(Tableau134[[#This Row],[Repère]],Tableau1[#All],5,FALSE))</f>
        <v/>
      </c>
      <c r="F40" s="13" t="str">
        <f>IF(Tableau134[[#This Row],[Repère]]="","",VLOOKUP(Tableau134[[#This Row],[Repère]],Tableau1[#All],6,FALSE))</f>
        <v/>
      </c>
      <c r="G40" s="13" t="str">
        <f>IF(Tableau134[[#This Row],[Repère]]="","",VLOOKUP(Tableau134[[#This Row],[Repère]],Tableau1[#All],7,FALSE))</f>
        <v/>
      </c>
      <c r="H40" s="13" t="str">
        <f>IF(Tableau134[[#This Row],[Repère]]="","",VLOOKUP(Tableau134[[#This Row],[Repère]],Tableau1[#All],8,FALSE))</f>
        <v/>
      </c>
      <c r="I40" s="13" t="str">
        <f>IF(Tableau134[[#This Row],[Repère]]="","",VLOOKUP(Tableau134[[#This Row],[Repère]],Tableau1[#All],9,FALSE))</f>
        <v/>
      </c>
      <c r="J40" s="13" t="str">
        <f>IF(Tableau134[[#This Row],[Repère]]="","",VLOOKUP(Tableau134[[#This Row],[Repère]],Tableau1[#All],10,FALSE))</f>
        <v/>
      </c>
      <c r="K40" s="13" t="str">
        <f>IF(Tableau134[[#This Row],[Repère]]="","",VLOOKUP(Tableau134[[#This Row],[Repère]],Tableau1[#All],11,FALSE))</f>
        <v/>
      </c>
      <c r="L40" s="14" t="str">
        <f>IF(Tableau134[[#This Row],[Repère]]="","",VLOOKUP(Tableau134[[#This Row],[Repère]],Tableau1[#All],12,FALSE))</f>
        <v/>
      </c>
    </row>
    <row r="41" spans="1:12" x14ac:dyDescent="0.3">
      <c r="A41" s="18"/>
      <c r="B41" s="19"/>
      <c r="C41" s="13" t="str">
        <f>IF(Tableau134[[#This Row],[Repère]]="","",VLOOKUP(Tableau134[[#This Row],[Repère]],Tableau1[#All],3,FALSE))</f>
        <v/>
      </c>
      <c r="D41" s="13" t="str">
        <f>IF(Tableau134[[#This Row],[Repère]]="","",VLOOKUP(Tableau134[[#This Row],[Repère]],Tableau1[#All],4,FALSE))</f>
        <v/>
      </c>
      <c r="E41" s="13" t="str">
        <f>IF(Tableau134[[#This Row],[Repère]]="","",VLOOKUP(Tableau134[[#This Row],[Repère]],Tableau1[#All],5,FALSE))</f>
        <v/>
      </c>
      <c r="F41" s="13" t="str">
        <f>IF(Tableau134[[#This Row],[Repère]]="","",VLOOKUP(Tableau134[[#This Row],[Repère]],Tableau1[#All],6,FALSE))</f>
        <v/>
      </c>
      <c r="G41" s="13" t="str">
        <f>IF(Tableau134[[#This Row],[Repère]]="","",VLOOKUP(Tableau134[[#This Row],[Repère]],Tableau1[#All],7,FALSE))</f>
        <v/>
      </c>
      <c r="H41" s="13" t="str">
        <f>IF(Tableau134[[#This Row],[Repère]]="","",VLOOKUP(Tableau134[[#This Row],[Repère]],Tableau1[#All],8,FALSE))</f>
        <v/>
      </c>
      <c r="I41" s="13" t="str">
        <f>IF(Tableau134[[#This Row],[Repère]]="","",VLOOKUP(Tableau134[[#This Row],[Repère]],Tableau1[#All],9,FALSE))</f>
        <v/>
      </c>
      <c r="J41" s="13" t="str">
        <f>IF(Tableau134[[#This Row],[Repère]]="","",VLOOKUP(Tableau134[[#This Row],[Repère]],Tableau1[#All],10,FALSE))</f>
        <v/>
      </c>
      <c r="K41" s="13" t="str">
        <f>IF(Tableau134[[#This Row],[Repère]]="","",VLOOKUP(Tableau134[[#This Row],[Repère]],Tableau1[#All],11,FALSE))</f>
        <v/>
      </c>
      <c r="L41" s="14" t="str">
        <f>IF(Tableau134[[#This Row],[Repère]]="","",VLOOKUP(Tableau134[[#This Row],[Repère]],Tableau1[#All],12,FALSE))</f>
        <v/>
      </c>
    </row>
    <row r="42" spans="1:12" x14ac:dyDescent="0.3">
      <c r="A42" s="18"/>
      <c r="B42" s="19"/>
      <c r="C42" s="13" t="str">
        <f>IF(Tableau134[[#This Row],[Repère]]="","",VLOOKUP(Tableau134[[#This Row],[Repère]],Tableau1[#All],3,FALSE))</f>
        <v/>
      </c>
      <c r="D42" s="13" t="str">
        <f>IF(Tableau134[[#This Row],[Repère]]="","",VLOOKUP(Tableau134[[#This Row],[Repère]],Tableau1[#All],4,FALSE))</f>
        <v/>
      </c>
      <c r="E42" s="13" t="str">
        <f>IF(Tableau134[[#This Row],[Repère]]="","",VLOOKUP(Tableau134[[#This Row],[Repère]],Tableau1[#All],5,FALSE))</f>
        <v/>
      </c>
      <c r="F42" s="13" t="str">
        <f>IF(Tableau134[[#This Row],[Repère]]="","",VLOOKUP(Tableau134[[#This Row],[Repère]],Tableau1[#All],6,FALSE))</f>
        <v/>
      </c>
      <c r="G42" s="13" t="str">
        <f>IF(Tableau134[[#This Row],[Repère]]="","",VLOOKUP(Tableau134[[#This Row],[Repère]],Tableau1[#All],7,FALSE))</f>
        <v/>
      </c>
      <c r="H42" s="13" t="str">
        <f>IF(Tableau134[[#This Row],[Repère]]="","",VLOOKUP(Tableau134[[#This Row],[Repère]],Tableau1[#All],8,FALSE))</f>
        <v/>
      </c>
      <c r="I42" s="13" t="str">
        <f>IF(Tableau134[[#This Row],[Repère]]="","",VLOOKUP(Tableau134[[#This Row],[Repère]],Tableau1[#All],9,FALSE))</f>
        <v/>
      </c>
      <c r="J42" s="13" t="str">
        <f>IF(Tableau134[[#This Row],[Repère]]="","",VLOOKUP(Tableau134[[#This Row],[Repère]],Tableau1[#All],10,FALSE))</f>
        <v/>
      </c>
      <c r="K42" s="13" t="str">
        <f>IF(Tableau134[[#This Row],[Repère]]="","",VLOOKUP(Tableau134[[#This Row],[Repère]],Tableau1[#All],11,FALSE))</f>
        <v/>
      </c>
      <c r="L42" s="14" t="str">
        <f>IF(Tableau134[[#This Row],[Repère]]="","",VLOOKUP(Tableau134[[#This Row],[Repère]],Tableau1[#All],12,FALSE))</f>
        <v/>
      </c>
    </row>
    <row r="43" spans="1:12" x14ac:dyDescent="0.3">
      <c r="A43" s="18"/>
      <c r="B43" s="19"/>
      <c r="C43" s="13" t="str">
        <f>IF(Tableau134[[#This Row],[Repère]]="","",VLOOKUP(Tableau134[[#This Row],[Repère]],Tableau1[#All],3,FALSE))</f>
        <v/>
      </c>
      <c r="D43" s="13" t="str">
        <f>IF(Tableau134[[#This Row],[Repère]]="","",VLOOKUP(Tableau134[[#This Row],[Repère]],Tableau1[#All],4,FALSE))</f>
        <v/>
      </c>
      <c r="E43" s="13" t="str">
        <f>IF(Tableau134[[#This Row],[Repère]]="","",VLOOKUP(Tableau134[[#This Row],[Repère]],Tableau1[#All],5,FALSE))</f>
        <v/>
      </c>
      <c r="F43" s="13" t="str">
        <f>IF(Tableau134[[#This Row],[Repère]]="","",VLOOKUP(Tableau134[[#This Row],[Repère]],Tableau1[#All],6,FALSE))</f>
        <v/>
      </c>
      <c r="G43" s="13" t="str">
        <f>IF(Tableau134[[#This Row],[Repère]]="","",VLOOKUP(Tableau134[[#This Row],[Repère]],Tableau1[#All],7,FALSE))</f>
        <v/>
      </c>
      <c r="H43" s="13" t="str">
        <f>IF(Tableau134[[#This Row],[Repère]]="","",VLOOKUP(Tableau134[[#This Row],[Repère]],Tableau1[#All],8,FALSE))</f>
        <v/>
      </c>
      <c r="I43" s="13" t="str">
        <f>IF(Tableau134[[#This Row],[Repère]]="","",VLOOKUP(Tableau134[[#This Row],[Repère]],Tableau1[#All],9,FALSE))</f>
        <v/>
      </c>
      <c r="J43" s="13" t="str">
        <f>IF(Tableau134[[#This Row],[Repère]]="","",VLOOKUP(Tableau134[[#This Row],[Repère]],Tableau1[#All],10,FALSE))</f>
        <v/>
      </c>
      <c r="K43" s="13" t="str">
        <f>IF(Tableau134[[#This Row],[Repère]]="","",VLOOKUP(Tableau134[[#This Row],[Repère]],Tableau1[#All],11,FALSE))</f>
        <v/>
      </c>
      <c r="L43" s="14" t="str">
        <f>IF(Tableau134[[#This Row],[Repère]]="","",VLOOKUP(Tableau134[[#This Row],[Repère]],Tableau1[#All],12,FALSE))</f>
        <v/>
      </c>
    </row>
    <row r="44" spans="1:12" x14ac:dyDescent="0.3">
      <c r="A44" s="18"/>
      <c r="B44" s="19"/>
      <c r="C44" s="13" t="str">
        <f>IF(Tableau134[[#This Row],[Repère]]="","",VLOOKUP(Tableau134[[#This Row],[Repère]],Tableau1[#All],3,FALSE))</f>
        <v/>
      </c>
      <c r="D44" s="13" t="str">
        <f>IF(Tableau134[[#This Row],[Repère]]="","",VLOOKUP(Tableau134[[#This Row],[Repère]],Tableau1[#All],4,FALSE))</f>
        <v/>
      </c>
      <c r="E44" s="13" t="str">
        <f>IF(Tableau134[[#This Row],[Repère]]="","",VLOOKUP(Tableau134[[#This Row],[Repère]],Tableau1[#All],5,FALSE))</f>
        <v/>
      </c>
      <c r="F44" s="13" t="str">
        <f>IF(Tableau134[[#This Row],[Repère]]="","",VLOOKUP(Tableau134[[#This Row],[Repère]],Tableau1[#All],6,FALSE))</f>
        <v/>
      </c>
      <c r="G44" s="13" t="str">
        <f>IF(Tableau134[[#This Row],[Repère]]="","",VLOOKUP(Tableau134[[#This Row],[Repère]],Tableau1[#All],7,FALSE))</f>
        <v/>
      </c>
      <c r="H44" s="13" t="str">
        <f>IF(Tableau134[[#This Row],[Repère]]="","",VLOOKUP(Tableau134[[#This Row],[Repère]],Tableau1[#All],8,FALSE))</f>
        <v/>
      </c>
      <c r="I44" s="13" t="str">
        <f>IF(Tableau134[[#This Row],[Repère]]="","",VLOOKUP(Tableau134[[#This Row],[Repère]],Tableau1[#All],9,FALSE))</f>
        <v/>
      </c>
      <c r="J44" s="13" t="str">
        <f>IF(Tableau134[[#This Row],[Repère]]="","",VLOOKUP(Tableau134[[#This Row],[Repère]],Tableau1[#All],10,FALSE))</f>
        <v/>
      </c>
      <c r="K44" s="13" t="str">
        <f>IF(Tableau134[[#This Row],[Repère]]="","",VLOOKUP(Tableau134[[#This Row],[Repère]],Tableau1[#All],11,FALSE))</f>
        <v/>
      </c>
      <c r="L44" s="14" t="str">
        <f>IF(Tableau134[[#This Row],[Repère]]="","",VLOOKUP(Tableau134[[#This Row],[Repère]],Tableau1[#All],12,FALSE))</f>
        <v/>
      </c>
    </row>
    <row r="45" spans="1:12" x14ac:dyDescent="0.3">
      <c r="A45" s="18"/>
      <c r="B45" s="19"/>
      <c r="C45" s="13" t="str">
        <f>IF(Tableau134[[#This Row],[Repère]]="","",VLOOKUP(Tableau134[[#This Row],[Repère]],Tableau1[#All],3,FALSE))</f>
        <v/>
      </c>
      <c r="D45" s="13" t="str">
        <f>IF(Tableau134[[#This Row],[Repère]]="","",VLOOKUP(Tableau134[[#This Row],[Repère]],Tableau1[#All],4,FALSE))</f>
        <v/>
      </c>
      <c r="E45" s="13" t="str">
        <f>IF(Tableau134[[#This Row],[Repère]]="","",VLOOKUP(Tableau134[[#This Row],[Repère]],Tableau1[#All],5,FALSE))</f>
        <v/>
      </c>
      <c r="F45" s="13" t="str">
        <f>IF(Tableau134[[#This Row],[Repère]]="","",VLOOKUP(Tableau134[[#This Row],[Repère]],Tableau1[#All],6,FALSE))</f>
        <v/>
      </c>
      <c r="G45" s="13" t="str">
        <f>IF(Tableau134[[#This Row],[Repère]]="","",VLOOKUP(Tableau134[[#This Row],[Repère]],Tableau1[#All],7,FALSE))</f>
        <v/>
      </c>
      <c r="H45" s="13" t="str">
        <f>IF(Tableau134[[#This Row],[Repère]]="","",VLOOKUP(Tableau134[[#This Row],[Repère]],Tableau1[#All],8,FALSE))</f>
        <v/>
      </c>
      <c r="I45" s="13" t="str">
        <f>IF(Tableau134[[#This Row],[Repère]]="","",VLOOKUP(Tableau134[[#This Row],[Repère]],Tableau1[#All],9,FALSE))</f>
        <v/>
      </c>
      <c r="J45" s="13" t="str">
        <f>IF(Tableau134[[#This Row],[Repère]]="","",VLOOKUP(Tableau134[[#This Row],[Repère]],Tableau1[#All],10,FALSE))</f>
        <v/>
      </c>
      <c r="K45" s="13" t="str">
        <f>IF(Tableau134[[#This Row],[Repère]]="","",VLOOKUP(Tableau134[[#This Row],[Repère]],Tableau1[#All],11,FALSE))</f>
        <v/>
      </c>
      <c r="L45" s="14" t="str">
        <f>IF(Tableau134[[#This Row],[Repère]]="","",VLOOKUP(Tableau134[[#This Row],[Repère]],Tableau1[#All],12,FALSE))</f>
        <v/>
      </c>
    </row>
    <row r="46" spans="1:12" x14ac:dyDescent="0.3">
      <c r="A46" s="18"/>
      <c r="B46" s="19"/>
      <c r="C46" s="13" t="str">
        <f>IF(Tableau134[[#This Row],[Repère]]="","",VLOOKUP(Tableau134[[#This Row],[Repère]],Tableau1[#All],3,FALSE))</f>
        <v/>
      </c>
      <c r="D46" s="13" t="str">
        <f>IF(Tableau134[[#This Row],[Repère]]="","",VLOOKUP(Tableau134[[#This Row],[Repère]],Tableau1[#All],4,FALSE))</f>
        <v/>
      </c>
      <c r="E46" s="13" t="str">
        <f>IF(Tableau134[[#This Row],[Repère]]="","",VLOOKUP(Tableau134[[#This Row],[Repère]],Tableau1[#All],5,FALSE))</f>
        <v/>
      </c>
      <c r="F46" s="13" t="str">
        <f>IF(Tableau134[[#This Row],[Repère]]="","",VLOOKUP(Tableau134[[#This Row],[Repère]],Tableau1[#All],6,FALSE))</f>
        <v/>
      </c>
      <c r="G46" s="13" t="str">
        <f>IF(Tableau134[[#This Row],[Repère]]="","",VLOOKUP(Tableau134[[#This Row],[Repère]],Tableau1[#All],7,FALSE))</f>
        <v/>
      </c>
      <c r="H46" s="13" t="str">
        <f>IF(Tableau134[[#This Row],[Repère]]="","",VLOOKUP(Tableau134[[#This Row],[Repère]],Tableau1[#All],8,FALSE))</f>
        <v/>
      </c>
      <c r="I46" s="13" t="str">
        <f>IF(Tableau134[[#This Row],[Repère]]="","",VLOOKUP(Tableau134[[#This Row],[Repère]],Tableau1[#All],9,FALSE))</f>
        <v/>
      </c>
      <c r="J46" s="13" t="str">
        <f>IF(Tableau134[[#This Row],[Repère]]="","",VLOOKUP(Tableau134[[#This Row],[Repère]],Tableau1[#All],10,FALSE))</f>
        <v/>
      </c>
      <c r="K46" s="13" t="str">
        <f>IF(Tableau134[[#This Row],[Repère]]="","",VLOOKUP(Tableau134[[#This Row],[Repère]],Tableau1[#All],11,FALSE))</f>
        <v/>
      </c>
      <c r="L46" s="14" t="str">
        <f>IF(Tableau134[[#This Row],[Repère]]="","",VLOOKUP(Tableau134[[#This Row],[Repère]],Tableau1[#All],12,FALSE))</f>
        <v/>
      </c>
    </row>
    <row r="47" spans="1:12" x14ac:dyDescent="0.3">
      <c r="A47" s="18"/>
      <c r="B47" s="19"/>
      <c r="C47" s="13" t="str">
        <f>IF(Tableau134[[#This Row],[Repère]]="","",VLOOKUP(Tableau134[[#This Row],[Repère]],Tableau1[#All],3,FALSE))</f>
        <v/>
      </c>
      <c r="D47" s="13" t="str">
        <f>IF(Tableau134[[#This Row],[Repère]]="","",VLOOKUP(Tableau134[[#This Row],[Repère]],Tableau1[#All],4,FALSE))</f>
        <v/>
      </c>
      <c r="E47" s="13" t="str">
        <f>IF(Tableau134[[#This Row],[Repère]]="","",VLOOKUP(Tableau134[[#This Row],[Repère]],Tableau1[#All],5,FALSE))</f>
        <v/>
      </c>
      <c r="F47" s="13" t="str">
        <f>IF(Tableau134[[#This Row],[Repère]]="","",VLOOKUP(Tableau134[[#This Row],[Repère]],Tableau1[#All],6,FALSE))</f>
        <v/>
      </c>
      <c r="G47" s="13" t="str">
        <f>IF(Tableau134[[#This Row],[Repère]]="","",VLOOKUP(Tableau134[[#This Row],[Repère]],Tableau1[#All],7,FALSE))</f>
        <v/>
      </c>
      <c r="H47" s="13" t="str">
        <f>IF(Tableau134[[#This Row],[Repère]]="","",VLOOKUP(Tableau134[[#This Row],[Repère]],Tableau1[#All],8,FALSE))</f>
        <v/>
      </c>
      <c r="I47" s="13" t="str">
        <f>IF(Tableau134[[#This Row],[Repère]]="","",VLOOKUP(Tableau134[[#This Row],[Repère]],Tableau1[#All],9,FALSE))</f>
        <v/>
      </c>
      <c r="J47" s="13" t="str">
        <f>IF(Tableau134[[#This Row],[Repère]]="","",VLOOKUP(Tableau134[[#This Row],[Repère]],Tableau1[#All],10,FALSE))</f>
        <v/>
      </c>
      <c r="K47" s="13" t="str">
        <f>IF(Tableau134[[#This Row],[Repère]]="","",VLOOKUP(Tableau134[[#This Row],[Repère]],Tableau1[#All],11,FALSE))</f>
        <v/>
      </c>
      <c r="L47" s="14" t="str">
        <f>IF(Tableau134[[#This Row],[Repère]]="","",VLOOKUP(Tableau134[[#This Row],[Repère]],Tableau1[#All],12,FALSE))</f>
        <v/>
      </c>
    </row>
    <row r="48" spans="1:12" x14ac:dyDescent="0.3">
      <c r="A48" s="18"/>
      <c r="B48" s="19"/>
      <c r="C48" s="13" t="str">
        <f>IF(Tableau134[[#This Row],[Repère]]="","",VLOOKUP(Tableau134[[#This Row],[Repère]],Tableau1[#All],3,FALSE))</f>
        <v/>
      </c>
      <c r="D48" s="13" t="str">
        <f>IF(Tableau134[[#This Row],[Repère]]="","",VLOOKUP(Tableau134[[#This Row],[Repère]],Tableau1[#All],4,FALSE))</f>
        <v/>
      </c>
      <c r="E48" s="13" t="str">
        <f>IF(Tableau134[[#This Row],[Repère]]="","",VLOOKUP(Tableau134[[#This Row],[Repère]],Tableau1[#All],5,FALSE))</f>
        <v/>
      </c>
      <c r="F48" s="13" t="str">
        <f>IF(Tableau134[[#This Row],[Repère]]="","",VLOOKUP(Tableau134[[#This Row],[Repère]],Tableau1[#All],6,FALSE))</f>
        <v/>
      </c>
      <c r="G48" s="13" t="str">
        <f>IF(Tableau134[[#This Row],[Repère]]="","",VLOOKUP(Tableau134[[#This Row],[Repère]],Tableau1[#All],7,FALSE))</f>
        <v/>
      </c>
      <c r="H48" s="13" t="str">
        <f>IF(Tableau134[[#This Row],[Repère]]="","",VLOOKUP(Tableau134[[#This Row],[Repère]],Tableau1[#All],8,FALSE))</f>
        <v/>
      </c>
      <c r="I48" s="13" t="str">
        <f>IF(Tableau134[[#This Row],[Repère]]="","",VLOOKUP(Tableau134[[#This Row],[Repère]],Tableau1[#All],9,FALSE))</f>
        <v/>
      </c>
      <c r="J48" s="13" t="str">
        <f>IF(Tableau134[[#This Row],[Repère]]="","",VLOOKUP(Tableau134[[#This Row],[Repère]],Tableau1[#All],10,FALSE))</f>
        <v/>
      </c>
      <c r="K48" s="13" t="str">
        <f>IF(Tableau134[[#This Row],[Repère]]="","",VLOOKUP(Tableau134[[#This Row],[Repère]],Tableau1[#All],11,FALSE))</f>
        <v/>
      </c>
      <c r="L48" s="14" t="str">
        <f>IF(Tableau134[[#This Row],[Repère]]="","",VLOOKUP(Tableau134[[#This Row],[Repère]],Tableau1[#All],12,FALSE))</f>
        <v/>
      </c>
    </row>
    <row r="49" spans="1:12" x14ac:dyDescent="0.3">
      <c r="A49" s="18"/>
      <c r="B49" s="19"/>
      <c r="C49" s="13" t="str">
        <f>IF(Tableau134[[#This Row],[Repère]]="","",VLOOKUP(Tableau134[[#This Row],[Repère]],Tableau1[#All],3,FALSE))</f>
        <v/>
      </c>
      <c r="D49" s="13" t="str">
        <f>IF(Tableau134[[#This Row],[Repère]]="","",VLOOKUP(Tableau134[[#This Row],[Repère]],Tableau1[#All],4,FALSE))</f>
        <v/>
      </c>
      <c r="E49" s="13" t="str">
        <f>IF(Tableau134[[#This Row],[Repère]]="","",VLOOKUP(Tableau134[[#This Row],[Repère]],Tableau1[#All],5,FALSE))</f>
        <v/>
      </c>
      <c r="F49" s="13" t="str">
        <f>IF(Tableau134[[#This Row],[Repère]]="","",VLOOKUP(Tableau134[[#This Row],[Repère]],Tableau1[#All],6,FALSE))</f>
        <v/>
      </c>
      <c r="G49" s="13" t="str">
        <f>IF(Tableau134[[#This Row],[Repère]]="","",VLOOKUP(Tableau134[[#This Row],[Repère]],Tableau1[#All],7,FALSE))</f>
        <v/>
      </c>
      <c r="H49" s="13" t="str">
        <f>IF(Tableau134[[#This Row],[Repère]]="","",VLOOKUP(Tableau134[[#This Row],[Repère]],Tableau1[#All],8,FALSE))</f>
        <v/>
      </c>
      <c r="I49" s="13" t="str">
        <f>IF(Tableau134[[#This Row],[Repère]]="","",VLOOKUP(Tableau134[[#This Row],[Repère]],Tableau1[#All],9,FALSE))</f>
        <v/>
      </c>
      <c r="J49" s="13" t="str">
        <f>IF(Tableau134[[#This Row],[Repère]]="","",VLOOKUP(Tableau134[[#This Row],[Repère]],Tableau1[#All],10,FALSE))</f>
        <v/>
      </c>
      <c r="K49" s="13" t="str">
        <f>IF(Tableau134[[#This Row],[Repère]]="","",VLOOKUP(Tableau134[[#This Row],[Repère]],Tableau1[#All],11,FALSE))</f>
        <v/>
      </c>
      <c r="L49" s="14" t="str">
        <f>IF(Tableau134[[#This Row],[Repère]]="","",VLOOKUP(Tableau134[[#This Row],[Repère]],Tableau1[#All],12,FALSE))</f>
        <v/>
      </c>
    </row>
    <row r="50" spans="1:12" x14ac:dyDescent="0.3">
      <c r="A50" s="18"/>
      <c r="B50" s="19"/>
      <c r="C50" s="13" t="str">
        <f>IF(Tableau134[[#This Row],[Repère]]="","",VLOOKUP(Tableau134[[#This Row],[Repère]],Tableau1[#All],3,FALSE))</f>
        <v/>
      </c>
      <c r="D50" s="13" t="str">
        <f>IF(Tableau134[[#This Row],[Repère]]="","",VLOOKUP(Tableau134[[#This Row],[Repère]],Tableau1[#All],4,FALSE))</f>
        <v/>
      </c>
      <c r="E50" s="13" t="str">
        <f>IF(Tableau134[[#This Row],[Repère]]="","",VLOOKUP(Tableau134[[#This Row],[Repère]],Tableau1[#All],5,FALSE))</f>
        <v/>
      </c>
      <c r="F50" s="13" t="str">
        <f>IF(Tableau134[[#This Row],[Repère]]="","",VLOOKUP(Tableau134[[#This Row],[Repère]],Tableau1[#All],6,FALSE))</f>
        <v/>
      </c>
      <c r="G50" s="13" t="str">
        <f>IF(Tableau134[[#This Row],[Repère]]="","",VLOOKUP(Tableau134[[#This Row],[Repère]],Tableau1[#All],7,FALSE))</f>
        <v/>
      </c>
      <c r="H50" s="13" t="str">
        <f>IF(Tableau134[[#This Row],[Repère]]="","",VLOOKUP(Tableau134[[#This Row],[Repère]],Tableau1[#All],8,FALSE))</f>
        <v/>
      </c>
      <c r="I50" s="13" t="str">
        <f>IF(Tableau134[[#This Row],[Repère]]="","",VLOOKUP(Tableau134[[#This Row],[Repère]],Tableau1[#All],9,FALSE))</f>
        <v/>
      </c>
      <c r="J50" s="13" t="str">
        <f>IF(Tableau134[[#This Row],[Repère]]="","",VLOOKUP(Tableau134[[#This Row],[Repère]],Tableau1[#All],10,FALSE))</f>
        <v/>
      </c>
      <c r="K50" s="13" t="str">
        <f>IF(Tableau134[[#This Row],[Repère]]="","",VLOOKUP(Tableau134[[#This Row],[Repère]],Tableau1[#All],11,FALSE))</f>
        <v/>
      </c>
      <c r="L50" s="14" t="str">
        <f>IF(Tableau134[[#This Row],[Repère]]="","",VLOOKUP(Tableau134[[#This Row],[Repère]],Tableau1[#All],12,FALSE))</f>
        <v/>
      </c>
    </row>
    <row r="51" spans="1:12" x14ac:dyDescent="0.3">
      <c r="A51" s="18"/>
      <c r="B51" s="19"/>
      <c r="C51" s="13" t="str">
        <f>IF(Tableau134[[#This Row],[Repère]]="","",VLOOKUP(Tableau134[[#This Row],[Repère]],Tableau1[#All],3,FALSE))</f>
        <v/>
      </c>
      <c r="D51" s="13" t="str">
        <f>IF(Tableau134[[#This Row],[Repère]]="","",VLOOKUP(Tableau134[[#This Row],[Repère]],Tableau1[#All],4,FALSE))</f>
        <v/>
      </c>
      <c r="E51" s="13" t="str">
        <f>IF(Tableau134[[#This Row],[Repère]]="","",VLOOKUP(Tableau134[[#This Row],[Repère]],Tableau1[#All],5,FALSE))</f>
        <v/>
      </c>
      <c r="F51" s="13" t="str">
        <f>IF(Tableau134[[#This Row],[Repère]]="","",VLOOKUP(Tableau134[[#This Row],[Repère]],Tableau1[#All],6,FALSE))</f>
        <v/>
      </c>
      <c r="G51" s="13" t="str">
        <f>IF(Tableau134[[#This Row],[Repère]]="","",VLOOKUP(Tableau134[[#This Row],[Repère]],Tableau1[#All],7,FALSE))</f>
        <v/>
      </c>
      <c r="H51" s="13" t="str">
        <f>IF(Tableau134[[#This Row],[Repère]]="","",VLOOKUP(Tableau134[[#This Row],[Repère]],Tableau1[#All],8,FALSE))</f>
        <v/>
      </c>
      <c r="I51" s="13" t="str">
        <f>IF(Tableau134[[#This Row],[Repère]]="","",VLOOKUP(Tableau134[[#This Row],[Repère]],Tableau1[#All],9,FALSE))</f>
        <v/>
      </c>
      <c r="J51" s="13" t="str">
        <f>IF(Tableau134[[#This Row],[Repère]]="","",VLOOKUP(Tableau134[[#This Row],[Repère]],Tableau1[#All],10,FALSE))</f>
        <v/>
      </c>
      <c r="K51" s="13" t="str">
        <f>IF(Tableau134[[#This Row],[Repère]]="","",VLOOKUP(Tableau134[[#This Row],[Repère]],Tableau1[#All],11,FALSE))</f>
        <v/>
      </c>
      <c r="L51" s="14" t="str">
        <f>IF(Tableau134[[#This Row],[Repère]]="","",VLOOKUP(Tableau134[[#This Row],[Repère]],Tableau1[#All],12,FALSE))</f>
        <v/>
      </c>
    </row>
    <row r="52" spans="1:12" x14ac:dyDescent="0.3">
      <c r="A52" s="18"/>
      <c r="B52" s="19"/>
      <c r="C52" s="13" t="str">
        <f>IF(Tableau134[[#This Row],[Repère]]="","",VLOOKUP(Tableau134[[#This Row],[Repère]],Tableau1[#All],3,FALSE))</f>
        <v/>
      </c>
      <c r="D52" s="13" t="str">
        <f>IF(Tableau134[[#This Row],[Repère]]="","",VLOOKUP(Tableau134[[#This Row],[Repère]],Tableau1[#All],4,FALSE))</f>
        <v/>
      </c>
      <c r="E52" s="13" t="str">
        <f>IF(Tableau134[[#This Row],[Repère]]="","",VLOOKUP(Tableau134[[#This Row],[Repère]],Tableau1[#All],5,FALSE))</f>
        <v/>
      </c>
      <c r="F52" s="13" t="str">
        <f>IF(Tableau134[[#This Row],[Repère]]="","",VLOOKUP(Tableau134[[#This Row],[Repère]],Tableau1[#All],6,FALSE))</f>
        <v/>
      </c>
      <c r="G52" s="13" t="str">
        <f>IF(Tableau134[[#This Row],[Repère]]="","",VLOOKUP(Tableau134[[#This Row],[Repère]],Tableau1[#All],7,FALSE))</f>
        <v/>
      </c>
      <c r="H52" s="13" t="str">
        <f>IF(Tableau134[[#This Row],[Repère]]="","",VLOOKUP(Tableau134[[#This Row],[Repère]],Tableau1[#All],8,FALSE))</f>
        <v/>
      </c>
      <c r="I52" s="13" t="str">
        <f>IF(Tableau134[[#This Row],[Repère]]="","",VLOOKUP(Tableau134[[#This Row],[Repère]],Tableau1[#All],9,FALSE))</f>
        <v/>
      </c>
      <c r="J52" s="13" t="str">
        <f>IF(Tableau134[[#This Row],[Repère]]="","",VLOOKUP(Tableau134[[#This Row],[Repère]],Tableau1[#All],10,FALSE))</f>
        <v/>
      </c>
      <c r="K52" s="13" t="str">
        <f>IF(Tableau134[[#This Row],[Repère]]="","",VLOOKUP(Tableau134[[#This Row],[Repère]],Tableau1[#All],11,FALSE))</f>
        <v/>
      </c>
      <c r="L52" s="14" t="str">
        <f>IF(Tableau134[[#This Row],[Repère]]="","",VLOOKUP(Tableau134[[#This Row],[Repère]],Tableau1[#All],12,FALSE))</f>
        <v/>
      </c>
    </row>
    <row r="53" spans="1:12" x14ac:dyDescent="0.3">
      <c r="A53" s="18"/>
      <c r="B53" s="19"/>
      <c r="C53" s="13" t="str">
        <f>IF(Tableau134[[#This Row],[Repère]]="","",VLOOKUP(Tableau134[[#This Row],[Repère]],Tableau1[#All],3,FALSE))</f>
        <v/>
      </c>
      <c r="D53" s="13" t="str">
        <f>IF(Tableau134[[#This Row],[Repère]]="","",VLOOKUP(Tableau134[[#This Row],[Repère]],Tableau1[#All],4,FALSE))</f>
        <v/>
      </c>
      <c r="E53" s="13" t="str">
        <f>IF(Tableau134[[#This Row],[Repère]]="","",VLOOKUP(Tableau134[[#This Row],[Repère]],Tableau1[#All],5,FALSE))</f>
        <v/>
      </c>
      <c r="F53" s="13" t="str">
        <f>IF(Tableau134[[#This Row],[Repère]]="","",VLOOKUP(Tableau134[[#This Row],[Repère]],Tableau1[#All],6,FALSE))</f>
        <v/>
      </c>
      <c r="G53" s="13" t="str">
        <f>IF(Tableau134[[#This Row],[Repère]]="","",VLOOKUP(Tableau134[[#This Row],[Repère]],Tableau1[#All],7,FALSE))</f>
        <v/>
      </c>
      <c r="H53" s="13" t="str">
        <f>IF(Tableau134[[#This Row],[Repère]]="","",VLOOKUP(Tableau134[[#This Row],[Repère]],Tableau1[#All],8,FALSE))</f>
        <v/>
      </c>
      <c r="I53" s="13" t="str">
        <f>IF(Tableau134[[#This Row],[Repère]]="","",VLOOKUP(Tableau134[[#This Row],[Repère]],Tableau1[#All],9,FALSE))</f>
        <v/>
      </c>
      <c r="J53" s="13" t="str">
        <f>IF(Tableau134[[#This Row],[Repère]]="","",VLOOKUP(Tableau134[[#This Row],[Repère]],Tableau1[#All],10,FALSE))</f>
        <v/>
      </c>
      <c r="K53" s="13" t="str">
        <f>IF(Tableau134[[#This Row],[Repère]]="","",VLOOKUP(Tableau134[[#This Row],[Repère]],Tableau1[#All],11,FALSE))</f>
        <v/>
      </c>
      <c r="L53" s="14" t="str">
        <f>IF(Tableau134[[#This Row],[Repère]]="","",VLOOKUP(Tableau134[[#This Row],[Repère]],Tableau1[#All],12,FALSE))</f>
        <v/>
      </c>
    </row>
    <row r="54" spans="1:12" x14ac:dyDescent="0.3">
      <c r="A54" s="18"/>
      <c r="B54" s="19"/>
      <c r="C54" s="13" t="str">
        <f>IF(Tableau134[[#This Row],[Repère]]="","",VLOOKUP(Tableau134[[#This Row],[Repère]],Tableau1[#All],3,FALSE))</f>
        <v/>
      </c>
      <c r="D54" s="13" t="str">
        <f>IF(Tableau134[[#This Row],[Repère]]="","",VLOOKUP(Tableau134[[#This Row],[Repère]],Tableau1[#All],4,FALSE))</f>
        <v/>
      </c>
      <c r="E54" s="13" t="str">
        <f>IF(Tableau134[[#This Row],[Repère]]="","",VLOOKUP(Tableau134[[#This Row],[Repère]],Tableau1[#All],5,FALSE))</f>
        <v/>
      </c>
      <c r="F54" s="13" t="str">
        <f>IF(Tableau134[[#This Row],[Repère]]="","",VLOOKUP(Tableau134[[#This Row],[Repère]],Tableau1[#All],6,FALSE))</f>
        <v/>
      </c>
      <c r="G54" s="13" t="str">
        <f>IF(Tableau134[[#This Row],[Repère]]="","",VLOOKUP(Tableau134[[#This Row],[Repère]],Tableau1[#All],7,FALSE))</f>
        <v/>
      </c>
      <c r="H54" s="13" t="str">
        <f>IF(Tableau134[[#This Row],[Repère]]="","",VLOOKUP(Tableau134[[#This Row],[Repère]],Tableau1[#All],8,FALSE))</f>
        <v/>
      </c>
      <c r="I54" s="13" t="str">
        <f>IF(Tableau134[[#This Row],[Repère]]="","",VLOOKUP(Tableau134[[#This Row],[Repère]],Tableau1[#All],9,FALSE))</f>
        <v/>
      </c>
      <c r="J54" s="13" t="str">
        <f>IF(Tableau134[[#This Row],[Repère]]="","",VLOOKUP(Tableau134[[#This Row],[Repère]],Tableau1[#All],10,FALSE))</f>
        <v/>
      </c>
      <c r="K54" s="13" t="str">
        <f>IF(Tableau134[[#This Row],[Repère]]="","",VLOOKUP(Tableau134[[#This Row],[Repère]],Tableau1[#All],11,FALSE))</f>
        <v/>
      </c>
      <c r="L54" s="14" t="str">
        <f>IF(Tableau134[[#This Row],[Repère]]="","",VLOOKUP(Tableau134[[#This Row],[Repère]],Tableau1[#All],12,FALSE))</f>
        <v/>
      </c>
    </row>
    <row r="55" spans="1:12" x14ac:dyDescent="0.3">
      <c r="A55" s="18"/>
      <c r="B55" s="19"/>
      <c r="C55" s="13" t="str">
        <f>IF(Tableau134[[#This Row],[Repère]]="","",VLOOKUP(Tableau134[[#This Row],[Repère]],Tableau1[#All],3,FALSE))</f>
        <v/>
      </c>
      <c r="D55" s="13" t="str">
        <f>IF(Tableau134[[#This Row],[Repère]]="","",VLOOKUP(Tableau134[[#This Row],[Repère]],Tableau1[#All],4,FALSE))</f>
        <v/>
      </c>
      <c r="E55" s="13" t="str">
        <f>IF(Tableau134[[#This Row],[Repère]]="","",VLOOKUP(Tableau134[[#This Row],[Repère]],Tableau1[#All],5,FALSE))</f>
        <v/>
      </c>
      <c r="F55" s="13" t="str">
        <f>IF(Tableau134[[#This Row],[Repère]]="","",VLOOKUP(Tableau134[[#This Row],[Repère]],Tableau1[#All],6,FALSE))</f>
        <v/>
      </c>
      <c r="G55" s="13" t="str">
        <f>IF(Tableau134[[#This Row],[Repère]]="","",VLOOKUP(Tableau134[[#This Row],[Repère]],Tableau1[#All],7,FALSE))</f>
        <v/>
      </c>
      <c r="H55" s="13" t="str">
        <f>IF(Tableau134[[#This Row],[Repère]]="","",VLOOKUP(Tableau134[[#This Row],[Repère]],Tableau1[#All],8,FALSE))</f>
        <v/>
      </c>
      <c r="I55" s="13" t="str">
        <f>IF(Tableau134[[#This Row],[Repère]]="","",VLOOKUP(Tableau134[[#This Row],[Repère]],Tableau1[#All],9,FALSE))</f>
        <v/>
      </c>
      <c r="J55" s="13" t="str">
        <f>IF(Tableau134[[#This Row],[Repère]]="","",VLOOKUP(Tableau134[[#This Row],[Repère]],Tableau1[#All],10,FALSE))</f>
        <v/>
      </c>
      <c r="K55" s="13" t="str">
        <f>IF(Tableau134[[#This Row],[Repère]]="","",VLOOKUP(Tableau134[[#This Row],[Repère]],Tableau1[#All],11,FALSE))</f>
        <v/>
      </c>
      <c r="L55" s="14" t="str">
        <f>IF(Tableau134[[#This Row],[Repère]]="","",VLOOKUP(Tableau134[[#This Row],[Repère]],Tableau1[#All],12,FALSE))</f>
        <v/>
      </c>
    </row>
    <row r="56" spans="1:12" x14ac:dyDescent="0.3">
      <c r="A56" s="18"/>
      <c r="B56" s="19"/>
      <c r="C56" s="13" t="str">
        <f>IF(Tableau134[[#This Row],[Repère]]="","",VLOOKUP(Tableau134[[#This Row],[Repère]],Tableau1[#All],3,FALSE))</f>
        <v/>
      </c>
      <c r="D56" s="13" t="str">
        <f>IF(Tableau134[[#This Row],[Repère]]="","",VLOOKUP(Tableau134[[#This Row],[Repère]],Tableau1[#All],4,FALSE))</f>
        <v/>
      </c>
      <c r="E56" s="13" t="str">
        <f>IF(Tableau134[[#This Row],[Repère]]="","",VLOOKUP(Tableau134[[#This Row],[Repère]],Tableau1[#All],5,FALSE))</f>
        <v/>
      </c>
      <c r="F56" s="13" t="str">
        <f>IF(Tableau134[[#This Row],[Repère]]="","",VLOOKUP(Tableau134[[#This Row],[Repère]],Tableau1[#All],6,FALSE))</f>
        <v/>
      </c>
      <c r="G56" s="13" t="str">
        <f>IF(Tableau134[[#This Row],[Repère]]="","",VLOOKUP(Tableau134[[#This Row],[Repère]],Tableau1[#All],7,FALSE))</f>
        <v/>
      </c>
      <c r="H56" s="13" t="str">
        <f>IF(Tableau134[[#This Row],[Repère]]="","",VLOOKUP(Tableau134[[#This Row],[Repère]],Tableau1[#All],8,FALSE))</f>
        <v/>
      </c>
      <c r="I56" s="13" t="str">
        <f>IF(Tableau134[[#This Row],[Repère]]="","",VLOOKUP(Tableau134[[#This Row],[Repère]],Tableau1[#All],9,FALSE))</f>
        <v/>
      </c>
      <c r="J56" s="13" t="str">
        <f>IF(Tableau134[[#This Row],[Repère]]="","",VLOOKUP(Tableau134[[#This Row],[Repère]],Tableau1[#All],10,FALSE))</f>
        <v/>
      </c>
      <c r="K56" s="13" t="str">
        <f>IF(Tableau134[[#This Row],[Repère]]="","",VLOOKUP(Tableau134[[#This Row],[Repère]],Tableau1[#All],11,FALSE))</f>
        <v/>
      </c>
      <c r="L56" s="14" t="str">
        <f>IF(Tableau134[[#This Row],[Repère]]="","",VLOOKUP(Tableau134[[#This Row],[Repère]],Tableau1[#All],12,FALSE))</f>
        <v/>
      </c>
    </row>
    <row r="57" spans="1:12" x14ac:dyDescent="0.3">
      <c r="A57" s="18"/>
      <c r="B57" s="19"/>
      <c r="C57" s="13" t="str">
        <f>IF(Tableau134[[#This Row],[Repère]]="","",VLOOKUP(Tableau134[[#This Row],[Repère]],Tableau1[#All],3,FALSE))</f>
        <v/>
      </c>
      <c r="D57" s="13" t="str">
        <f>IF(Tableau134[[#This Row],[Repère]]="","",VLOOKUP(Tableau134[[#This Row],[Repère]],Tableau1[#All],4,FALSE))</f>
        <v/>
      </c>
      <c r="E57" s="13" t="str">
        <f>IF(Tableau134[[#This Row],[Repère]]="","",VLOOKUP(Tableau134[[#This Row],[Repère]],Tableau1[#All],5,FALSE))</f>
        <v/>
      </c>
      <c r="F57" s="13" t="str">
        <f>IF(Tableau134[[#This Row],[Repère]]="","",VLOOKUP(Tableau134[[#This Row],[Repère]],Tableau1[#All],6,FALSE))</f>
        <v/>
      </c>
      <c r="G57" s="13" t="str">
        <f>IF(Tableau134[[#This Row],[Repère]]="","",VLOOKUP(Tableau134[[#This Row],[Repère]],Tableau1[#All],7,FALSE))</f>
        <v/>
      </c>
      <c r="H57" s="13" t="str">
        <f>IF(Tableau134[[#This Row],[Repère]]="","",VLOOKUP(Tableau134[[#This Row],[Repère]],Tableau1[#All],8,FALSE))</f>
        <v/>
      </c>
      <c r="I57" s="13" t="str">
        <f>IF(Tableau134[[#This Row],[Repère]]="","",VLOOKUP(Tableau134[[#This Row],[Repère]],Tableau1[#All],9,FALSE))</f>
        <v/>
      </c>
      <c r="J57" s="13" t="str">
        <f>IF(Tableau134[[#This Row],[Repère]]="","",VLOOKUP(Tableau134[[#This Row],[Repère]],Tableau1[#All],10,FALSE))</f>
        <v/>
      </c>
      <c r="K57" s="13" t="str">
        <f>IF(Tableau134[[#This Row],[Repère]]="","",VLOOKUP(Tableau134[[#This Row],[Repère]],Tableau1[#All],11,FALSE))</f>
        <v/>
      </c>
      <c r="L57" s="14" t="str">
        <f>IF(Tableau134[[#This Row],[Repère]]="","",VLOOKUP(Tableau134[[#This Row],[Repère]],Tableau1[#All],12,FALSE))</f>
        <v/>
      </c>
    </row>
    <row r="58" spans="1:12" x14ac:dyDescent="0.3">
      <c r="A58" s="18"/>
      <c r="B58" s="19"/>
      <c r="C58" s="13" t="str">
        <f>IF(Tableau134[[#This Row],[Repère]]="","",VLOOKUP(Tableau134[[#This Row],[Repère]],Tableau1[#All],3,FALSE))</f>
        <v/>
      </c>
      <c r="D58" s="13" t="str">
        <f>IF(Tableau134[[#This Row],[Repère]]="","",VLOOKUP(Tableau134[[#This Row],[Repère]],Tableau1[#All],4,FALSE))</f>
        <v/>
      </c>
      <c r="E58" s="13" t="str">
        <f>IF(Tableau134[[#This Row],[Repère]]="","",VLOOKUP(Tableau134[[#This Row],[Repère]],Tableau1[#All],5,FALSE))</f>
        <v/>
      </c>
      <c r="F58" s="13" t="str">
        <f>IF(Tableau134[[#This Row],[Repère]]="","",VLOOKUP(Tableau134[[#This Row],[Repère]],Tableau1[#All],6,FALSE))</f>
        <v/>
      </c>
      <c r="G58" s="13" t="str">
        <f>IF(Tableau134[[#This Row],[Repère]]="","",VLOOKUP(Tableau134[[#This Row],[Repère]],Tableau1[#All],7,FALSE))</f>
        <v/>
      </c>
      <c r="H58" s="13" t="str">
        <f>IF(Tableau134[[#This Row],[Repère]]="","",VLOOKUP(Tableau134[[#This Row],[Repère]],Tableau1[#All],8,FALSE))</f>
        <v/>
      </c>
      <c r="I58" s="13" t="str">
        <f>IF(Tableau134[[#This Row],[Repère]]="","",VLOOKUP(Tableau134[[#This Row],[Repère]],Tableau1[#All],9,FALSE))</f>
        <v/>
      </c>
      <c r="J58" s="13" t="str">
        <f>IF(Tableau134[[#This Row],[Repère]]="","",VLOOKUP(Tableau134[[#This Row],[Repère]],Tableau1[#All],10,FALSE))</f>
        <v/>
      </c>
      <c r="K58" s="13" t="str">
        <f>IF(Tableau134[[#This Row],[Repère]]="","",VLOOKUP(Tableau134[[#This Row],[Repère]],Tableau1[#All],11,FALSE))</f>
        <v/>
      </c>
      <c r="L58" s="14" t="str">
        <f>IF(Tableau134[[#This Row],[Repère]]="","",VLOOKUP(Tableau134[[#This Row],[Repère]],Tableau1[#All],12,FALSE))</f>
        <v/>
      </c>
    </row>
    <row r="59" spans="1:12" x14ac:dyDescent="0.3">
      <c r="A59" s="18"/>
      <c r="B59" s="19"/>
      <c r="C59" s="13" t="str">
        <f>IF(Tableau134[[#This Row],[Repère]]="","",VLOOKUP(Tableau134[[#This Row],[Repère]],Tableau1[#All],3,FALSE))</f>
        <v/>
      </c>
      <c r="D59" s="13" t="str">
        <f>IF(Tableau134[[#This Row],[Repère]]="","",VLOOKUP(Tableau134[[#This Row],[Repère]],Tableau1[#All],4,FALSE))</f>
        <v/>
      </c>
      <c r="E59" s="13" t="str">
        <f>IF(Tableau134[[#This Row],[Repère]]="","",VLOOKUP(Tableau134[[#This Row],[Repère]],Tableau1[#All],5,FALSE))</f>
        <v/>
      </c>
      <c r="F59" s="13" t="str">
        <f>IF(Tableau134[[#This Row],[Repère]]="","",VLOOKUP(Tableau134[[#This Row],[Repère]],Tableau1[#All],6,FALSE))</f>
        <v/>
      </c>
      <c r="G59" s="13" t="str">
        <f>IF(Tableau134[[#This Row],[Repère]]="","",VLOOKUP(Tableau134[[#This Row],[Repère]],Tableau1[#All],7,FALSE))</f>
        <v/>
      </c>
      <c r="H59" s="13" t="str">
        <f>IF(Tableau134[[#This Row],[Repère]]="","",VLOOKUP(Tableau134[[#This Row],[Repère]],Tableau1[#All],8,FALSE))</f>
        <v/>
      </c>
      <c r="I59" s="13" t="str">
        <f>IF(Tableau134[[#This Row],[Repère]]="","",VLOOKUP(Tableau134[[#This Row],[Repère]],Tableau1[#All],9,FALSE))</f>
        <v/>
      </c>
      <c r="J59" s="13" t="str">
        <f>IF(Tableau134[[#This Row],[Repère]]="","",VLOOKUP(Tableau134[[#This Row],[Repère]],Tableau1[#All],10,FALSE))</f>
        <v/>
      </c>
      <c r="K59" s="13" t="str">
        <f>IF(Tableau134[[#This Row],[Repère]]="","",VLOOKUP(Tableau134[[#This Row],[Repère]],Tableau1[#All],11,FALSE))</f>
        <v/>
      </c>
      <c r="L59" s="14" t="str">
        <f>IF(Tableau134[[#This Row],[Repère]]="","",VLOOKUP(Tableau134[[#This Row],[Repère]],Tableau1[#All],12,FALSE))</f>
        <v/>
      </c>
    </row>
    <row r="60" spans="1:12" x14ac:dyDescent="0.3">
      <c r="A60" s="18"/>
      <c r="B60" s="19"/>
      <c r="C60" s="13" t="str">
        <f>IF(Tableau134[[#This Row],[Repère]]="","",VLOOKUP(Tableau134[[#This Row],[Repère]],Tableau1[#All],3,FALSE))</f>
        <v/>
      </c>
      <c r="D60" s="13" t="str">
        <f>IF(Tableau134[[#This Row],[Repère]]="","",VLOOKUP(Tableau134[[#This Row],[Repère]],Tableau1[#All],4,FALSE))</f>
        <v/>
      </c>
      <c r="E60" s="13" t="str">
        <f>IF(Tableau134[[#This Row],[Repère]]="","",VLOOKUP(Tableau134[[#This Row],[Repère]],Tableau1[#All],5,FALSE))</f>
        <v/>
      </c>
      <c r="F60" s="13" t="str">
        <f>IF(Tableau134[[#This Row],[Repère]]="","",VLOOKUP(Tableau134[[#This Row],[Repère]],Tableau1[#All],6,FALSE))</f>
        <v/>
      </c>
      <c r="G60" s="13" t="str">
        <f>IF(Tableau134[[#This Row],[Repère]]="","",VLOOKUP(Tableau134[[#This Row],[Repère]],Tableau1[#All],7,FALSE))</f>
        <v/>
      </c>
      <c r="H60" s="13" t="str">
        <f>IF(Tableau134[[#This Row],[Repère]]="","",VLOOKUP(Tableau134[[#This Row],[Repère]],Tableau1[#All],8,FALSE))</f>
        <v/>
      </c>
      <c r="I60" s="13" t="str">
        <f>IF(Tableau134[[#This Row],[Repère]]="","",VLOOKUP(Tableau134[[#This Row],[Repère]],Tableau1[#All],9,FALSE))</f>
        <v/>
      </c>
      <c r="J60" s="13" t="str">
        <f>IF(Tableau134[[#This Row],[Repère]]="","",VLOOKUP(Tableau134[[#This Row],[Repère]],Tableau1[#All],10,FALSE))</f>
        <v/>
      </c>
      <c r="K60" s="13" t="str">
        <f>IF(Tableau134[[#This Row],[Repère]]="","",VLOOKUP(Tableau134[[#This Row],[Repère]],Tableau1[#All],11,FALSE))</f>
        <v/>
      </c>
      <c r="L60" s="14" t="str">
        <f>IF(Tableau134[[#This Row],[Repère]]="","",VLOOKUP(Tableau134[[#This Row],[Repère]],Tableau1[#All],12,FALSE))</f>
        <v/>
      </c>
    </row>
    <row r="61" spans="1:12" x14ac:dyDescent="0.3">
      <c r="A61" s="18"/>
      <c r="B61" s="19"/>
      <c r="C61" s="13" t="str">
        <f>IF(Tableau134[[#This Row],[Repère]]="","",VLOOKUP(Tableau134[[#This Row],[Repère]],Tableau1[#All],3,FALSE))</f>
        <v/>
      </c>
      <c r="D61" s="13" t="str">
        <f>IF(Tableau134[[#This Row],[Repère]]="","",VLOOKUP(Tableau134[[#This Row],[Repère]],Tableau1[#All],4,FALSE))</f>
        <v/>
      </c>
      <c r="E61" s="13" t="str">
        <f>IF(Tableau134[[#This Row],[Repère]]="","",VLOOKUP(Tableau134[[#This Row],[Repère]],Tableau1[#All],5,FALSE))</f>
        <v/>
      </c>
      <c r="F61" s="13" t="str">
        <f>IF(Tableau134[[#This Row],[Repère]]="","",VLOOKUP(Tableau134[[#This Row],[Repère]],Tableau1[#All],6,FALSE))</f>
        <v/>
      </c>
      <c r="G61" s="13" t="str">
        <f>IF(Tableau134[[#This Row],[Repère]]="","",VLOOKUP(Tableau134[[#This Row],[Repère]],Tableau1[#All],7,FALSE))</f>
        <v/>
      </c>
      <c r="H61" s="13" t="str">
        <f>IF(Tableau134[[#This Row],[Repère]]="","",VLOOKUP(Tableau134[[#This Row],[Repère]],Tableau1[#All],8,FALSE))</f>
        <v/>
      </c>
      <c r="I61" s="13" t="str">
        <f>IF(Tableau134[[#This Row],[Repère]]="","",VLOOKUP(Tableau134[[#This Row],[Repère]],Tableau1[#All],9,FALSE))</f>
        <v/>
      </c>
      <c r="J61" s="13" t="str">
        <f>IF(Tableau134[[#This Row],[Repère]]="","",VLOOKUP(Tableau134[[#This Row],[Repère]],Tableau1[#All],10,FALSE))</f>
        <v/>
      </c>
      <c r="K61" s="13" t="str">
        <f>IF(Tableau134[[#This Row],[Repère]]="","",VLOOKUP(Tableau134[[#This Row],[Repère]],Tableau1[#All],11,FALSE))</f>
        <v/>
      </c>
      <c r="L61" s="14" t="str">
        <f>IF(Tableau134[[#This Row],[Repère]]="","",VLOOKUP(Tableau134[[#This Row],[Repère]],Tableau1[#All],12,FALSE))</f>
        <v/>
      </c>
    </row>
    <row r="62" spans="1:12" x14ac:dyDescent="0.3">
      <c r="A62" s="18"/>
      <c r="B62" s="19"/>
      <c r="C62" s="13" t="str">
        <f>IF(Tableau134[[#This Row],[Repère]]="","",VLOOKUP(Tableau134[[#This Row],[Repère]],Tableau1[#All],3,FALSE))</f>
        <v/>
      </c>
      <c r="D62" s="13" t="str">
        <f>IF(Tableau134[[#This Row],[Repère]]="","",VLOOKUP(Tableau134[[#This Row],[Repère]],Tableau1[#All],4,FALSE))</f>
        <v/>
      </c>
      <c r="E62" s="13" t="str">
        <f>IF(Tableau134[[#This Row],[Repère]]="","",VLOOKUP(Tableau134[[#This Row],[Repère]],Tableau1[#All],5,FALSE))</f>
        <v/>
      </c>
      <c r="F62" s="13" t="str">
        <f>IF(Tableau134[[#This Row],[Repère]]="","",VLOOKUP(Tableau134[[#This Row],[Repère]],Tableau1[#All],6,FALSE))</f>
        <v/>
      </c>
      <c r="G62" s="13" t="str">
        <f>IF(Tableau134[[#This Row],[Repère]]="","",VLOOKUP(Tableau134[[#This Row],[Repère]],Tableau1[#All],7,FALSE))</f>
        <v/>
      </c>
      <c r="H62" s="13" t="str">
        <f>IF(Tableau134[[#This Row],[Repère]]="","",VLOOKUP(Tableau134[[#This Row],[Repère]],Tableau1[#All],8,FALSE))</f>
        <v/>
      </c>
      <c r="I62" s="13" t="str">
        <f>IF(Tableau134[[#This Row],[Repère]]="","",VLOOKUP(Tableau134[[#This Row],[Repère]],Tableau1[#All],9,FALSE))</f>
        <v/>
      </c>
      <c r="J62" s="13" t="str">
        <f>IF(Tableau134[[#This Row],[Repère]]="","",VLOOKUP(Tableau134[[#This Row],[Repère]],Tableau1[#All],10,FALSE))</f>
        <v/>
      </c>
      <c r="K62" s="13" t="str">
        <f>IF(Tableau134[[#This Row],[Repère]]="","",VLOOKUP(Tableau134[[#This Row],[Repère]],Tableau1[#All],11,FALSE))</f>
        <v/>
      </c>
      <c r="L62" s="14" t="str">
        <f>IF(Tableau134[[#This Row],[Repère]]="","",VLOOKUP(Tableau134[[#This Row],[Repère]],Tableau1[#All],12,FALSE))</f>
        <v/>
      </c>
    </row>
    <row r="63" spans="1:12" x14ac:dyDescent="0.3">
      <c r="A63" s="18"/>
      <c r="B63" s="19"/>
      <c r="C63" s="13" t="str">
        <f>IF(Tableau134[[#This Row],[Repère]]="","",VLOOKUP(Tableau134[[#This Row],[Repère]],Tableau1[#All],3,FALSE))</f>
        <v/>
      </c>
      <c r="D63" s="13" t="str">
        <f>IF(Tableau134[[#This Row],[Repère]]="","",VLOOKUP(Tableau134[[#This Row],[Repère]],Tableau1[#All],4,FALSE))</f>
        <v/>
      </c>
      <c r="E63" s="13" t="str">
        <f>IF(Tableau134[[#This Row],[Repère]]="","",VLOOKUP(Tableau134[[#This Row],[Repère]],Tableau1[#All],5,FALSE))</f>
        <v/>
      </c>
      <c r="F63" s="13" t="str">
        <f>IF(Tableau134[[#This Row],[Repère]]="","",VLOOKUP(Tableau134[[#This Row],[Repère]],Tableau1[#All],6,FALSE))</f>
        <v/>
      </c>
      <c r="G63" s="13" t="str">
        <f>IF(Tableau134[[#This Row],[Repère]]="","",VLOOKUP(Tableau134[[#This Row],[Repère]],Tableau1[#All],7,FALSE))</f>
        <v/>
      </c>
      <c r="H63" s="13" t="str">
        <f>IF(Tableau134[[#This Row],[Repère]]="","",VLOOKUP(Tableau134[[#This Row],[Repère]],Tableau1[#All],8,FALSE))</f>
        <v/>
      </c>
      <c r="I63" s="13" t="str">
        <f>IF(Tableau134[[#This Row],[Repère]]="","",VLOOKUP(Tableau134[[#This Row],[Repère]],Tableau1[#All],9,FALSE))</f>
        <v/>
      </c>
      <c r="J63" s="13" t="str">
        <f>IF(Tableau134[[#This Row],[Repère]]="","",VLOOKUP(Tableau134[[#This Row],[Repère]],Tableau1[#All],10,FALSE))</f>
        <v/>
      </c>
      <c r="K63" s="13" t="str">
        <f>IF(Tableau134[[#This Row],[Repère]]="","",VLOOKUP(Tableau134[[#This Row],[Repère]],Tableau1[#All],11,FALSE))</f>
        <v/>
      </c>
      <c r="L63" s="14" t="str">
        <f>IF(Tableau134[[#This Row],[Repère]]="","",VLOOKUP(Tableau134[[#This Row],[Repère]],Tableau1[#All],12,FALSE))</f>
        <v/>
      </c>
    </row>
    <row r="64" spans="1:12" x14ac:dyDescent="0.3">
      <c r="A64" s="18"/>
      <c r="B64" s="19"/>
      <c r="C64" s="13" t="str">
        <f>IF(Tableau134[[#This Row],[Repère]]="","",VLOOKUP(Tableau134[[#This Row],[Repère]],Tableau1[#All],3,FALSE))</f>
        <v/>
      </c>
      <c r="D64" s="13" t="str">
        <f>IF(Tableau134[[#This Row],[Repère]]="","",VLOOKUP(Tableau134[[#This Row],[Repère]],Tableau1[#All],4,FALSE))</f>
        <v/>
      </c>
      <c r="E64" s="13" t="str">
        <f>IF(Tableau134[[#This Row],[Repère]]="","",VLOOKUP(Tableau134[[#This Row],[Repère]],Tableau1[#All],5,FALSE))</f>
        <v/>
      </c>
      <c r="F64" s="13" t="str">
        <f>IF(Tableau134[[#This Row],[Repère]]="","",VLOOKUP(Tableau134[[#This Row],[Repère]],Tableau1[#All],6,FALSE))</f>
        <v/>
      </c>
      <c r="G64" s="13" t="str">
        <f>IF(Tableau134[[#This Row],[Repère]]="","",VLOOKUP(Tableau134[[#This Row],[Repère]],Tableau1[#All],7,FALSE))</f>
        <v/>
      </c>
      <c r="H64" s="13" t="str">
        <f>IF(Tableau134[[#This Row],[Repère]]="","",VLOOKUP(Tableau134[[#This Row],[Repère]],Tableau1[#All],8,FALSE))</f>
        <v/>
      </c>
      <c r="I64" s="13" t="str">
        <f>IF(Tableau134[[#This Row],[Repère]]="","",VLOOKUP(Tableau134[[#This Row],[Repère]],Tableau1[#All],9,FALSE))</f>
        <v/>
      </c>
      <c r="J64" s="13" t="str">
        <f>IF(Tableau134[[#This Row],[Repère]]="","",VLOOKUP(Tableau134[[#This Row],[Repère]],Tableau1[#All],10,FALSE))</f>
        <v/>
      </c>
      <c r="K64" s="13" t="str">
        <f>IF(Tableau134[[#This Row],[Repère]]="","",VLOOKUP(Tableau134[[#This Row],[Repère]],Tableau1[#All],11,FALSE))</f>
        <v/>
      </c>
      <c r="L64" s="14" t="str">
        <f>IF(Tableau134[[#This Row],[Repère]]="","",VLOOKUP(Tableau134[[#This Row],[Repère]],Tableau1[#All],12,FALSE))</f>
        <v/>
      </c>
    </row>
    <row r="65" spans="1:12" x14ac:dyDescent="0.3">
      <c r="A65" s="18"/>
      <c r="B65" s="19"/>
      <c r="C65" s="13" t="str">
        <f>IF(Tableau134[[#This Row],[Repère]]="","",VLOOKUP(Tableau134[[#This Row],[Repère]],Tableau1[#All],3,FALSE))</f>
        <v/>
      </c>
      <c r="D65" s="13" t="str">
        <f>IF(Tableau134[[#This Row],[Repère]]="","",VLOOKUP(Tableau134[[#This Row],[Repère]],Tableau1[#All],4,FALSE))</f>
        <v/>
      </c>
      <c r="E65" s="13" t="str">
        <f>IF(Tableau134[[#This Row],[Repère]]="","",VLOOKUP(Tableau134[[#This Row],[Repère]],Tableau1[#All],5,FALSE))</f>
        <v/>
      </c>
      <c r="F65" s="13" t="str">
        <f>IF(Tableau134[[#This Row],[Repère]]="","",VLOOKUP(Tableau134[[#This Row],[Repère]],Tableau1[#All],6,FALSE))</f>
        <v/>
      </c>
      <c r="G65" s="13" t="str">
        <f>IF(Tableau134[[#This Row],[Repère]]="","",VLOOKUP(Tableau134[[#This Row],[Repère]],Tableau1[#All],7,FALSE))</f>
        <v/>
      </c>
      <c r="H65" s="13" t="str">
        <f>IF(Tableau134[[#This Row],[Repère]]="","",VLOOKUP(Tableau134[[#This Row],[Repère]],Tableau1[#All],8,FALSE))</f>
        <v/>
      </c>
      <c r="I65" s="13" t="str">
        <f>IF(Tableau134[[#This Row],[Repère]]="","",VLOOKUP(Tableau134[[#This Row],[Repère]],Tableau1[#All],9,FALSE))</f>
        <v/>
      </c>
      <c r="J65" s="13" t="str">
        <f>IF(Tableau134[[#This Row],[Repère]]="","",VLOOKUP(Tableau134[[#This Row],[Repère]],Tableau1[#All],10,FALSE))</f>
        <v/>
      </c>
      <c r="K65" s="13" t="str">
        <f>IF(Tableau134[[#This Row],[Repère]]="","",VLOOKUP(Tableau134[[#This Row],[Repère]],Tableau1[#All],11,FALSE))</f>
        <v/>
      </c>
      <c r="L65" s="14" t="str">
        <f>IF(Tableau134[[#This Row],[Repère]]="","",VLOOKUP(Tableau134[[#This Row],[Repère]],Tableau1[#All],12,FALSE))</f>
        <v/>
      </c>
    </row>
    <row r="66" spans="1:12" x14ac:dyDescent="0.3">
      <c r="A66" s="18"/>
      <c r="B66" s="19"/>
      <c r="C66" s="13" t="str">
        <f>IF(Tableau134[[#This Row],[Repère]]="","",VLOOKUP(Tableau134[[#This Row],[Repère]],Tableau1[#All],3,FALSE))</f>
        <v/>
      </c>
      <c r="D66" s="13" t="str">
        <f>IF(Tableau134[[#This Row],[Repère]]="","",VLOOKUP(Tableau134[[#This Row],[Repère]],Tableau1[#All],4,FALSE))</f>
        <v/>
      </c>
      <c r="E66" s="13" t="str">
        <f>IF(Tableau134[[#This Row],[Repère]]="","",VLOOKUP(Tableau134[[#This Row],[Repère]],Tableau1[#All],5,FALSE))</f>
        <v/>
      </c>
      <c r="F66" s="13" t="str">
        <f>IF(Tableau134[[#This Row],[Repère]]="","",VLOOKUP(Tableau134[[#This Row],[Repère]],Tableau1[#All],6,FALSE))</f>
        <v/>
      </c>
      <c r="G66" s="13" t="str">
        <f>IF(Tableau134[[#This Row],[Repère]]="","",VLOOKUP(Tableau134[[#This Row],[Repère]],Tableau1[#All],7,FALSE))</f>
        <v/>
      </c>
      <c r="H66" s="13" t="str">
        <f>IF(Tableau134[[#This Row],[Repère]]="","",VLOOKUP(Tableau134[[#This Row],[Repère]],Tableau1[#All],8,FALSE))</f>
        <v/>
      </c>
      <c r="I66" s="13" t="str">
        <f>IF(Tableau134[[#This Row],[Repère]]="","",VLOOKUP(Tableau134[[#This Row],[Repère]],Tableau1[#All],9,FALSE))</f>
        <v/>
      </c>
      <c r="J66" s="13" t="str">
        <f>IF(Tableau134[[#This Row],[Repère]]="","",VLOOKUP(Tableau134[[#This Row],[Repère]],Tableau1[#All],10,FALSE))</f>
        <v/>
      </c>
      <c r="K66" s="13" t="str">
        <f>IF(Tableau134[[#This Row],[Repère]]="","",VLOOKUP(Tableau134[[#This Row],[Repère]],Tableau1[#All],11,FALSE))</f>
        <v/>
      </c>
      <c r="L66" s="14" t="str">
        <f>IF(Tableau134[[#This Row],[Repère]]="","",VLOOKUP(Tableau134[[#This Row],[Repère]],Tableau1[#All],12,FALSE))</f>
        <v/>
      </c>
    </row>
    <row r="67" spans="1:12" x14ac:dyDescent="0.3">
      <c r="A67" s="18"/>
      <c r="B67" s="19"/>
      <c r="C67" s="13" t="str">
        <f>IF(Tableau134[[#This Row],[Repère]]="","",VLOOKUP(Tableau134[[#This Row],[Repère]],Tableau1[#All],3,FALSE))</f>
        <v/>
      </c>
      <c r="D67" s="13" t="str">
        <f>IF(Tableau134[[#This Row],[Repère]]="","",VLOOKUP(Tableau134[[#This Row],[Repère]],Tableau1[#All],4,FALSE))</f>
        <v/>
      </c>
      <c r="E67" s="13" t="str">
        <f>IF(Tableau134[[#This Row],[Repère]]="","",VLOOKUP(Tableau134[[#This Row],[Repère]],Tableau1[#All],5,FALSE))</f>
        <v/>
      </c>
      <c r="F67" s="13" t="str">
        <f>IF(Tableau134[[#This Row],[Repère]]="","",VLOOKUP(Tableau134[[#This Row],[Repère]],Tableau1[#All],6,FALSE))</f>
        <v/>
      </c>
      <c r="G67" s="13" t="str">
        <f>IF(Tableau134[[#This Row],[Repère]]="","",VLOOKUP(Tableau134[[#This Row],[Repère]],Tableau1[#All],7,FALSE))</f>
        <v/>
      </c>
      <c r="H67" s="13" t="str">
        <f>IF(Tableau134[[#This Row],[Repère]]="","",VLOOKUP(Tableau134[[#This Row],[Repère]],Tableau1[#All],8,FALSE))</f>
        <v/>
      </c>
      <c r="I67" s="13" t="str">
        <f>IF(Tableau134[[#This Row],[Repère]]="","",VLOOKUP(Tableau134[[#This Row],[Repère]],Tableau1[#All],9,FALSE))</f>
        <v/>
      </c>
      <c r="J67" s="13" t="str">
        <f>IF(Tableau134[[#This Row],[Repère]]="","",VLOOKUP(Tableau134[[#This Row],[Repère]],Tableau1[#All],10,FALSE))</f>
        <v/>
      </c>
      <c r="K67" s="13" t="str">
        <f>IF(Tableau134[[#This Row],[Repère]]="","",VLOOKUP(Tableau134[[#This Row],[Repère]],Tableau1[#All],11,FALSE))</f>
        <v/>
      </c>
      <c r="L67" s="14" t="str">
        <f>IF(Tableau134[[#This Row],[Repère]]="","",VLOOKUP(Tableau134[[#This Row],[Repère]],Tableau1[#All],12,FALSE))</f>
        <v/>
      </c>
    </row>
    <row r="68" spans="1:12" x14ac:dyDescent="0.3">
      <c r="A68" s="18"/>
      <c r="B68" s="19"/>
      <c r="C68" s="13" t="str">
        <f>IF(Tableau134[[#This Row],[Repère]]="","",VLOOKUP(Tableau134[[#This Row],[Repère]],Tableau1[#All],3,FALSE))</f>
        <v/>
      </c>
      <c r="D68" s="13" t="str">
        <f>IF(Tableau134[[#This Row],[Repère]]="","",VLOOKUP(Tableau134[[#This Row],[Repère]],Tableau1[#All],4,FALSE))</f>
        <v/>
      </c>
      <c r="E68" s="13" t="str">
        <f>IF(Tableau134[[#This Row],[Repère]]="","",VLOOKUP(Tableau134[[#This Row],[Repère]],Tableau1[#All],5,FALSE))</f>
        <v/>
      </c>
      <c r="F68" s="13" t="str">
        <f>IF(Tableau134[[#This Row],[Repère]]="","",VLOOKUP(Tableau134[[#This Row],[Repère]],Tableau1[#All],6,FALSE))</f>
        <v/>
      </c>
      <c r="G68" s="13" t="str">
        <f>IF(Tableau134[[#This Row],[Repère]]="","",VLOOKUP(Tableau134[[#This Row],[Repère]],Tableau1[#All],7,FALSE))</f>
        <v/>
      </c>
      <c r="H68" s="13" t="str">
        <f>IF(Tableau134[[#This Row],[Repère]]="","",VLOOKUP(Tableau134[[#This Row],[Repère]],Tableau1[#All],8,FALSE))</f>
        <v/>
      </c>
      <c r="I68" s="13" t="str">
        <f>IF(Tableau134[[#This Row],[Repère]]="","",VLOOKUP(Tableau134[[#This Row],[Repère]],Tableau1[#All],9,FALSE))</f>
        <v/>
      </c>
      <c r="J68" s="13" t="str">
        <f>IF(Tableau134[[#This Row],[Repère]]="","",VLOOKUP(Tableau134[[#This Row],[Repère]],Tableau1[#All],10,FALSE))</f>
        <v/>
      </c>
      <c r="K68" s="13" t="str">
        <f>IF(Tableau134[[#This Row],[Repère]]="","",VLOOKUP(Tableau134[[#This Row],[Repère]],Tableau1[#All],11,FALSE))</f>
        <v/>
      </c>
      <c r="L68" s="14" t="str">
        <f>IF(Tableau134[[#This Row],[Repère]]="","",VLOOKUP(Tableau134[[#This Row],[Repère]],Tableau1[#All],12,FALSE))</f>
        <v/>
      </c>
    </row>
    <row r="69" spans="1:12" x14ac:dyDescent="0.3">
      <c r="A69" s="18"/>
      <c r="B69" s="19"/>
      <c r="C69" s="13" t="str">
        <f>IF(Tableau134[[#This Row],[Repère]]="","",VLOOKUP(Tableau134[[#This Row],[Repère]],Tableau1[#All],3,FALSE))</f>
        <v/>
      </c>
      <c r="D69" s="13" t="str">
        <f>IF(Tableau134[[#This Row],[Repère]]="","",VLOOKUP(Tableau134[[#This Row],[Repère]],Tableau1[#All],4,FALSE))</f>
        <v/>
      </c>
      <c r="E69" s="13" t="str">
        <f>IF(Tableau134[[#This Row],[Repère]]="","",VLOOKUP(Tableau134[[#This Row],[Repère]],Tableau1[#All],5,FALSE))</f>
        <v/>
      </c>
      <c r="F69" s="13" t="str">
        <f>IF(Tableau134[[#This Row],[Repère]]="","",VLOOKUP(Tableau134[[#This Row],[Repère]],Tableau1[#All],6,FALSE))</f>
        <v/>
      </c>
      <c r="G69" s="13" t="str">
        <f>IF(Tableau134[[#This Row],[Repère]]="","",VLOOKUP(Tableau134[[#This Row],[Repère]],Tableau1[#All],7,FALSE))</f>
        <v/>
      </c>
      <c r="H69" s="13" t="str">
        <f>IF(Tableau134[[#This Row],[Repère]]="","",VLOOKUP(Tableau134[[#This Row],[Repère]],Tableau1[#All],8,FALSE))</f>
        <v/>
      </c>
      <c r="I69" s="13" t="str">
        <f>IF(Tableau134[[#This Row],[Repère]]="","",VLOOKUP(Tableau134[[#This Row],[Repère]],Tableau1[#All],9,FALSE))</f>
        <v/>
      </c>
      <c r="J69" s="13" t="str">
        <f>IF(Tableau134[[#This Row],[Repère]]="","",VLOOKUP(Tableau134[[#This Row],[Repère]],Tableau1[#All],10,FALSE))</f>
        <v/>
      </c>
      <c r="K69" s="13" t="str">
        <f>IF(Tableau134[[#This Row],[Repère]]="","",VLOOKUP(Tableau134[[#This Row],[Repère]],Tableau1[#All],11,FALSE))</f>
        <v/>
      </c>
      <c r="L69" s="14" t="str">
        <f>IF(Tableau134[[#This Row],[Repère]]="","",VLOOKUP(Tableau134[[#This Row],[Repère]],Tableau1[#All],12,FALSE))</f>
        <v/>
      </c>
    </row>
    <row r="70" spans="1:12" x14ac:dyDescent="0.3">
      <c r="A70" s="18"/>
      <c r="B70" s="19"/>
      <c r="C70" s="13" t="str">
        <f>IF(Tableau134[[#This Row],[Repère]]="","",VLOOKUP(Tableau134[[#This Row],[Repère]],Tableau1[#All],3,FALSE))</f>
        <v/>
      </c>
      <c r="D70" s="13" t="str">
        <f>IF(Tableau134[[#This Row],[Repère]]="","",VLOOKUP(Tableau134[[#This Row],[Repère]],Tableau1[#All],4,FALSE))</f>
        <v/>
      </c>
      <c r="E70" s="13" t="str">
        <f>IF(Tableau134[[#This Row],[Repère]]="","",VLOOKUP(Tableau134[[#This Row],[Repère]],Tableau1[#All],5,FALSE))</f>
        <v/>
      </c>
      <c r="F70" s="13" t="str">
        <f>IF(Tableau134[[#This Row],[Repère]]="","",VLOOKUP(Tableau134[[#This Row],[Repère]],Tableau1[#All],6,FALSE))</f>
        <v/>
      </c>
      <c r="G70" s="13" t="str">
        <f>IF(Tableau134[[#This Row],[Repère]]="","",VLOOKUP(Tableau134[[#This Row],[Repère]],Tableau1[#All],7,FALSE))</f>
        <v/>
      </c>
      <c r="H70" s="13" t="str">
        <f>IF(Tableau134[[#This Row],[Repère]]="","",VLOOKUP(Tableau134[[#This Row],[Repère]],Tableau1[#All],8,FALSE))</f>
        <v/>
      </c>
      <c r="I70" s="13" t="str">
        <f>IF(Tableau134[[#This Row],[Repère]]="","",VLOOKUP(Tableau134[[#This Row],[Repère]],Tableau1[#All],9,FALSE))</f>
        <v/>
      </c>
      <c r="J70" s="13" t="str">
        <f>IF(Tableau134[[#This Row],[Repère]]="","",VLOOKUP(Tableau134[[#This Row],[Repère]],Tableau1[#All],10,FALSE))</f>
        <v/>
      </c>
      <c r="K70" s="13" t="str">
        <f>IF(Tableau134[[#This Row],[Repère]]="","",VLOOKUP(Tableau134[[#This Row],[Repère]],Tableau1[#All],11,FALSE))</f>
        <v/>
      </c>
      <c r="L70" s="14" t="str">
        <f>IF(Tableau134[[#This Row],[Repère]]="","",VLOOKUP(Tableau134[[#This Row],[Repère]],Tableau1[#All],12,FALSE))</f>
        <v/>
      </c>
    </row>
    <row r="71" spans="1:12" x14ac:dyDescent="0.3">
      <c r="A71" s="18"/>
      <c r="B71" s="19"/>
      <c r="C71" s="13" t="str">
        <f>IF(Tableau134[[#This Row],[Repère]]="","",VLOOKUP(Tableau134[[#This Row],[Repère]],Tableau1[#All],3,FALSE))</f>
        <v/>
      </c>
      <c r="D71" s="13" t="str">
        <f>IF(Tableau134[[#This Row],[Repère]]="","",VLOOKUP(Tableau134[[#This Row],[Repère]],Tableau1[#All],4,FALSE))</f>
        <v/>
      </c>
      <c r="E71" s="13" t="str">
        <f>IF(Tableau134[[#This Row],[Repère]]="","",VLOOKUP(Tableau134[[#This Row],[Repère]],Tableau1[#All],5,FALSE))</f>
        <v/>
      </c>
      <c r="F71" s="13" t="str">
        <f>IF(Tableau134[[#This Row],[Repère]]="","",VLOOKUP(Tableau134[[#This Row],[Repère]],Tableau1[#All],6,FALSE))</f>
        <v/>
      </c>
      <c r="G71" s="13" t="str">
        <f>IF(Tableau134[[#This Row],[Repère]]="","",VLOOKUP(Tableau134[[#This Row],[Repère]],Tableau1[#All],7,FALSE))</f>
        <v/>
      </c>
      <c r="H71" s="13" t="str">
        <f>IF(Tableau134[[#This Row],[Repère]]="","",VLOOKUP(Tableau134[[#This Row],[Repère]],Tableau1[#All],8,FALSE))</f>
        <v/>
      </c>
      <c r="I71" s="13" t="str">
        <f>IF(Tableau134[[#This Row],[Repère]]="","",VLOOKUP(Tableau134[[#This Row],[Repère]],Tableau1[#All],9,FALSE))</f>
        <v/>
      </c>
      <c r="J71" s="13" t="str">
        <f>IF(Tableau134[[#This Row],[Repère]]="","",VLOOKUP(Tableau134[[#This Row],[Repère]],Tableau1[#All],10,FALSE))</f>
        <v/>
      </c>
      <c r="K71" s="13" t="str">
        <f>IF(Tableau134[[#This Row],[Repère]]="","",VLOOKUP(Tableau134[[#This Row],[Repère]],Tableau1[#All],11,FALSE))</f>
        <v/>
      </c>
      <c r="L71" s="14" t="str">
        <f>IF(Tableau134[[#This Row],[Repère]]="","",VLOOKUP(Tableau134[[#This Row],[Repère]],Tableau1[#All],12,FALSE))</f>
        <v/>
      </c>
    </row>
    <row r="72" spans="1:12" x14ac:dyDescent="0.3">
      <c r="A72" s="18"/>
      <c r="B72" s="19"/>
      <c r="C72" s="13" t="str">
        <f>IF(Tableau134[[#This Row],[Repère]]="","",VLOOKUP(Tableau134[[#This Row],[Repère]],Tableau1[#All],3,FALSE))</f>
        <v/>
      </c>
      <c r="D72" s="13" t="str">
        <f>IF(Tableau134[[#This Row],[Repère]]="","",VLOOKUP(Tableau134[[#This Row],[Repère]],Tableau1[#All],4,FALSE))</f>
        <v/>
      </c>
      <c r="E72" s="13" t="str">
        <f>IF(Tableau134[[#This Row],[Repère]]="","",VLOOKUP(Tableau134[[#This Row],[Repère]],Tableau1[#All],5,FALSE))</f>
        <v/>
      </c>
      <c r="F72" s="13" t="str">
        <f>IF(Tableau134[[#This Row],[Repère]]="","",VLOOKUP(Tableau134[[#This Row],[Repère]],Tableau1[#All],6,FALSE))</f>
        <v/>
      </c>
      <c r="G72" s="13" t="str">
        <f>IF(Tableau134[[#This Row],[Repère]]="","",VLOOKUP(Tableau134[[#This Row],[Repère]],Tableau1[#All],7,FALSE))</f>
        <v/>
      </c>
      <c r="H72" s="13" t="str">
        <f>IF(Tableau134[[#This Row],[Repère]]="","",VLOOKUP(Tableau134[[#This Row],[Repère]],Tableau1[#All],8,FALSE))</f>
        <v/>
      </c>
      <c r="I72" s="13" t="str">
        <f>IF(Tableau134[[#This Row],[Repère]]="","",VLOOKUP(Tableau134[[#This Row],[Repère]],Tableau1[#All],9,FALSE))</f>
        <v/>
      </c>
      <c r="J72" s="13" t="str">
        <f>IF(Tableau134[[#This Row],[Repère]]="","",VLOOKUP(Tableau134[[#This Row],[Repère]],Tableau1[#All],10,FALSE))</f>
        <v/>
      </c>
      <c r="K72" s="13" t="str">
        <f>IF(Tableau134[[#This Row],[Repère]]="","",VLOOKUP(Tableau134[[#This Row],[Repère]],Tableau1[#All],11,FALSE))</f>
        <v/>
      </c>
      <c r="L72" s="14" t="str">
        <f>IF(Tableau134[[#This Row],[Repère]]="","",VLOOKUP(Tableau134[[#This Row],[Repère]],Tableau1[#All],12,FALSE))</f>
        <v/>
      </c>
    </row>
    <row r="73" spans="1:12" x14ac:dyDescent="0.3">
      <c r="A73" s="18"/>
      <c r="B73" s="19"/>
      <c r="C73" s="13" t="str">
        <f>IF(Tableau134[[#This Row],[Repère]]="","",VLOOKUP(Tableau134[[#This Row],[Repère]],Tableau1[#All],3,FALSE))</f>
        <v/>
      </c>
      <c r="D73" s="13" t="str">
        <f>IF(Tableau134[[#This Row],[Repère]]="","",VLOOKUP(Tableau134[[#This Row],[Repère]],Tableau1[#All],4,FALSE))</f>
        <v/>
      </c>
      <c r="E73" s="13" t="str">
        <f>IF(Tableau134[[#This Row],[Repère]]="","",VLOOKUP(Tableau134[[#This Row],[Repère]],Tableau1[#All],5,FALSE))</f>
        <v/>
      </c>
      <c r="F73" s="13" t="str">
        <f>IF(Tableau134[[#This Row],[Repère]]="","",VLOOKUP(Tableau134[[#This Row],[Repère]],Tableau1[#All],6,FALSE))</f>
        <v/>
      </c>
      <c r="G73" s="13" t="str">
        <f>IF(Tableau134[[#This Row],[Repère]]="","",VLOOKUP(Tableau134[[#This Row],[Repère]],Tableau1[#All],7,FALSE))</f>
        <v/>
      </c>
      <c r="H73" s="13" t="str">
        <f>IF(Tableau134[[#This Row],[Repère]]="","",VLOOKUP(Tableau134[[#This Row],[Repère]],Tableau1[#All],8,FALSE))</f>
        <v/>
      </c>
      <c r="I73" s="13" t="str">
        <f>IF(Tableau134[[#This Row],[Repère]]="","",VLOOKUP(Tableau134[[#This Row],[Repère]],Tableau1[#All],9,FALSE))</f>
        <v/>
      </c>
      <c r="J73" s="13" t="str">
        <f>IF(Tableau134[[#This Row],[Repère]]="","",VLOOKUP(Tableau134[[#This Row],[Repère]],Tableau1[#All],10,FALSE))</f>
        <v/>
      </c>
      <c r="K73" s="13" t="str">
        <f>IF(Tableau134[[#This Row],[Repère]]="","",VLOOKUP(Tableau134[[#This Row],[Repère]],Tableau1[#All],11,FALSE))</f>
        <v/>
      </c>
      <c r="L73" s="14" t="str">
        <f>IF(Tableau134[[#This Row],[Repère]]="","",VLOOKUP(Tableau134[[#This Row],[Repère]],Tableau1[#All],12,FALSE))</f>
        <v/>
      </c>
    </row>
    <row r="74" spans="1:12" x14ac:dyDescent="0.3">
      <c r="A74" s="18"/>
      <c r="B74" s="19"/>
      <c r="C74" s="13" t="str">
        <f>IF(Tableau134[[#This Row],[Repère]]="","",VLOOKUP(Tableau134[[#This Row],[Repère]],Tableau1[#All],3,FALSE))</f>
        <v/>
      </c>
      <c r="D74" s="13" t="str">
        <f>IF(Tableau134[[#This Row],[Repère]]="","",VLOOKUP(Tableau134[[#This Row],[Repère]],Tableau1[#All],4,FALSE))</f>
        <v/>
      </c>
      <c r="E74" s="13" t="str">
        <f>IF(Tableau134[[#This Row],[Repère]]="","",VLOOKUP(Tableau134[[#This Row],[Repère]],Tableau1[#All],5,FALSE))</f>
        <v/>
      </c>
      <c r="F74" s="13" t="str">
        <f>IF(Tableau134[[#This Row],[Repère]]="","",VLOOKUP(Tableau134[[#This Row],[Repère]],Tableau1[#All],6,FALSE))</f>
        <v/>
      </c>
      <c r="G74" s="13" t="str">
        <f>IF(Tableau134[[#This Row],[Repère]]="","",VLOOKUP(Tableau134[[#This Row],[Repère]],Tableau1[#All],7,FALSE))</f>
        <v/>
      </c>
      <c r="H74" s="13" t="str">
        <f>IF(Tableau134[[#This Row],[Repère]]="","",VLOOKUP(Tableau134[[#This Row],[Repère]],Tableau1[#All],8,FALSE))</f>
        <v/>
      </c>
      <c r="I74" s="13" t="str">
        <f>IF(Tableau134[[#This Row],[Repère]]="","",VLOOKUP(Tableau134[[#This Row],[Repère]],Tableau1[#All],9,FALSE))</f>
        <v/>
      </c>
      <c r="J74" s="13" t="str">
        <f>IF(Tableau134[[#This Row],[Repère]]="","",VLOOKUP(Tableau134[[#This Row],[Repère]],Tableau1[#All],10,FALSE))</f>
        <v/>
      </c>
      <c r="K74" s="13" t="str">
        <f>IF(Tableau134[[#This Row],[Repère]]="","",VLOOKUP(Tableau134[[#This Row],[Repère]],Tableau1[#All],11,FALSE))</f>
        <v/>
      </c>
      <c r="L74" s="14" t="str">
        <f>IF(Tableau134[[#This Row],[Repère]]="","",VLOOKUP(Tableau134[[#This Row],[Repère]],Tableau1[#All],12,FALSE))</f>
        <v/>
      </c>
    </row>
    <row r="75" spans="1:12" x14ac:dyDescent="0.3">
      <c r="A75" s="18"/>
      <c r="B75" s="19"/>
      <c r="C75" s="13" t="str">
        <f>IF(Tableau134[[#This Row],[Repère]]="","",VLOOKUP(Tableau134[[#This Row],[Repère]],Tableau1[#All],3,FALSE))</f>
        <v/>
      </c>
      <c r="D75" s="13" t="str">
        <f>IF(Tableau134[[#This Row],[Repère]]="","",VLOOKUP(Tableau134[[#This Row],[Repère]],Tableau1[#All],4,FALSE))</f>
        <v/>
      </c>
      <c r="E75" s="13" t="str">
        <f>IF(Tableau134[[#This Row],[Repère]]="","",VLOOKUP(Tableau134[[#This Row],[Repère]],Tableau1[#All],5,FALSE))</f>
        <v/>
      </c>
      <c r="F75" s="13" t="str">
        <f>IF(Tableau134[[#This Row],[Repère]]="","",VLOOKUP(Tableau134[[#This Row],[Repère]],Tableau1[#All],6,FALSE))</f>
        <v/>
      </c>
      <c r="G75" s="13" t="str">
        <f>IF(Tableau134[[#This Row],[Repère]]="","",VLOOKUP(Tableau134[[#This Row],[Repère]],Tableau1[#All],7,FALSE))</f>
        <v/>
      </c>
      <c r="H75" s="13" t="str">
        <f>IF(Tableau134[[#This Row],[Repère]]="","",VLOOKUP(Tableau134[[#This Row],[Repère]],Tableau1[#All],8,FALSE))</f>
        <v/>
      </c>
      <c r="I75" s="13" t="str">
        <f>IF(Tableau134[[#This Row],[Repère]]="","",VLOOKUP(Tableau134[[#This Row],[Repère]],Tableau1[#All],9,FALSE))</f>
        <v/>
      </c>
      <c r="J75" s="13" t="str">
        <f>IF(Tableau134[[#This Row],[Repère]]="","",VLOOKUP(Tableau134[[#This Row],[Repère]],Tableau1[#All],10,FALSE))</f>
        <v/>
      </c>
      <c r="K75" s="13" t="str">
        <f>IF(Tableau134[[#This Row],[Repère]]="","",VLOOKUP(Tableau134[[#This Row],[Repère]],Tableau1[#All],11,FALSE))</f>
        <v/>
      </c>
      <c r="L75" s="14" t="str">
        <f>IF(Tableau134[[#This Row],[Repère]]="","",VLOOKUP(Tableau134[[#This Row],[Repère]],Tableau1[#All],12,FALSE))</f>
        <v/>
      </c>
    </row>
    <row r="76" spans="1:12" x14ac:dyDescent="0.3">
      <c r="A76" s="18"/>
      <c r="B76" s="19"/>
      <c r="C76" s="13" t="str">
        <f>IF(Tableau134[[#This Row],[Repère]]="","",VLOOKUP(Tableau134[[#This Row],[Repère]],Tableau1[#All],3,FALSE))</f>
        <v/>
      </c>
      <c r="D76" s="13" t="str">
        <f>IF(Tableau134[[#This Row],[Repère]]="","",VLOOKUP(Tableau134[[#This Row],[Repère]],Tableau1[#All],4,FALSE))</f>
        <v/>
      </c>
      <c r="E76" s="13" t="str">
        <f>IF(Tableau134[[#This Row],[Repère]]="","",VLOOKUP(Tableau134[[#This Row],[Repère]],Tableau1[#All],5,FALSE))</f>
        <v/>
      </c>
      <c r="F76" s="13" t="str">
        <f>IF(Tableau134[[#This Row],[Repère]]="","",VLOOKUP(Tableau134[[#This Row],[Repère]],Tableau1[#All],6,FALSE))</f>
        <v/>
      </c>
      <c r="G76" s="13" t="str">
        <f>IF(Tableau134[[#This Row],[Repère]]="","",VLOOKUP(Tableau134[[#This Row],[Repère]],Tableau1[#All],7,FALSE))</f>
        <v/>
      </c>
      <c r="H76" s="13" t="str">
        <f>IF(Tableau134[[#This Row],[Repère]]="","",VLOOKUP(Tableau134[[#This Row],[Repère]],Tableau1[#All],8,FALSE))</f>
        <v/>
      </c>
      <c r="I76" s="13" t="str">
        <f>IF(Tableau134[[#This Row],[Repère]]="","",VLOOKUP(Tableau134[[#This Row],[Repère]],Tableau1[#All],9,FALSE))</f>
        <v/>
      </c>
      <c r="J76" s="13" t="str">
        <f>IF(Tableau134[[#This Row],[Repère]]="","",VLOOKUP(Tableau134[[#This Row],[Repère]],Tableau1[#All],10,FALSE))</f>
        <v/>
      </c>
      <c r="K76" s="13" t="str">
        <f>IF(Tableau134[[#This Row],[Repère]]="","",VLOOKUP(Tableau134[[#This Row],[Repère]],Tableau1[#All],11,FALSE))</f>
        <v/>
      </c>
      <c r="L76" s="14" t="str">
        <f>IF(Tableau134[[#This Row],[Repère]]="","",VLOOKUP(Tableau134[[#This Row],[Repère]],Tableau1[#All],12,FALSE))</f>
        <v/>
      </c>
    </row>
    <row r="77" spans="1:12" x14ac:dyDescent="0.3">
      <c r="A77" s="18"/>
      <c r="B77" s="19"/>
      <c r="C77" s="13" t="str">
        <f>IF(Tableau134[[#This Row],[Repère]]="","",VLOOKUP(Tableau134[[#This Row],[Repère]],Tableau1[#All],3,FALSE))</f>
        <v/>
      </c>
      <c r="D77" s="13" t="str">
        <f>IF(Tableau134[[#This Row],[Repère]]="","",VLOOKUP(Tableau134[[#This Row],[Repère]],Tableau1[#All],4,FALSE))</f>
        <v/>
      </c>
      <c r="E77" s="13" t="str">
        <f>IF(Tableau134[[#This Row],[Repère]]="","",VLOOKUP(Tableau134[[#This Row],[Repère]],Tableau1[#All],5,FALSE))</f>
        <v/>
      </c>
      <c r="F77" s="13" t="str">
        <f>IF(Tableau134[[#This Row],[Repère]]="","",VLOOKUP(Tableau134[[#This Row],[Repère]],Tableau1[#All],6,FALSE))</f>
        <v/>
      </c>
      <c r="G77" s="13" t="str">
        <f>IF(Tableau134[[#This Row],[Repère]]="","",VLOOKUP(Tableau134[[#This Row],[Repère]],Tableau1[#All],7,FALSE))</f>
        <v/>
      </c>
      <c r="H77" s="13" t="str">
        <f>IF(Tableau134[[#This Row],[Repère]]="","",VLOOKUP(Tableau134[[#This Row],[Repère]],Tableau1[#All],8,FALSE))</f>
        <v/>
      </c>
      <c r="I77" s="13" t="str">
        <f>IF(Tableau134[[#This Row],[Repère]]="","",VLOOKUP(Tableau134[[#This Row],[Repère]],Tableau1[#All],9,FALSE))</f>
        <v/>
      </c>
      <c r="J77" s="13" t="str">
        <f>IF(Tableau134[[#This Row],[Repère]]="","",VLOOKUP(Tableau134[[#This Row],[Repère]],Tableau1[#All],10,FALSE))</f>
        <v/>
      </c>
      <c r="K77" s="13" t="str">
        <f>IF(Tableau134[[#This Row],[Repère]]="","",VLOOKUP(Tableau134[[#This Row],[Repère]],Tableau1[#All],11,FALSE))</f>
        <v/>
      </c>
      <c r="L77" s="14" t="str">
        <f>IF(Tableau134[[#This Row],[Repère]]="","",VLOOKUP(Tableau134[[#This Row],[Repère]],Tableau1[#All],12,FALSE))</f>
        <v/>
      </c>
    </row>
    <row r="78" spans="1:12" x14ac:dyDescent="0.3">
      <c r="A78" s="18"/>
      <c r="B78" s="19"/>
      <c r="C78" s="13" t="str">
        <f>IF(Tableau134[[#This Row],[Repère]]="","",VLOOKUP(Tableau134[[#This Row],[Repère]],Tableau1[#All],3,FALSE))</f>
        <v/>
      </c>
      <c r="D78" s="13" t="str">
        <f>IF(Tableau134[[#This Row],[Repère]]="","",VLOOKUP(Tableau134[[#This Row],[Repère]],Tableau1[#All],4,FALSE))</f>
        <v/>
      </c>
      <c r="E78" s="13" t="str">
        <f>IF(Tableau134[[#This Row],[Repère]]="","",VLOOKUP(Tableau134[[#This Row],[Repère]],Tableau1[#All],5,FALSE))</f>
        <v/>
      </c>
      <c r="F78" s="13" t="str">
        <f>IF(Tableau134[[#This Row],[Repère]]="","",VLOOKUP(Tableau134[[#This Row],[Repère]],Tableau1[#All],6,FALSE))</f>
        <v/>
      </c>
      <c r="G78" s="13" t="str">
        <f>IF(Tableau134[[#This Row],[Repère]]="","",VLOOKUP(Tableau134[[#This Row],[Repère]],Tableau1[#All],7,FALSE))</f>
        <v/>
      </c>
      <c r="H78" s="13" t="str">
        <f>IF(Tableau134[[#This Row],[Repère]]="","",VLOOKUP(Tableau134[[#This Row],[Repère]],Tableau1[#All],8,FALSE))</f>
        <v/>
      </c>
      <c r="I78" s="13" t="str">
        <f>IF(Tableau134[[#This Row],[Repère]]="","",VLOOKUP(Tableau134[[#This Row],[Repère]],Tableau1[#All],9,FALSE))</f>
        <v/>
      </c>
      <c r="J78" s="13" t="str">
        <f>IF(Tableau134[[#This Row],[Repère]]="","",VLOOKUP(Tableau134[[#This Row],[Repère]],Tableau1[#All],10,FALSE))</f>
        <v/>
      </c>
      <c r="K78" s="13" t="str">
        <f>IF(Tableau134[[#This Row],[Repère]]="","",VLOOKUP(Tableau134[[#This Row],[Repère]],Tableau1[#All],11,FALSE))</f>
        <v/>
      </c>
      <c r="L78" s="14" t="str">
        <f>IF(Tableau134[[#This Row],[Repère]]="","",VLOOKUP(Tableau134[[#This Row],[Repère]],Tableau1[#All],12,FALSE))</f>
        <v/>
      </c>
    </row>
    <row r="79" spans="1:12" x14ac:dyDescent="0.3">
      <c r="A79" s="18"/>
      <c r="B79" s="19"/>
      <c r="C79" s="13" t="str">
        <f>IF(Tableau134[[#This Row],[Repère]]="","",VLOOKUP(Tableau134[[#This Row],[Repère]],Tableau1[#All],3,FALSE))</f>
        <v/>
      </c>
      <c r="D79" s="13" t="str">
        <f>IF(Tableau134[[#This Row],[Repère]]="","",VLOOKUP(Tableau134[[#This Row],[Repère]],Tableau1[#All],4,FALSE))</f>
        <v/>
      </c>
      <c r="E79" s="13" t="str">
        <f>IF(Tableau134[[#This Row],[Repère]]="","",VLOOKUP(Tableau134[[#This Row],[Repère]],Tableau1[#All],5,FALSE))</f>
        <v/>
      </c>
      <c r="F79" s="13" t="str">
        <f>IF(Tableau134[[#This Row],[Repère]]="","",VLOOKUP(Tableau134[[#This Row],[Repère]],Tableau1[#All],6,FALSE))</f>
        <v/>
      </c>
      <c r="G79" s="13" t="str">
        <f>IF(Tableau134[[#This Row],[Repère]]="","",VLOOKUP(Tableau134[[#This Row],[Repère]],Tableau1[#All],7,FALSE))</f>
        <v/>
      </c>
      <c r="H79" s="13" t="str">
        <f>IF(Tableau134[[#This Row],[Repère]]="","",VLOOKUP(Tableau134[[#This Row],[Repère]],Tableau1[#All],8,FALSE))</f>
        <v/>
      </c>
      <c r="I79" s="13" t="str">
        <f>IF(Tableau134[[#This Row],[Repère]]="","",VLOOKUP(Tableau134[[#This Row],[Repère]],Tableau1[#All],9,FALSE))</f>
        <v/>
      </c>
      <c r="J79" s="13" t="str">
        <f>IF(Tableau134[[#This Row],[Repère]]="","",VLOOKUP(Tableau134[[#This Row],[Repère]],Tableau1[#All],10,FALSE))</f>
        <v/>
      </c>
      <c r="K79" s="13" t="str">
        <f>IF(Tableau134[[#This Row],[Repère]]="","",VLOOKUP(Tableau134[[#This Row],[Repère]],Tableau1[#All],11,FALSE))</f>
        <v/>
      </c>
      <c r="L79" s="14" t="str">
        <f>IF(Tableau134[[#This Row],[Repère]]="","",VLOOKUP(Tableau134[[#This Row],[Repère]],Tableau1[#All],12,FALSE))</f>
        <v/>
      </c>
    </row>
    <row r="80" spans="1:12" x14ac:dyDescent="0.3">
      <c r="A80" s="18"/>
      <c r="B80" s="19"/>
      <c r="C80" s="13" t="str">
        <f>IF(Tableau134[[#This Row],[Repère]]="","",VLOOKUP(Tableau134[[#This Row],[Repère]],Tableau1[#All],3,FALSE))</f>
        <v/>
      </c>
      <c r="D80" s="13" t="str">
        <f>IF(Tableau134[[#This Row],[Repère]]="","",VLOOKUP(Tableau134[[#This Row],[Repère]],Tableau1[#All],4,FALSE))</f>
        <v/>
      </c>
      <c r="E80" s="13" t="str">
        <f>IF(Tableau134[[#This Row],[Repère]]="","",VLOOKUP(Tableau134[[#This Row],[Repère]],Tableau1[#All],5,FALSE))</f>
        <v/>
      </c>
      <c r="F80" s="13" t="str">
        <f>IF(Tableau134[[#This Row],[Repère]]="","",VLOOKUP(Tableau134[[#This Row],[Repère]],Tableau1[#All],6,FALSE))</f>
        <v/>
      </c>
      <c r="G80" s="13" t="str">
        <f>IF(Tableau134[[#This Row],[Repère]]="","",VLOOKUP(Tableau134[[#This Row],[Repère]],Tableau1[#All],7,FALSE))</f>
        <v/>
      </c>
      <c r="H80" s="13" t="str">
        <f>IF(Tableau134[[#This Row],[Repère]]="","",VLOOKUP(Tableau134[[#This Row],[Repère]],Tableau1[#All],8,FALSE))</f>
        <v/>
      </c>
      <c r="I80" s="13" t="str">
        <f>IF(Tableau134[[#This Row],[Repère]]="","",VLOOKUP(Tableau134[[#This Row],[Repère]],Tableau1[#All],9,FALSE))</f>
        <v/>
      </c>
      <c r="J80" s="13" t="str">
        <f>IF(Tableau134[[#This Row],[Repère]]="","",VLOOKUP(Tableau134[[#This Row],[Repère]],Tableau1[#All],10,FALSE))</f>
        <v/>
      </c>
      <c r="K80" s="13" t="str">
        <f>IF(Tableau134[[#This Row],[Repère]]="","",VLOOKUP(Tableau134[[#This Row],[Repère]],Tableau1[#All],11,FALSE))</f>
        <v/>
      </c>
      <c r="L80" s="14" t="str">
        <f>IF(Tableau134[[#This Row],[Repère]]="","",VLOOKUP(Tableau134[[#This Row],[Repère]],Tableau1[#All],12,FALSE))</f>
        <v/>
      </c>
    </row>
    <row r="81" spans="1:12" x14ac:dyDescent="0.3">
      <c r="A81" s="18"/>
      <c r="B81" s="19"/>
      <c r="C81" s="13" t="str">
        <f>IF(Tableau134[[#This Row],[Repère]]="","",VLOOKUP(Tableau134[[#This Row],[Repère]],Tableau1[#All],3,FALSE))</f>
        <v/>
      </c>
      <c r="D81" s="13" t="str">
        <f>IF(Tableau134[[#This Row],[Repère]]="","",VLOOKUP(Tableau134[[#This Row],[Repère]],Tableau1[#All],4,FALSE))</f>
        <v/>
      </c>
      <c r="E81" s="13" t="str">
        <f>IF(Tableau134[[#This Row],[Repère]]="","",VLOOKUP(Tableau134[[#This Row],[Repère]],Tableau1[#All],5,FALSE))</f>
        <v/>
      </c>
      <c r="F81" s="13" t="str">
        <f>IF(Tableau134[[#This Row],[Repère]]="","",VLOOKUP(Tableau134[[#This Row],[Repère]],Tableau1[#All],6,FALSE))</f>
        <v/>
      </c>
      <c r="G81" s="13" t="str">
        <f>IF(Tableau134[[#This Row],[Repère]]="","",VLOOKUP(Tableau134[[#This Row],[Repère]],Tableau1[#All],7,FALSE))</f>
        <v/>
      </c>
      <c r="H81" s="13" t="str">
        <f>IF(Tableau134[[#This Row],[Repère]]="","",VLOOKUP(Tableau134[[#This Row],[Repère]],Tableau1[#All],8,FALSE))</f>
        <v/>
      </c>
      <c r="I81" s="13" t="str">
        <f>IF(Tableau134[[#This Row],[Repère]]="","",VLOOKUP(Tableau134[[#This Row],[Repère]],Tableau1[#All],9,FALSE))</f>
        <v/>
      </c>
      <c r="J81" s="13" t="str">
        <f>IF(Tableau134[[#This Row],[Repère]]="","",VLOOKUP(Tableau134[[#This Row],[Repère]],Tableau1[#All],10,FALSE))</f>
        <v/>
      </c>
      <c r="K81" s="13" t="str">
        <f>IF(Tableau134[[#This Row],[Repère]]="","",VLOOKUP(Tableau134[[#This Row],[Repère]],Tableau1[#All],11,FALSE))</f>
        <v/>
      </c>
      <c r="L81" s="14" t="str">
        <f>IF(Tableau134[[#This Row],[Repère]]="","",VLOOKUP(Tableau134[[#This Row],[Repère]],Tableau1[#All],12,FALSE))</f>
        <v/>
      </c>
    </row>
    <row r="82" spans="1:12" x14ac:dyDescent="0.3">
      <c r="A82" s="18"/>
      <c r="B82" s="19"/>
      <c r="C82" s="13" t="str">
        <f>IF(Tableau134[[#This Row],[Repère]]="","",VLOOKUP(Tableau134[[#This Row],[Repère]],Tableau1[#All],3,FALSE))</f>
        <v/>
      </c>
      <c r="D82" s="13" t="str">
        <f>IF(Tableau134[[#This Row],[Repère]]="","",VLOOKUP(Tableau134[[#This Row],[Repère]],Tableau1[#All],4,FALSE))</f>
        <v/>
      </c>
      <c r="E82" s="13" t="str">
        <f>IF(Tableau134[[#This Row],[Repère]]="","",VLOOKUP(Tableau134[[#This Row],[Repère]],Tableau1[#All],5,FALSE))</f>
        <v/>
      </c>
      <c r="F82" s="13" t="str">
        <f>IF(Tableau134[[#This Row],[Repère]]="","",VLOOKUP(Tableau134[[#This Row],[Repère]],Tableau1[#All],6,FALSE))</f>
        <v/>
      </c>
      <c r="G82" s="13" t="str">
        <f>IF(Tableau134[[#This Row],[Repère]]="","",VLOOKUP(Tableau134[[#This Row],[Repère]],Tableau1[#All],7,FALSE))</f>
        <v/>
      </c>
      <c r="H82" s="13" t="str">
        <f>IF(Tableau134[[#This Row],[Repère]]="","",VLOOKUP(Tableau134[[#This Row],[Repère]],Tableau1[#All],8,FALSE))</f>
        <v/>
      </c>
      <c r="I82" s="13" t="str">
        <f>IF(Tableau134[[#This Row],[Repère]]="","",VLOOKUP(Tableau134[[#This Row],[Repère]],Tableau1[#All],9,FALSE))</f>
        <v/>
      </c>
      <c r="J82" s="13" t="str">
        <f>IF(Tableau134[[#This Row],[Repère]]="","",VLOOKUP(Tableau134[[#This Row],[Repère]],Tableau1[#All],10,FALSE))</f>
        <v/>
      </c>
      <c r="K82" s="13" t="str">
        <f>IF(Tableau134[[#This Row],[Repère]]="","",VLOOKUP(Tableau134[[#This Row],[Repère]],Tableau1[#All],11,FALSE))</f>
        <v/>
      </c>
      <c r="L82" s="14" t="str">
        <f>IF(Tableau134[[#This Row],[Repère]]="","",VLOOKUP(Tableau134[[#This Row],[Repère]],Tableau1[#All],12,FALSE))</f>
        <v/>
      </c>
    </row>
    <row r="83" spans="1:12" x14ac:dyDescent="0.3">
      <c r="A83" s="18"/>
      <c r="B83" s="19"/>
      <c r="C83" s="13" t="str">
        <f>IF(Tableau134[[#This Row],[Repère]]="","",VLOOKUP(Tableau134[[#This Row],[Repère]],Tableau1[#All],3,FALSE))</f>
        <v/>
      </c>
      <c r="D83" s="13" t="str">
        <f>IF(Tableau134[[#This Row],[Repère]]="","",VLOOKUP(Tableau134[[#This Row],[Repère]],Tableau1[#All],4,FALSE))</f>
        <v/>
      </c>
      <c r="E83" s="13" t="str">
        <f>IF(Tableau134[[#This Row],[Repère]]="","",VLOOKUP(Tableau134[[#This Row],[Repère]],Tableau1[#All],5,FALSE))</f>
        <v/>
      </c>
      <c r="F83" s="13" t="str">
        <f>IF(Tableau134[[#This Row],[Repère]]="","",VLOOKUP(Tableau134[[#This Row],[Repère]],Tableau1[#All],6,FALSE))</f>
        <v/>
      </c>
      <c r="G83" s="13" t="str">
        <f>IF(Tableau134[[#This Row],[Repère]]="","",VLOOKUP(Tableau134[[#This Row],[Repère]],Tableau1[#All],7,FALSE))</f>
        <v/>
      </c>
      <c r="H83" s="13" t="str">
        <f>IF(Tableau134[[#This Row],[Repère]]="","",VLOOKUP(Tableau134[[#This Row],[Repère]],Tableau1[#All],8,FALSE))</f>
        <v/>
      </c>
      <c r="I83" s="13" t="str">
        <f>IF(Tableau134[[#This Row],[Repère]]="","",VLOOKUP(Tableau134[[#This Row],[Repère]],Tableau1[#All],9,FALSE))</f>
        <v/>
      </c>
      <c r="J83" s="13" t="str">
        <f>IF(Tableau134[[#This Row],[Repère]]="","",VLOOKUP(Tableau134[[#This Row],[Repère]],Tableau1[#All],10,FALSE))</f>
        <v/>
      </c>
      <c r="K83" s="13" t="str">
        <f>IF(Tableau134[[#This Row],[Repère]]="","",VLOOKUP(Tableau134[[#This Row],[Repère]],Tableau1[#All],11,FALSE))</f>
        <v/>
      </c>
      <c r="L83" s="14" t="str">
        <f>IF(Tableau134[[#This Row],[Repère]]="","",VLOOKUP(Tableau134[[#This Row],[Repère]],Tableau1[#All],12,FALSE))</f>
        <v/>
      </c>
    </row>
    <row r="84" spans="1:12" x14ac:dyDescent="0.3">
      <c r="A84" s="18"/>
      <c r="B84" s="19"/>
      <c r="C84" s="13" t="str">
        <f>IF(Tableau134[[#This Row],[Repère]]="","",VLOOKUP(Tableau134[[#This Row],[Repère]],Tableau1[#All],3,FALSE))</f>
        <v/>
      </c>
      <c r="D84" s="13" t="str">
        <f>IF(Tableau134[[#This Row],[Repère]]="","",VLOOKUP(Tableau134[[#This Row],[Repère]],Tableau1[#All],4,FALSE))</f>
        <v/>
      </c>
      <c r="E84" s="13" t="str">
        <f>IF(Tableau134[[#This Row],[Repère]]="","",VLOOKUP(Tableau134[[#This Row],[Repère]],Tableau1[#All],5,FALSE))</f>
        <v/>
      </c>
      <c r="F84" s="13" t="str">
        <f>IF(Tableau134[[#This Row],[Repère]]="","",VLOOKUP(Tableau134[[#This Row],[Repère]],Tableau1[#All],6,FALSE))</f>
        <v/>
      </c>
      <c r="G84" s="13" t="str">
        <f>IF(Tableau134[[#This Row],[Repère]]="","",VLOOKUP(Tableau134[[#This Row],[Repère]],Tableau1[#All],7,FALSE))</f>
        <v/>
      </c>
      <c r="H84" s="13" t="str">
        <f>IF(Tableau134[[#This Row],[Repère]]="","",VLOOKUP(Tableau134[[#This Row],[Repère]],Tableau1[#All],8,FALSE))</f>
        <v/>
      </c>
      <c r="I84" s="13" t="str">
        <f>IF(Tableau134[[#This Row],[Repère]]="","",VLOOKUP(Tableau134[[#This Row],[Repère]],Tableau1[#All],9,FALSE))</f>
        <v/>
      </c>
      <c r="J84" s="13" t="str">
        <f>IF(Tableau134[[#This Row],[Repère]]="","",VLOOKUP(Tableau134[[#This Row],[Repère]],Tableau1[#All],10,FALSE))</f>
        <v/>
      </c>
      <c r="K84" s="13" t="str">
        <f>IF(Tableau134[[#This Row],[Repère]]="","",VLOOKUP(Tableau134[[#This Row],[Repère]],Tableau1[#All],11,FALSE))</f>
        <v/>
      </c>
      <c r="L84" s="14" t="str">
        <f>IF(Tableau134[[#This Row],[Repère]]="","",VLOOKUP(Tableau134[[#This Row],[Repère]],Tableau1[#All],12,FALSE))</f>
        <v/>
      </c>
    </row>
    <row r="85" spans="1:12" x14ac:dyDescent="0.3">
      <c r="A85" s="18"/>
      <c r="B85" s="19"/>
      <c r="C85" s="13" t="str">
        <f>IF(Tableau134[[#This Row],[Repère]]="","",VLOOKUP(Tableau134[[#This Row],[Repère]],Tableau1[#All],3,FALSE))</f>
        <v/>
      </c>
      <c r="D85" s="13" t="str">
        <f>IF(Tableau134[[#This Row],[Repère]]="","",VLOOKUP(Tableau134[[#This Row],[Repère]],Tableau1[#All],4,FALSE))</f>
        <v/>
      </c>
      <c r="E85" s="13" t="str">
        <f>IF(Tableau134[[#This Row],[Repère]]="","",VLOOKUP(Tableau134[[#This Row],[Repère]],Tableau1[#All],5,FALSE))</f>
        <v/>
      </c>
      <c r="F85" s="13" t="str">
        <f>IF(Tableau134[[#This Row],[Repère]]="","",VLOOKUP(Tableau134[[#This Row],[Repère]],Tableau1[#All],6,FALSE))</f>
        <v/>
      </c>
      <c r="G85" s="13" t="str">
        <f>IF(Tableau134[[#This Row],[Repère]]="","",VLOOKUP(Tableau134[[#This Row],[Repère]],Tableau1[#All],7,FALSE))</f>
        <v/>
      </c>
      <c r="H85" s="13" t="str">
        <f>IF(Tableau134[[#This Row],[Repère]]="","",VLOOKUP(Tableau134[[#This Row],[Repère]],Tableau1[#All],8,FALSE))</f>
        <v/>
      </c>
      <c r="I85" s="13" t="str">
        <f>IF(Tableau134[[#This Row],[Repère]]="","",VLOOKUP(Tableau134[[#This Row],[Repère]],Tableau1[#All],9,FALSE))</f>
        <v/>
      </c>
      <c r="J85" s="13" t="str">
        <f>IF(Tableau134[[#This Row],[Repère]]="","",VLOOKUP(Tableau134[[#This Row],[Repère]],Tableau1[#All],10,FALSE))</f>
        <v/>
      </c>
      <c r="K85" s="13" t="str">
        <f>IF(Tableau134[[#This Row],[Repère]]="","",VLOOKUP(Tableau134[[#This Row],[Repère]],Tableau1[#All],11,FALSE))</f>
        <v/>
      </c>
      <c r="L85" s="14" t="str">
        <f>IF(Tableau134[[#This Row],[Repère]]="","",VLOOKUP(Tableau134[[#This Row],[Repère]],Tableau1[#All],12,FALSE))</f>
        <v/>
      </c>
    </row>
    <row r="86" spans="1:12" x14ac:dyDescent="0.3">
      <c r="A86" s="18"/>
      <c r="B86" s="19"/>
      <c r="C86" s="13" t="str">
        <f>IF(Tableau134[[#This Row],[Repère]]="","",VLOOKUP(Tableau134[[#This Row],[Repère]],Tableau1[#All],3,FALSE))</f>
        <v/>
      </c>
      <c r="D86" s="13" t="str">
        <f>IF(Tableau134[[#This Row],[Repère]]="","",VLOOKUP(Tableau134[[#This Row],[Repère]],Tableau1[#All],4,FALSE))</f>
        <v/>
      </c>
      <c r="E86" s="13" t="str">
        <f>IF(Tableau134[[#This Row],[Repère]]="","",VLOOKUP(Tableau134[[#This Row],[Repère]],Tableau1[#All],5,FALSE))</f>
        <v/>
      </c>
      <c r="F86" s="13" t="str">
        <f>IF(Tableau134[[#This Row],[Repère]]="","",VLOOKUP(Tableau134[[#This Row],[Repère]],Tableau1[#All],6,FALSE))</f>
        <v/>
      </c>
      <c r="G86" s="13" t="str">
        <f>IF(Tableau134[[#This Row],[Repère]]="","",VLOOKUP(Tableau134[[#This Row],[Repère]],Tableau1[#All],7,FALSE))</f>
        <v/>
      </c>
      <c r="H86" s="13" t="str">
        <f>IF(Tableau134[[#This Row],[Repère]]="","",VLOOKUP(Tableau134[[#This Row],[Repère]],Tableau1[#All],8,FALSE))</f>
        <v/>
      </c>
      <c r="I86" s="13" t="str">
        <f>IF(Tableau134[[#This Row],[Repère]]="","",VLOOKUP(Tableau134[[#This Row],[Repère]],Tableau1[#All],9,FALSE))</f>
        <v/>
      </c>
      <c r="J86" s="13" t="str">
        <f>IF(Tableau134[[#This Row],[Repère]]="","",VLOOKUP(Tableau134[[#This Row],[Repère]],Tableau1[#All],10,FALSE))</f>
        <v/>
      </c>
      <c r="K86" s="13" t="str">
        <f>IF(Tableau134[[#This Row],[Repère]]="","",VLOOKUP(Tableau134[[#This Row],[Repère]],Tableau1[#All],11,FALSE))</f>
        <v/>
      </c>
      <c r="L86" s="14" t="str">
        <f>IF(Tableau134[[#This Row],[Repère]]="","",VLOOKUP(Tableau134[[#This Row],[Repère]],Tableau1[#All],12,FALSE))</f>
        <v/>
      </c>
    </row>
    <row r="87" spans="1:12" x14ac:dyDescent="0.3">
      <c r="A87" s="18"/>
      <c r="B87" s="19"/>
      <c r="C87" s="13" t="str">
        <f>IF(Tableau134[[#This Row],[Repère]]="","",VLOOKUP(Tableau134[[#This Row],[Repère]],Tableau1[#All],3,FALSE))</f>
        <v/>
      </c>
      <c r="D87" s="13" t="str">
        <f>IF(Tableau134[[#This Row],[Repère]]="","",VLOOKUP(Tableau134[[#This Row],[Repère]],Tableau1[#All],4,FALSE))</f>
        <v/>
      </c>
      <c r="E87" s="13" t="str">
        <f>IF(Tableau134[[#This Row],[Repère]]="","",VLOOKUP(Tableau134[[#This Row],[Repère]],Tableau1[#All],5,FALSE))</f>
        <v/>
      </c>
      <c r="F87" s="13" t="str">
        <f>IF(Tableau134[[#This Row],[Repère]]="","",VLOOKUP(Tableau134[[#This Row],[Repère]],Tableau1[#All],6,FALSE))</f>
        <v/>
      </c>
      <c r="G87" s="13" t="str">
        <f>IF(Tableau134[[#This Row],[Repère]]="","",VLOOKUP(Tableau134[[#This Row],[Repère]],Tableau1[#All],7,FALSE))</f>
        <v/>
      </c>
      <c r="H87" s="13" t="str">
        <f>IF(Tableau134[[#This Row],[Repère]]="","",VLOOKUP(Tableau134[[#This Row],[Repère]],Tableau1[#All],8,FALSE))</f>
        <v/>
      </c>
      <c r="I87" s="13" t="str">
        <f>IF(Tableau134[[#This Row],[Repère]]="","",VLOOKUP(Tableau134[[#This Row],[Repère]],Tableau1[#All],9,FALSE))</f>
        <v/>
      </c>
      <c r="J87" s="13" t="str">
        <f>IF(Tableau134[[#This Row],[Repère]]="","",VLOOKUP(Tableau134[[#This Row],[Repère]],Tableau1[#All],10,FALSE))</f>
        <v/>
      </c>
      <c r="K87" s="13" t="str">
        <f>IF(Tableau134[[#This Row],[Repère]]="","",VLOOKUP(Tableau134[[#This Row],[Repère]],Tableau1[#All],11,FALSE))</f>
        <v/>
      </c>
      <c r="L87" s="14" t="str">
        <f>IF(Tableau134[[#This Row],[Repère]]="","",VLOOKUP(Tableau134[[#This Row],[Repère]],Tableau1[#All],12,FALSE))</f>
        <v/>
      </c>
    </row>
    <row r="88" spans="1:12" x14ac:dyDescent="0.3">
      <c r="A88" s="18"/>
      <c r="B88" s="19"/>
      <c r="C88" s="13" t="str">
        <f>IF(Tableau134[[#This Row],[Repère]]="","",VLOOKUP(Tableau134[[#This Row],[Repère]],Tableau1[#All],3,FALSE))</f>
        <v/>
      </c>
      <c r="D88" s="13" t="str">
        <f>IF(Tableau134[[#This Row],[Repère]]="","",VLOOKUP(Tableau134[[#This Row],[Repère]],Tableau1[#All],4,FALSE))</f>
        <v/>
      </c>
      <c r="E88" s="13" t="str">
        <f>IF(Tableau134[[#This Row],[Repère]]="","",VLOOKUP(Tableau134[[#This Row],[Repère]],Tableau1[#All],5,FALSE))</f>
        <v/>
      </c>
      <c r="F88" s="13" t="str">
        <f>IF(Tableau134[[#This Row],[Repère]]="","",VLOOKUP(Tableau134[[#This Row],[Repère]],Tableau1[#All],6,FALSE))</f>
        <v/>
      </c>
      <c r="G88" s="13" t="str">
        <f>IF(Tableau134[[#This Row],[Repère]]="","",VLOOKUP(Tableau134[[#This Row],[Repère]],Tableau1[#All],7,FALSE))</f>
        <v/>
      </c>
      <c r="H88" s="13" t="str">
        <f>IF(Tableau134[[#This Row],[Repère]]="","",VLOOKUP(Tableau134[[#This Row],[Repère]],Tableau1[#All],8,FALSE))</f>
        <v/>
      </c>
      <c r="I88" s="13" t="str">
        <f>IF(Tableau134[[#This Row],[Repère]]="","",VLOOKUP(Tableau134[[#This Row],[Repère]],Tableau1[#All],9,FALSE))</f>
        <v/>
      </c>
      <c r="J88" s="13" t="str">
        <f>IF(Tableau134[[#This Row],[Repère]]="","",VLOOKUP(Tableau134[[#This Row],[Repère]],Tableau1[#All],10,FALSE))</f>
        <v/>
      </c>
      <c r="K88" s="13" t="str">
        <f>IF(Tableau134[[#This Row],[Repère]]="","",VLOOKUP(Tableau134[[#This Row],[Repère]],Tableau1[#All],11,FALSE))</f>
        <v/>
      </c>
      <c r="L88" s="14" t="str">
        <f>IF(Tableau134[[#This Row],[Repère]]="","",VLOOKUP(Tableau134[[#This Row],[Repère]],Tableau1[#All],12,FALSE))</f>
        <v/>
      </c>
    </row>
    <row r="89" spans="1:12" x14ac:dyDescent="0.3">
      <c r="A89" s="18"/>
      <c r="B89" s="19"/>
      <c r="C89" s="13" t="str">
        <f>IF(Tableau134[[#This Row],[Repère]]="","",VLOOKUP(Tableau134[[#This Row],[Repère]],Tableau1[#All],3,FALSE))</f>
        <v/>
      </c>
      <c r="D89" s="13" t="str">
        <f>IF(Tableau134[[#This Row],[Repère]]="","",VLOOKUP(Tableau134[[#This Row],[Repère]],Tableau1[#All],4,FALSE))</f>
        <v/>
      </c>
      <c r="E89" s="13" t="str">
        <f>IF(Tableau134[[#This Row],[Repère]]="","",VLOOKUP(Tableau134[[#This Row],[Repère]],Tableau1[#All],5,FALSE))</f>
        <v/>
      </c>
      <c r="F89" s="13" t="str">
        <f>IF(Tableau134[[#This Row],[Repère]]="","",VLOOKUP(Tableau134[[#This Row],[Repère]],Tableau1[#All],6,FALSE))</f>
        <v/>
      </c>
      <c r="G89" s="13" t="str">
        <f>IF(Tableau134[[#This Row],[Repère]]="","",VLOOKUP(Tableau134[[#This Row],[Repère]],Tableau1[#All],7,FALSE))</f>
        <v/>
      </c>
      <c r="H89" s="13" t="str">
        <f>IF(Tableau134[[#This Row],[Repère]]="","",VLOOKUP(Tableau134[[#This Row],[Repère]],Tableau1[#All],8,FALSE))</f>
        <v/>
      </c>
      <c r="I89" s="13" t="str">
        <f>IF(Tableau134[[#This Row],[Repère]]="","",VLOOKUP(Tableau134[[#This Row],[Repère]],Tableau1[#All],9,FALSE))</f>
        <v/>
      </c>
      <c r="J89" s="13" t="str">
        <f>IF(Tableau134[[#This Row],[Repère]]="","",VLOOKUP(Tableau134[[#This Row],[Repère]],Tableau1[#All],10,FALSE))</f>
        <v/>
      </c>
      <c r="K89" s="13" t="str">
        <f>IF(Tableau134[[#This Row],[Repère]]="","",VLOOKUP(Tableau134[[#This Row],[Repère]],Tableau1[#All],11,FALSE))</f>
        <v/>
      </c>
      <c r="L89" s="14" t="str">
        <f>IF(Tableau134[[#This Row],[Repère]]="","",VLOOKUP(Tableau134[[#This Row],[Repère]],Tableau1[#All],12,FALSE))</f>
        <v/>
      </c>
    </row>
    <row r="90" spans="1:12" x14ac:dyDescent="0.3">
      <c r="A90" s="18"/>
      <c r="B90" s="19"/>
      <c r="C90" s="13" t="str">
        <f>IF(Tableau134[[#This Row],[Repère]]="","",VLOOKUP(Tableau134[[#This Row],[Repère]],Tableau1[#All],3,FALSE))</f>
        <v/>
      </c>
      <c r="D90" s="13" t="str">
        <f>IF(Tableau134[[#This Row],[Repère]]="","",VLOOKUP(Tableau134[[#This Row],[Repère]],Tableau1[#All],4,FALSE))</f>
        <v/>
      </c>
      <c r="E90" s="13" t="str">
        <f>IF(Tableau134[[#This Row],[Repère]]="","",VLOOKUP(Tableau134[[#This Row],[Repère]],Tableau1[#All],5,FALSE))</f>
        <v/>
      </c>
      <c r="F90" s="13" t="str">
        <f>IF(Tableau134[[#This Row],[Repère]]="","",VLOOKUP(Tableau134[[#This Row],[Repère]],Tableau1[#All],6,FALSE))</f>
        <v/>
      </c>
      <c r="G90" s="13" t="str">
        <f>IF(Tableau134[[#This Row],[Repère]]="","",VLOOKUP(Tableau134[[#This Row],[Repère]],Tableau1[#All],7,FALSE))</f>
        <v/>
      </c>
      <c r="H90" s="13" t="str">
        <f>IF(Tableau134[[#This Row],[Repère]]="","",VLOOKUP(Tableau134[[#This Row],[Repère]],Tableau1[#All],8,FALSE))</f>
        <v/>
      </c>
      <c r="I90" s="13" t="str">
        <f>IF(Tableau134[[#This Row],[Repère]]="","",VLOOKUP(Tableau134[[#This Row],[Repère]],Tableau1[#All],9,FALSE))</f>
        <v/>
      </c>
      <c r="J90" s="13" t="str">
        <f>IF(Tableau134[[#This Row],[Repère]]="","",VLOOKUP(Tableau134[[#This Row],[Repère]],Tableau1[#All],10,FALSE))</f>
        <v/>
      </c>
      <c r="K90" s="13" t="str">
        <f>IF(Tableau134[[#This Row],[Repère]]="","",VLOOKUP(Tableau134[[#This Row],[Repère]],Tableau1[#All],11,FALSE))</f>
        <v/>
      </c>
      <c r="L90" s="14" t="str">
        <f>IF(Tableau134[[#This Row],[Repère]]="","",VLOOKUP(Tableau134[[#This Row],[Repère]],Tableau1[#All],12,FALSE))</f>
        <v/>
      </c>
    </row>
    <row r="91" spans="1:12" x14ac:dyDescent="0.3">
      <c r="A91" s="18"/>
      <c r="B91" s="19"/>
      <c r="C91" s="13" t="str">
        <f>IF(Tableau134[[#This Row],[Repère]]="","",VLOOKUP(Tableau134[[#This Row],[Repère]],Tableau1[#All],3,FALSE))</f>
        <v/>
      </c>
      <c r="D91" s="13" t="str">
        <f>IF(Tableau134[[#This Row],[Repère]]="","",VLOOKUP(Tableau134[[#This Row],[Repère]],Tableau1[#All],4,FALSE))</f>
        <v/>
      </c>
      <c r="E91" s="13" t="str">
        <f>IF(Tableau134[[#This Row],[Repère]]="","",VLOOKUP(Tableau134[[#This Row],[Repère]],Tableau1[#All],5,FALSE))</f>
        <v/>
      </c>
      <c r="F91" s="13" t="str">
        <f>IF(Tableau134[[#This Row],[Repère]]="","",VLOOKUP(Tableau134[[#This Row],[Repère]],Tableau1[#All],6,FALSE))</f>
        <v/>
      </c>
      <c r="G91" s="13" t="str">
        <f>IF(Tableau134[[#This Row],[Repère]]="","",VLOOKUP(Tableau134[[#This Row],[Repère]],Tableau1[#All],7,FALSE))</f>
        <v/>
      </c>
      <c r="H91" s="13" t="str">
        <f>IF(Tableau134[[#This Row],[Repère]]="","",VLOOKUP(Tableau134[[#This Row],[Repère]],Tableau1[#All],8,FALSE))</f>
        <v/>
      </c>
      <c r="I91" s="13" t="str">
        <f>IF(Tableau134[[#This Row],[Repère]]="","",VLOOKUP(Tableau134[[#This Row],[Repère]],Tableau1[#All],9,FALSE))</f>
        <v/>
      </c>
      <c r="J91" s="13" t="str">
        <f>IF(Tableau134[[#This Row],[Repère]]="","",VLOOKUP(Tableau134[[#This Row],[Repère]],Tableau1[#All],10,FALSE))</f>
        <v/>
      </c>
      <c r="K91" s="13" t="str">
        <f>IF(Tableau134[[#This Row],[Repère]]="","",VLOOKUP(Tableau134[[#This Row],[Repère]],Tableau1[#All],11,FALSE))</f>
        <v/>
      </c>
      <c r="L91" s="14" t="str">
        <f>IF(Tableau134[[#This Row],[Repère]]="","",VLOOKUP(Tableau134[[#This Row],[Repère]],Tableau1[#All],12,FALSE))</f>
        <v/>
      </c>
    </row>
    <row r="92" spans="1:12" x14ac:dyDescent="0.3">
      <c r="A92" s="18"/>
      <c r="B92" s="19"/>
      <c r="C92" s="13" t="str">
        <f>IF(Tableau134[[#This Row],[Repère]]="","",VLOOKUP(Tableau134[[#This Row],[Repère]],Tableau1[#All],3,FALSE))</f>
        <v/>
      </c>
      <c r="D92" s="13" t="str">
        <f>IF(Tableau134[[#This Row],[Repère]]="","",VLOOKUP(Tableau134[[#This Row],[Repère]],Tableau1[#All],4,FALSE))</f>
        <v/>
      </c>
      <c r="E92" s="13" t="str">
        <f>IF(Tableau134[[#This Row],[Repère]]="","",VLOOKUP(Tableau134[[#This Row],[Repère]],Tableau1[#All],5,FALSE))</f>
        <v/>
      </c>
      <c r="F92" s="13" t="str">
        <f>IF(Tableau134[[#This Row],[Repère]]="","",VLOOKUP(Tableau134[[#This Row],[Repère]],Tableau1[#All],6,FALSE))</f>
        <v/>
      </c>
      <c r="G92" s="13" t="str">
        <f>IF(Tableau134[[#This Row],[Repère]]="","",VLOOKUP(Tableau134[[#This Row],[Repère]],Tableau1[#All],7,FALSE))</f>
        <v/>
      </c>
      <c r="H92" s="13" t="str">
        <f>IF(Tableau134[[#This Row],[Repère]]="","",VLOOKUP(Tableau134[[#This Row],[Repère]],Tableau1[#All],8,FALSE))</f>
        <v/>
      </c>
      <c r="I92" s="13" t="str">
        <f>IF(Tableau134[[#This Row],[Repère]]="","",VLOOKUP(Tableau134[[#This Row],[Repère]],Tableau1[#All],9,FALSE))</f>
        <v/>
      </c>
      <c r="J92" s="13" t="str">
        <f>IF(Tableau134[[#This Row],[Repère]]="","",VLOOKUP(Tableau134[[#This Row],[Repère]],Tableau1[#All],10,FALSE))</f>
        <v/>
      </c>
      <c r="K92" s="13" t="str">
        <f>IF(Tableau134[[#This Row],[Repère]]="","",VLOOKUP(Tableau134[[#This Row],[Repère]],Tableau1[#All],11,FALSE))</f>
        <v/>
      </c>
      <c r="L92" s="14" t="str">
        <f>IF(Tableau134[[#This Row],[Repère]]="","",VLOOKUP(Tableau134[[#This Row],[Repère]],Tableau1[#All],12,FALSE))</f>
        <v/>
      </c>
    </row>
    <row r="93" spans="1:12" x14ac:dyDescent="0.3">
      <c r="A93" s="18"/>
      <c r="B93" s="19"/>
      <c r="C93" s="13" t="str">
        <f>IF(Tableau134[[#This Row],[Repère]]="","",VLOOKUP(Tableau134[[#This Row],[Repère]],Tableau1[#All],3,FALSE))</f>
        <v/>
      </c>
      <c r="D93" s="13" t="str">
        <f>IF(Tableau134[[#This Row],[Repère]]="","",VLOOKUP(Tableau134[[#This Row],[Repère]],Tableau1[#All],4,FALSE))</f>
        <v/>
      </c>
      <c r="E93" s="13" t="str">
        <f>IF(Tableau134[[#This Row],[Repère]]="","",VLOOKUP(Tableau134[[#This Row],[Repère]],Tableau1[#All],5,FALSE))</f>
        <v/>
      </c>
      <c r="F93" s="13" t="str">
        <f>IF(Tableau134[[#This Row],[Repère]]="","",VLOOKUP(Tableau134[[#This Row],[Repère]],Tableau1[#All],6,FALSE))</f>
        <v/>
      </c>
      <c r="G93" s="13" t="str">
        <f>IF(Tableau134[[#This Row],[Repère]]="","",VLOOKUP(Tableau134[[#This Row],[Repère]],Tableau1[#All],7,FALSE))</f>
        <v/>
      </c>
      <c r="H93" s="13" t="str">
        <f>IF(Tableau134[[#This Row],[Repère]]="","",VLOOKUP(Tableau134[[#This Row],[Repère]],Tableau1[#All],8,FALSE))</f>
        <v/>
      </c>
      <c r="I93" s="13" t="str">
        <f>IF(Tableau134[[#This Row],[Repère]]="","",VLOOKUP(Tableau134[[#This Row],[Repère]],Tableau1[#All],9,FALSE))</f>
        <v/>
      </c>
      <c r="J93" s="13" t="str">
        <f>IF(Tableau134[[#This Row],[Repère]]="","",VLOOKUP(Tableau134[[#This Row],[Repère]],Tableau1[#All],10,FALSE))</f>
        <v/>
      </c>
      <c r="K93" s="13" t="str">
        <f>IF(Tableau134[[#This Row],[Repère]]="","",VLOOKUP(Tableau134[[#This Row],[Repère]],Tableau1[#All],11,FALSE))</f>
        <v/>
      </c>
      <c r="L93" s="14" t="str">
        <f>IF(Tableau134[[#This Row],[Repère]]="","",VLOOKUP(Tableau134[[#This Row],[Repère]],Tableau1[#All],12,FALSE))</f>
        <v/>
      </c>
    </row>
    <row r="94" spans="1:12" x14ac:dyDescent="0.3">
      <c r="A94" s="18"/>
      <c r="B94" s="19"/>
      <c r="C94" s="13" t="str">
        <f>IF(Tableau134[[#This Row],[Repère]]="","",VLOOKUP(Tableau134[[#This Row],[Repère]],Tableau1[#All],3,FALSE))</f>
        <v/>
      </c>
      <c r="D94" s="13" t="str">
        <f>IF(Tableau134[[#This Row],[Repère]]="","",VLOOKUP(Tableau134[[#This Row],[Repère]],Tableau1[#All],4,FALSE))</f>
        <v/>
      </c>
      <c r="E94" s="13" t="str">
        <f>IF(Tableau134[[#This Row],[Repère]]="","",VLOOKUP(Tableau134[[#This Row],[Repère]],Tableau1[#All],5,FALSE))</f>
        <v/>
      </c>
      <c r="F94" s="13" t="str">
        <f>IF(Tableau134[[#This Row],[Repère]]="","",VLOOKUP(Tableau134[[#This Row],[Repère]],Tableau1[#All],6,FALSE))</f>
        <v/>
      </c>
      <c r="G94" s="13" t="str">
        <f>IF(Tableau134[[#This Row],[Repère]]="","",VLOOKUP(Tableau134[[#This Row],[Repère]],Tableau1[#All],7,FALSE))</f>
        <v/>
      </c>
      <c r="H94" s="13" t="str">
        <f>IF(Tableau134[[#This Row],[Repère]]="","",VLOOKUP(Tableau134[[#This Row],[Repère]],Tableau1[#All],8,FALSE))</f>
        <v/>
      </c>
      <c r="I94" s="13" t="str">
        <f>IF(Tableau134[[#This Row],[Repère]]="","",VLOOKUP(Tableau134[[#This Row],[Repère]],Tableau1[#All],9,FALSE))</f>
        <v/>
      </c>
      <c r="J94" s="13" t="str">
        <f>IF(Tableau134[[#This Row],[Repère]]="","",VLOOKUP(Tableau134[[#This Row],[Repère]],Tableau1[#All],10,FALSE))</f>
        <v/>
      </c>
      <c r="K94" s="13" t="str">
        <f>IF(Tableau134[[#This Row],[Repère]]="","",VLOOKUP(Tableau134[[#This Row],[Repère]],Tableau1[#All],11,FALSE))</f>
        <v/>
      </c>
      <c r="L94" s="14" t="str">
        <f>IF(Tableau134[[#This Row],[Repère]]="","",VLOOKUP(Tableau134[[#This Row],[Repère]],Tableau1[#All],12,FALSE))</f>
        <v/>
      </c>
    </row>
    <row r="95" spans="1:12" x14ac:dyDescent="0.3">
      <c r="A95" s="18"/>
      <c r="B95" s="19"/>
      <c r="C95" s="13" t="str">
        <f>IF(Tableau134[[#This Row],[Repère]]="","",VLOOKUP(Tableau134[[#This Row],[Repère]],Tableau1[#All],3,FALSE))</f>
        <v/>
      </c>
      <c r="D95" s="13" t="str">
        <f>IF(Tableau134[[#This Row],[Repère]]="","",VLOOKUP(Tableau134[[#This Row],[Repère]],Tableau1[#All],4,FALSE))</f>
        <v/>
      </c>
      <c r="E95" s="13" t="str">
        <f>IF(Tableau134[[#This Row],[Repère]]="","",VLOOKUP(Tableau134[[#This Row],[Repère]],Tableau1[#All],5,FALSE))</f>
        <v/>
      </c>
      <c r="F95" s="13" t="str">
        <f>IF(Tableau134[[#This Row],[Repère]]="","",VLOOKUP(Tableau134[[#This Row],[Repère]],Tableau1[#All],6,FALSE))</f>
        <v/>
      </c>
      <c r="G95" s="13" t="str">
        <f>IF(Tableau134[[#This Row],[Repère]]="","",VLOOKUP(Tableau134[[#This Row],[Repère]],Tableau1[#All],7,FALSE))</f>
        <v/>
      </c>
      <c r="H95" s="13" t="str">
        <f>IF(Tableau134[[#This Row],[Repère]]="","",VLOOKUP(Tableau134[[#This Row],[Repère]],Tableau1[#All],8,FALSE))</f>
        <v/>
      </c>
      <c r="I95" s="13" t="str">
        <f>IF(Tableau134[[#This Row],[Repère]]="","",VLOOKUP(Tableau134[[#This Row],[Repère]],Tableau1[#All],9,FALSE))</f>
        <v/>
      </c>
      <c r="J95" s="13" t="str">
        <f>IF(Tableau134[[#This Row],[Repère]]="","",VLOOKUP(Tableau134[[#This Row],[Repère]],Tableau1[#All],10,FALSE))</f>
        <v/>
      </c>
      <c r="K95" s="13" t="str">
        <f>IF(Tableau134[[#This Row],[Repère]]="","",VLOOKUP(Tableau134[[#This Row],[Repère]],Tableau1[#All],11,FALSE))</f>
        <v/>
      </c>
      <c r="L95" s="14" t="str">
        <f>IF(Tableau134[[#This Row],[Repère]]="","",VLOOKUP(Tableau134[[#This Row],[Repère]],Tableau1[#All],12,FALSE))</f>
        <v/>
      </c>
    </row>
    <row r="96" spans="1:12" x14ac:dyDescent="0.3">
      <c r="A96" s="18"/>
      <c r="B96" s="19"/>
      <c r="C96" s="13" t="str">
        <f>IF(Tableau134[[#This Row],[Repère]]="","",VLOOKUP(Tableau134[[#This Row],[Repère]],Tableau1[#All],3,FALSE))</f>
        <v/>
      </c>
      <c r="D96" s="13" t="str">
        <f>IF(Tableau134[[#This Row],[Repère]]="","",VLOOKUP(Tableau134[[#This Row],[Repère]],Tableau1[#All],4,FALSE))</f>
        <v/>
      </c>
      <c r="E96" s="13" t="str">
        <f>IF(Tableau134[[#This Row],[Repère]]="","",VLOOKUP(Tableau134[[#This Row],[Repère]],Tableau1[#All],5,FALSE))</f>
        <v/>
      </c>
      <c r="F96" s="13" t="str">
        <f>IF(Tableau134[[#This Row],[Repère]]="","",VLOOKUP(Tableau134[[#This Row],[Repère]],Tableau1[#All],6,FALSE))</f>
        <v/>
      </c>
      <c r="G96" s="13" t="str">
        <f>IF(Tableau134[[#This Row],[Repère]]="","",VLOOKUP(Tableau134[[#This Row],[Repère]],Tableau1[#All],7,FALSE))</f>
        <v/>
      </c>
      <c r="H96" s="13" t="str">
        <f>IF(Tableau134[[#This Row],[Repère]]="","",VLOOKUP(Tableau134[[#This Row],[Repère]],Tableau1[#All],8,FALSE))</f>
        <v/>
      </c>
      <c r="I96" s="13" t="str">
        <f>IF(Tableau134[[#This Row],[Repère]]="","",VLOOKUP(Tableau134[[#This Row],[Repère]],Tableau1[#All],9,FALSE))</f>
        <v/>
      </c>
      <c r="J96" s="13" t="str">
        <f>IF(Tableau134[[#This Row],[Repère]]="","",VLOOKUP(Tableau134[[#This Row],[Repère]],Tableau1[#All],10,FALSE))</f>
        <v/>
      </c>
      <c r="K96" s="13" t="str">
        <f>IF(Tableau134[[#This Row],[Repère]]="","",VLOOKUP(Tableau134[[#This Row],[Repère]],Tableau1[#All],11,FALSE))</f>
        <v/>
      </c>
      <c r="L96" s="14" t="str">
        <f>IF(Tableau134[[#This Row],[Repère]]="","",VLOOKUP(Tableau134[[#This Row],[Repère]],Tableau1[#All],12,FALSE))</f>
        <v/>
      </c>
    </row>
    <row r="97" spans="1:12" x14ac:dyDescent="0.3">
      <c r="A97" s="18"/>
      <c r="B97" s="19"/>
      <c r="C97" s="13" t="str">
        <f>IF(Tableau134[[#This Row],[Repère]]="","",VLOOKUP(Tableau134[[#This Row],[Repère]],Tableau1[#All],3,FALSE))</f>
        <v/>
      </c>
      <c r="D97" s="13" t="str">
        <f>IF(Tableau134[[#This Row],[Repère]]="","",VLOOKUP(Tableau134[[#This Row],[Repère]],Tableau1[#All],4,FALSE))</f>
        <v/>
      </c>
      <c r="E97" s="13" t="str">
        <f>IF(Tableau134[[#This Row],[Repère]]="","",VLOOKUP(Tableau134[[#This Row],[Repère]],Tableau1[#All],5,FALSE))</f>
        <v/>
      </c>
      <c r="F97" s="13" t="str">
        <f>IF(Tableau134[[#This Row],[Repère]]="","",VLOOKUP(Tableau134[[#This Row],[Repère]],Tableau1[#All],6,FALSE))</f>
        <v/>
      </c>
      <c r="G97" s="13" t="str">
        <f>IF(Tableau134[[#This Row],[Repère]]="","",VLOOKUP(Tableau134[[#This Row],[Repère]],Tableau1[#All],7,FALSE))</f>
        <v/>
      </c>
      <c r="H97" s="13" t="str">
        <f>IF(Tableau134[[#This Row],[Repère]]="","",VLOOKUP(Tableau134[[#This Row],[Repère]],Tableau1[#All],8,FALSE))</f>
        <v/>
      </c>
      <c r="I97" s="13" t="str">
        <f>IF(Tableau134[[#This Row],[Repère]]="","",VLOOKUP(Tableau134[[#This Row],[Repère]],Tableau1[#All],9,FALSE))</f>
        <v/>
      </c>
      <c r="J97" s="13" t="str">
        <f>IF(Tableau134[[#This Row],[Repère]]="","",VLOOKUP(Tableau134[[#This Row],[Repère]],Tableau1[#All],10,FALSE))</f>
        <v/>
      </c>
      <c r="K97" s="13" t="str">
        <f>IF(Tableau134[[#This Row],[Repère]]="","",VLOOKUP(Tableau134[[#This Row],[Repère]],Tableau1[#All],11,FALSE))</f>
        <v/>
      </c>
      <c r="L97" s="14" t="str">
        <f>IF(Tableau134[[#This Row],[Repère]]="","",VLOOKUP(Tableau134[[#This Row],[Repère]],Tableau1[#All],12,FALSE))</f>
        <v/>
      </c>
    </row>
    <row r="98" spans="1:12" x14ac:dyDescent="0.3">
      <c r="A98" s="18"/>
      <c r="B98" s="19"/>
      <c r="C98" s="13" t="str">
        <f>IF(Tableau134[[#This Row],[Repère]]="","",VLOOKUP(Tableau134[[#This Row],[Repère]],Tableau1[#All],3,FALSE))</f>
        <v/>
      </c>
      <c r="D98" s="13" t="str">
        <f>IF(Tableau134[[#This Row],[Repère]]="","",VLOOKUP(Tableau134[[#This Row],[Repère]],Tableau1[#All],4,FALSE))</f>
        <v/>
      </c>
      <c r="E98" s="13" t="str">
        <f>IF(Tableau134[[#This Row],[Repère]]="","",VLOOKUP(Tableau134[[#This Row],[Repère]],Tableau1[#All],5,FALSE))</f>
        <v/>
      </c>
      <c r="F98" s="13" t="str">
        <f>IF(Tableau134[[#This Row],[Repère]]="","",VLOOKUP(Tableau134[[#This Row],[Repère]],Tableau1[#All],6,FALSE))</f>
        <v/>
      </c>
      <c r="G98" s="13" t="str">
        <f>IF(Tableau134[[#This Row],[Repère]]="","",VLOOKUP(Tableau134[[#This Row],[Repère]],Tableau1[#All],7,FALSE))</f>
        <v/>
      </c>
      <c r="H98" s="13" t="str">
        <f>IF(Tableau134[[#This Row],[Repère]]="","",VLOOKUP(Tableau134[[#This Row],[Repère]],Tableau1[#All],8,FALSE))</f>
        <v/>
      </c>
      <c r="I98" s="13" t="str">
        <f>IF(Tableau134[[#This Row],[Repère]]="","",VLOOKUP(Tableau134[[#This Row],[Repère]],Tableau1[#All],9,FALSE))</f>
        <v/>
      </c>
      <c r="J98" s="13" t="str">
        <f>IF(Tableau134[[#This Row],[Repère]]="","",VLOOKUP(Tableau134[[#This Row],[Repère]],Tableau1[#All],10,FALSE))</f>
        <v/>
      </c>
      <c r="K98" s="13" t="str">
        <f>IF(Tableau134[[#This Row],[Repère]]="","",VLOOKUP(Tableau134[[#This Row],[Repère]],Tableau1[#All],11,FALSE))</f>
        <v/>
      </c>
      <c r="L98" s="14" t="str">
        <f>IF(Tableau134[[#This Row],[Repère]]="","",VLOOKUP(Tableau134[[#This Row],[Repère]],Tableau1[#All],12,FALSE))</f>
        <v/>
      </c>
    </row>
    <row r="99" spans="1:12" x14ac:dyDescent="0.3">
      <c r="A99" s="18"/>
      <c r="B99" s="19"/>
      <c r="C99" s="13" t="str">
        <f>IF(Tableau134[[#This Row],[Repère]]="","",VLOOKUP(Tableau134[[#This Row],[Repère]],Tableau1[#All],3,FALSE))</f>
        <v/>
      </c>
      <c r="D99" s="13" t="str">
        <f>IF(Tableau134[[#This Row],[Repère]]="","",VLOOKUP(Tableau134[[#This Row],[Repère]],Tableau1[#All],4,FALSE))</f>
        <v/>
      </c>
      <c r="E99" s="13" t="str">
        <f>IF(Tableau134[[#This Row],[Repère]]="","",VLOOKUP(Tableau134[[#This Row],[Repère]],Tableau1[#All],5,FALSE))</f>
        <v/>
      </c>
      <c r="F99" s="13" t="str">
        <f>IF(Tableau134[[#This Row],[Repère]]="","",VLOOKUP(Tableau134[[#This Row],[Repère]],Tableau1[#All],6,FALSE))</f>
        <v/>
      </c>
      <c r="G99" s="13" t="str">
        <f>IF(Tableau134[[#This Row],[Repère]]="","",VLOOKUP(Tableau134[[#This Row],[Repère]],Tableau1[#All],7,FALSE))</f>
        <v/>
      </c>
      <c r="H99" s="13" t="str">
        <f>IF(Tableau134[[#This Row],[Repère]]="","",VLOOKUP(Tableau134[[#This Row],[Repère]],Tableau1[#All],8,FALSE))</f>
        <v/>
      </c>
      <c r="I99" s="13" t="str">
        <f>IF(Tableau134[[#This Row],[Repère]]="","",VLOOKUP(Tableau134[[#This Row],[Repère]],Tableau1[#All],9,FALSE))</f>
        <v/>
      </c>
      <c r="J99" s="13" t="str">
        <f>IF(Tableau134[[#This Row],[Repère]]="","",VLOOKUP(Tableau134[[#This Row],[Repère]],Tableau1[#All],10,FALSE))</f>
        <v/>
      </c>
      <c r="K99" s="13" t="str">
        <f>IF(Tableau134[[#This Row],[Repère]]="","",VLOOKUP(Tableau134[[#This Row],[Repère]],Tableau1[#All],11,FALSE))</f>
        <v/>
      </c>
      <c r="L99" s="14" t="str">
        <f>IF(Tableau134[[#This Row],[Repère]]="","",VLOOKUP(Tableau134[[#This Row],[Repère]],Tableau1[#All],12,FALSE))</f>
        <v/>
      </c>
    </row>
    <row r="100" spans="1:12" x14ac:dyDescent="0.3">
      <c r="A100" s="18"/>
      <c r="B100" s="19"/>
      <c r="C100" s="13" t="str">
        <f>IF(Tableau134[[#This Row],[Repère]]="","",VLOOKUP(Tableau134[[#This Row],[Repère]],Tableau1[#All],3,FALSE))</f>
        <v/>
      </c>
      <c r="D100" s="13" t="str">
        <f>IF(Tableau134[[#This Row],[Repère]]="","",VLOOKUP(Tableau134[[#This Row],[Repère]],Tableau1[#All],4,FALSE))</f>
        <v/>
      </c>
      <c r="E100" s="13" t="str">
        <f>IF(Tableau134[[#This Row],[Repère]]="","",VLOOKUP(Tableau134[[#This Row],[Repère]],Tableau1[#All],5,FALSE))</f>
        <v/>
      </c>
      <c r="F100" s="13" t="str">
        <f>IF(Tableau134[[#This Row],[Repère]]="","",VLOOKUP(Tableau134[[#This Row],[Repère]],Tableau1[#All],6,FALSE))</f>
        <v/>
      </c>
      <c r="G100" s="13" t="str">
        <f>IF(Tableau134[[#This Row],[Repère]]="","",VLOOKUP(Tableau134[[#This Row],[Repère]],Tableau1[#All],7,FALSE))</f>
        <v/>
      </c>
      <c r="H100" s="13" t="str">
        <f>IF(Tableau134[[#This Row],[Repère]]="","",VLOOKUP(Tableau134[[#This Row],[Repère]],Tableau1[#All],8,FALSE))</f>
        <v/>
      </c>
      <c r="I100" s="13" t="str">
        <f>IF(Tableau134[[#This Row],[Repère]]="","",VLOOKUP(Tableau134[[#This Row],[Repère]],Tableau1[#All],9,FALSE))</f>
        <v/>
      </c>
      <c r="J100" s="13" t="str">
        <f>IF(Tableau134[[#This Row],[Repère]]="","",VLOOKUP(Tableau134[[#This Row],[Repère]],Tableau1[#All],10,FALSE))</f>
        <v/>
      </c>
      <c r="K100" s="13" t="str">
        <f>IF(Tableau134[[#This Row],[Repère]]="","",VLOOKUP(Tableau134[[#This Row],[Repère]],Tableau1[#All],11,FALSE))</f>
        <v/>
      </c>
      <c r="L100" s="14" t="str">
        <f>IF(Tableau134[[#This Row],[Repère]]="","",VLOOKUP(Tableau134[[#This Row],[Repère]],Tableau1[#All],12,FALSE))</f>
        <v/>
      </c>
    </row>
    <row r="101" spans="1:12" x14ac:dyDescent="0.3">
      <c r="A101" s="18"/>
      <c r="B101" s="19"/>
      <c r="C101" s="13" t="str">
        <f>IF(Tableau134[[#This Row],[Repère]]="","",VLOOKUP(Tableau134[[#This Row],[Repère]],Tableau1[#All],3,FALSE))</f>
        <v/>
      </c>
      <c r="D101" s="13" t="str">
        <f>IF(Tableau134[[#This Row],[Repère]]="","",VLOOKUP(Tableau134[[#This Row],[Repère]],Tableau1[#All],4,FALSE))</f>
        <v/>
      </c>
      <c r="E101" s="13" t="str">
        <f>IF(Tableau134[[#This Row],[Repère]]="","",VLOOKUP(Tableau134[[#This Row],[Repère]],Tableau1[#All],5,FALSE))</f>
        <v/>
      </c>
      <c r="F101" s="13" t="str">
        <f>IF(Tableau134[[#This Row],[Repère]]="","",VLOOKUP(Tableau134[[#This Row],[Repère]],Tableau1[#All],6,FALSE))</f>
        <v/>
      </c>
      <c r="G101" s="13" t="str">
        <f>IF(Tableau134[[#This Row],[Repère]]="","",VLOOKUP(Tableau134[[#This Row],[Repère]],Tableau1[#All],7,FALSE))</f>
        <v/>
      </c>
      <c r="H101" s="13" t="str">
        <f>IF(Tableau134[[#This Row],[Repère]]="","",VLOOKUP(Tableau134[[#This Row],[Repère]],Tableau1[#All],8,FALSE))</f>
        <v/>
      </c>
      <c r="I101" s="13" t="str">
        <f>IF(Tableau134[[#This Row],[Repère]]="","",VLOOKUP(Tableau134[[#This Row],[Repère]],Tableau1[#All],9,FALSE))</f>
        <v/>
      </c>
      <c r="J101" s="13" t="str">
        <f>IF(Tableau134[[#This Row],[Repère]]="","",VLOOKUP(Tableau134[[#This Row],[Repère]],Tableau1[#All],10,FALSE))</f>
        <v/>
      </c>
      <c r="K101" s="13" t="str">
        <f>IF(Tableau134[[#This Row],[Repère]]="","",VLOOKUP(Tableau134[[#This Row],[Repère]],Tableau1[#All],11,FALSE))</f>
        <v/>
      </c>
      <c r="L101" s="14" t="str">
        <f>IF(Tableau134[[#This Row],[Repère]]="","",VLOOKUP(Tableau134[[#This Row],[Repère]],Tableau1[#All],12,FALSE))</f>
        <v/>
      </c>
    </row>
  </sheetData>
  <sheetProtection algorithmName="SHA-512" hashValue="0SYnrAEEV8FGTPgT5vwq85aVnuOtqdcMBwLtl62YH56Gn3kJU9Bz18GPzk5zeiIYO39tzxN1CWnlVhIfJjYCYQ==" saltValue="IpUIgwe17SjjR6G/Tb2Haw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14A8-0F04-4F84-A6FC-1121F57703A5}">
  <dimension ref="A1:L101"/>
  <sheetViews>
    <sheetView workbookViewId="0">
      <selection activeCell="B2" sqref="B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IF(Tableau1345[[#This Row],[Repère]]="","",VLOOKUP(Tableau1345[[#This Row],[Repère]],Tableau1[#All],3,FALSE))</f>
        <v/>
      </c>
      <c r="D2" s="13" t="str">
        <f>IF(Tableau1345[[#This Row],[Repère]]="","",VLOOKUP(Tableau1345[[#This Row],[Repère]],Tableau1[#All],4,FALSE))</f>
        <v/>
      </c>
      <c r="E2" s="13" t="str">
        <f>IF(Tableau1345[[#This Row],[Repère]]="","",VLOOKUP(Tableau1345[[#This Row],[Repère]],Tableau1[#All],5,FALSE))</f>
        <v/>
      </c>
      <c r="F2" s="13" t="str">
        <f>IF(Tableau1345[[#This Row],[Repère]]="","",VLOOKUP(Tableau1345[[#This Row],[Repère]],Tableau1[#All],6,FALSE))</f>
        <v/>
      </c>
      <c r="G2" s="13" t="str">
        <f>IF(Tableau1345[[#This Row],[Repère]]="","",VLOOKUP(Tableau1345[[#This Row],[Repère]],Tableau1[#All],7,FALSE))</f>
        <v/>
      </c>
      <c r="H2" s="13" t="str">
        <f>IF(Tableau1345[[#This Row],[Repère]]="","",VLOOKUP(Tableau1345[[#This Row],[Repère]],Tableau1[#All],8,FALSE))</f>
        <v/>
      </c>
      <c r="I2" s="13" t="str">
        <f>IF(Tableau1345[[#This Row],[Repère]]="","",VLOOKUP(Tableau1345[[#This Row],[Repère]],Tableau1[#All],9,FALSE))</f>
        <v/>
      </c>
      <c r="J2" s="13" t="str">
        <f>IF(Tableau1345[[#This Row],[Repère]]="","",VLOOKUP(Tableau1345[[#This Row],[Repère]],Tableau1[#All],10,FALSE))</f>
        <v/>
      </c>
      <c r="K2" s="13" t="str">
        <f>IF(Tableau1345[[#This Row],[Repère]]="","",VLOOKUP(Tableau1345[[#This Row],[Repère]],Tableau1[#All],11,FALSE))</f>
        <v/>
      </c>
      <c r="L2" s="13" t="str">
        <f>IF(Tableau1345[[#This Row],[Repère]]="","",VLOOKUP(Tableau1345[[#This Row],[Repère]],Tableau1[#All],12,FALSE))</f>
        <v/>
      </c>
    </row>
    <row r="3" spans="1:12" x14ac:dyDescent="0.3">
      <c r="A3" s="18"/>
      <c r="B3" s="19"/>
      <c r="C3" s="13" t="str">
        <f>IF(Tableau1345[[#This Row],[Repère]]="","",VLOOKUP(Tableau1345[[#This Row],[Repère]],Tableau1[#All],3,FALSE))</f>
        <v/>
      </c>
      <c r="D3" s="13" t="str">
        <f>IF(Tableau1345[[#This Row],[Repère]]="","",VLOOKUP(Tableau1345[[#This Row],[Repère]],Tableau1[#All],4,FALSE))</f>
        <v/>
      </c>
      <c r="E3" s="13" t="str">
        <f>IF(Tableau1345[[#This Row],[Repère]]="","",VLOOKUP(Tableau1345[[#This Row],[Repère]],Tableau1[#All],5,FALSE))</f>
        <v/>
      </c>
      <c r="F3" s="13" t="str">
        <f>IF(Tableau1345[[#This Row],[Repère]]="","",VLOOKUP(Tableau1345[[#This Row],[Repère]],Tableau1[#All],6,FALSE))</f>
        <v/>
      </c>
      <c r="G3" s="13" t="str">
        <f>IF(Tableau1345[[#This Row],[Repère]]="","",VLOOKUP(Tableau1345[[#This Row],[Repère]],Tableau1[#All],7,FALSE))</f>
        <v/>
      </c>
      <c r="H3" s="13" t="str">
        <f>IF(Tableau1345[[#This Row],[Repère]]="","",VLOOKUP(Tableau1345[[#This Row],[Repère]],Tableau1[#All],8,FALSE))</f>
        <v/>
      </c>
      <c r="I3" s="13" t="str">
        <f>IF(Tableau1345[[#This Row],[Repère]]="","",VLOOKUP(Tableau1345[[#This Row],[Repère]],Tableau1[#All],9,FALSE))</f>
        <v/>
      </c>
      <c r="J3" s="13" t="str">
        <f>IF(Tableau1345[[#This Row],[Repère]]="","",VLOOKUP(Tableau1345[[#This Row],[Repère]],Tableau1[#All],10,FALSE))</f>
        <v/>
      </c>
      <c r="K3" s="13" t="str">
        <f>IF(Tableau1345[[#This Row],[Repère]]="","",VLOOKUP(Tableau1345[[#This Row],[Repère]],Tableau1[#All],11,FALSE))</f>
        <v/>
      </c>
      <c r="L3" s="14" t="str">
        <f>IF(Tableau1345[[#This Row],[Repère]]="","",VLOOKUP(Tableau1345[[#This Row],[Repère]],Tableau1[#All],12,FALSE))</f>
        <v/>
      </c>
    </row>
    <row r="4" spans="1:12" x14ac:dyDescent="0.3">
      <c r="A4" s="18"/>
      <c r="B4" s="19"/>
      <c r="C4" s="13" t="str">
        <f>IF(Tableau1345[[#This Row],[Repère]]="","",VLOOKUP(Tableau1345[[#This Row],[Repère]],Tableau1[#All],3,FALSE))</f>
        <v/>
      </c>
      <c r="D4" s="13" t="str">
        <f>IF(Tableau1345[[#This Row],[Repère]]="","",VLOOKUP(Tableau1345[[#This Row],[Repère]],Tableau1[#All],4,FALSE))</f>
        <v/>
      </c>
      <c r="E4" s="13" t="str">
        <f>IF(Tableau1345[[#This Row],[Repère]]="","",VLOOKUP(Tableau1345[[#This Row],[Repère]],Tableau1[#All],5,FALSE))</f>
        <v/>
      </c>
      <c r="F4" s="13" t="str">
        <f>IF(Tableau1345[[#This Row],[Repère]]="","",VLOOKUP(Tableau1345[[#This Row],[Repère]],Tableau1[#All],6,FALSE))</f>
        <v/>
      </c>
      <c r="G4" s="13" t="str">
        <f>IF(Tableau1345[[#This Row],[Repère]]="","",VLOOKUP(Tableau1345[[#This Row],[Repère]],Tableau1[#All],7,FALSE))</f>
        <v/>
      </c>
      <c r="H4" s="13" t="str">
        <f>IF(Tableau1345[[#This Row],[Repère]]="","",VLOOKUP(Tableau1345[[#This Row],[Repère]],Tableau1[#All],8,FALSE))</f>
        <v/>
      </c>
      <c r="I4" s="13" t="str">
        <f>IF(Tableau1345[[#This Row],[Repère]]="","",VLOOKUP(Tableau1345[[#This Row],[Repère]],Tableau1[#All],9,FALSE))</f>
        <v/>
      </c>
      <c r="J4" s="13" t="str">
        <f>IF(Tableau1345[[#This Row],[Repère]]="","",VLOOKUP(Tableau1345[[#This Row],[Repère]],Tableau1[#All],10,FALSE))</f>
        <v/>
      </c>
      <c r="K4" s="13" t="str">
        <f>IF(Tableau1345[[#This Row],[Repère]]="","",VLOOKUP(Tableau1345[[#This Row],[Repère]],Tableau1[#All],11,FALSE))</f>
        <v/>
      </c>
      <c r="L4" s="14" t="str">
        <f>IF(Tableau1345[[#This Row],[Repère]]="","",VLOOKUP(Tableau1345[[#This Row],[Repère]],Tableau1[#All],12,FALSE))</f>
        <v/>
      </c>
    </row>
    <row r="5" spans="1:12" x14ac:dyDescent="0.3">
      <c r="A5" s="18"/>
      <c r="B5" s="19"/>
      <c r="C5" s="13" t="str">
        <f>IF(Tableau1345[[#This Row],[Repère]]="","",VLOOKUP(Tableau1345[[#This Row],[Repère]],Tableau1[#All],3,FALSE))</f>
        <v/>
      </c>
      <c r="D5" s="13" t="str">
        <f>IF(Tableau1345[[#This Row],[Repère]]="","",VLOOKUP(Tableau1345[[#This Row],[Repère]],Tableau1[#All],4,FALSE))</f>
        <v/>
      </c>
      <c r="E5" s="13" t="str">
        <f>IF(Tableau1345[[#This Row],[Repère]]="","",VLOOKUP(Tableau1345[[#This Row],[Repère]],Tableau1[#All],5,FALSE))</f>
        <v/>
      </c>
      <c r="F5" s="13" t="str">
        <f>IF(Tableau1345[[#This Row],[Repère]]="","",VLOOKUP(Tableau1345[[#This Row],[Repère]],Tableau1[#All],6,FALSE))</f>
        <v/>
      </c>
      <c r="G5" s="13" t="str">
        <f>IF(Tableau1345[[#This Row],[Repère]]="","",VLOOKUP(Tableau1345[[#This Row],[Repère]],Tableau1[#All],7,FALSE))</f>
        <v/>
      </c>
      <c r="H5" s="13" t="str">
        <f>IF(Tableau1345[[#This Row],[Repère]]="","",VLOOKUP(Tableau1345[[#This Row],[Repère]],Tableau1[#All],8,FALSE))</f>
        <v/>
      </c>
      <c r="I5" s="13" t="str">
        <f>IF(Tableau1345[[#This Row],[Repère]]="","",VLOOKUP(Tableau1345[[#This Row],[Repère]],Tableau1[#All],9,FALSE))</f>
        <v/>
      </c>
      <c r="J5" s="13" t="str">
        <f>IF(Tableau1345[[#This Row],[Repère]]="","",VLOOKUP(Tableau1345[[#This Row],[Repère]],Tableau1[#All],10,FALSE))</f>
        <v/>
      </c>
      <c r="K5" s="13" t="str">
        <f>IF(Tableau1345[[#This Row],[Repère]]="","",VLOOKUP(Tableau1345[[#This Row],[Repère]],Tableau1[#All],11,FALSE))</f>
        <v/>
      </c>
      <c r="L5" s="14" t="str">
        <f>IF(Tableau1345[[#This Row],[Repère]]="","",VLOOKUP(Tableau1345[[#This Row],[Repère]],Tableau1[#All],12,FALSE))</f>
        <v/>
      </c>
    </row>
    <row r="6" spans="1:12" x14ac:dyDescent="0.3">
      <c r="A6" s="18"/>
      <c r="B6" s="19"/>
      <c r="C6" s="13" t="str">
        <f>IF(Tableau1345[[#This Row],[Repère]]="","",VLOOKUP(Tableau1345[[#This Row],[Repère]],Tableau1[#All],3,FALSE))</f>
        <v/>
      </c>
      <c r="D6" s="13" t="str">
        <f>IF(Tableau1345[[#This Row],[Repère]]="","",VLOOKUP(Tableau1345[[#This Row],[Repère]],Tableau1[#All],4,FALSE))</f>
        <v/>
      </c>
      <c r="E6" s="13" t="str">
        <f>IF(Tableau1345[[#This Row],[Repère]]="","",VLOOKUP(Tableau1345[[#This Row],[Repère]],Tableau1[#All],5,FALSE))</f>
        <v/>
      </c>
      <c r="F6" s="13" t="str">
        <f>IF(Tableau1345[[#This Row],[Repère]]="","",VLOOKUP(Tableau1345[[#This Row],[Repère]],Tableau1[#All],6,FALSE))</f>
        <v/>
      </c>
      <c r="G6" s="13" t="str">
        <f>IF(Tableau1345[[#This Row],[Repère]]="","",VLOOKUP(Tableau1345[[#This Row],[Repère]],Tableau1[#All],7,FALSE))</f>
        <v/>
      </c>
      <c r="H6" s="13" t="str">
        <f>IF(Tableau1345[[#This Row],[Repère]]="","",VLOOKUP(Tableau1345[[#This Row],[Repère]],Tableau1[#All],8,FALSE))</f>
        <v/>
      </c>
      <c r="I6" s="13" t="str">
        <f>IF(Tableau1345[[#This Row],[Repère]]="","",VLOOKUP(Tableau1345[[#This Row],[Repère]],Tableau1[#All],9,FALSE))</f>
        <v/>
      </c>
      <c r="J6" s="13" t="str">
        <f>IF(Tableau1345[[#This Row],[Repère]]="","",VLOOKUP(Tableau1345[[#This Row],[Repère]],Tableau1[#All],10,FALSE))</f>
        <v/>
      </c>
      <c r="K6" s="13" t="str">
        <f>IF(Tableau1345[[#This Row],[Repère]]="","",VLOOKUP(Tableau1345[[#This Row],[Repère]],Tableau1[#All],11,FALSE))</f>
        <v/>
      </c>
      <c r="L6" s="14" t="str">
        <f>IF(Tableau1345[[#This Row],[Repère]]="","",VLOOKUP(Tableau1345[[#This Row],[Repère]],Tableau1[#All],12,FALSE))</f>
        <v/>
      </c>
    </row>
    <row r="7" spans="1:12" x14ac:dyDescent="0.3">
      <c r="A7" s="18"/>
      <c r="B7" s="19"/>
      <c r="C7" s="13" t="str">
        <f>IF(Tableau1345[[#This Row],[Repère]]="","",VLOOKUP(Tableau1345[[#This Row],[Repère]],Tableau1[#All],3,FALSE))</f>
        <v/>
      </c>
      <c r="D7" s="13" t="str">
        <f>IF(Tableau1345[[#This Row],[Repère]]="","",VLOOKUP(Tableau1345[[#This Row],[Repère]],Tableau1[#All],4,FALSE))</f>
        <v/>
      </c>
      <c r="E7" s="13" t="str">
        <f>IF(Tableau1345[[#This Row],[Repère]]="","",VLOOKUP(Tableau1345[[#This Row],[Repère]],Tableau1[#All],5,FALSE))</f>
        <v/>
      </c>
      <c r="F7" s="13" t="str">
        <f>IF(Tableau1345[[#This Row],[Repère]]="","",VLOOKUP(Tableau1345[[#This Row],[Repère]],Tableau1[#All],6,FALSE))</f>
        <v/>
      </c>
      <c r="G7" s="13" t="str">
        <f>IF(Tableau1345[[#This Row],[Repère]]="","",VLOOKUP(Tableau1345[[#This Row],[Repère]],Tableau1[#All],7,FALSE))</f>
        <v/>
      </c>
      <c r="H7" s="13" t="str">
        <f>IF(Tableau1345[[#This Row],[Repère]]="","",VLOOKUP(Tableau1345[[#This Row],[Repère]],Tableau1[#All],8,FALSE))</f>
        <v/>
      </c>
      <c r="I7" s="13" t="str">
        <f>IF(Tableau1345[[#This Row],[Repère]]="","",VLOOKUP(Tableau1345[[#This Row],[Repère]],Tableau1[#All],9,FALSE))</f>
        <v/>
      </c>
      <c r="J7" s="13" t="str">
        <f>IF(Tableau1345[[#This Row],[Repère]]="","",VLOOKUP(Tableau1345[[#This Row],[Repère]],Tableau1[#All],10,FALSE))</f>
        <v/>
      </c>
      <c r="K7" s="13" t="str">
        <f>IF(Tableau1345[[#This Row],[Repère]]="","",VLOOKUP(Tableau1345[[#This Row],[Repère]],Tableau1[#All],11,FALSE))</f>
        <v/>
      </c>
      <c r="L7" s="14" t="str">
        <f>IF(Tableau1345[[#This Row],[Repère]]="","",VLOOKUP(Tableau1345[[#This Row],[Repère]],Tableau1[#All],12,FALSE))</f>
        <v/>
      </c>
    </row>
    <row r="8" spans="1:12" x14ac:dyDescent="0.3">
      <c r="A8" s="18"/>
      <c r="B8" s="19"/>
      <c r="C8" s="13" t="str">
        <f>IF(Tableau1345[[#This Row],[Repère]]="","",VLOOKUP(Tableau1345[[#This Row],[Repère]],Tableau1[#All],3,FALSE))</f>
        <v/>
      </c>
      <c r="D8" s="13" t="str">
        <f>IF(Tableau1345[[#This Row],[Repère]]="","",VLOOKUP(Tableau1345[[#This Row],[Repère]],Tableau1[#All],4,FALSE))</f>
        <v/>
      </c>
      <c r="E8" s="13" t="str">
        <f>IF(Tableau1345[[#This Row],[Repère]]="","",VLOOKUP(Tableau1345[[#This Row],[Repère]],Tableau1[#All],5,FALSE))</f>
        <v/>
      </c>
      <c r="F8" s="13" t="str">
        <f>IF(Tableau1345[[#This Row],[Repère]]="","",VLOOKUP(Tableau1345[[#This Row],[Repère]],Tableau1[#All],6,FALSE))</f>
        <v/>
      </c>
      <c r="G8" s="13" t="str">
        <f>IF(Tableau1345[[#This Row],[Repère]]="","",VLOOKUP(Tableau1345[[#This Row],[Repère]],Tableau1[#All],7,FALSE))</f>
        <v/>
      </c>
      <c r="H8" s="13" t="str">
        <f>IF(Tableau1345[[#This Row],[Repère]]="","",VLOOKUP(Tableau1345[[#This Row],[Repère]],Tableau1[#All],8,FALSE))</f>
        <v/>
      </c>
      <c r="I8" s="13" t="str">
        <f>IF(Tableau1345[[#This Row],[Repère]]="","",VLOOKUP(Tableau1345[[#This Row],[Repère]],Tableau1[#All],9,FALSE))</f>
        <v/>
      </c>
      <c r="J8" s="13" t="str">
        <f>IF(Tableau1345[[#This Row],[Repère]]="","",VLOOKUP(Tableau1345[[#This Row],[Repère]],Tableau1[#All],10,FALSE))</f>
        <v/>
      </c>
      <c r="K8" s="13" t="str">
        <f>IF(Tableau1345[[#This Row],[Repère]]="","",VLOOKUP(Tableau1345[[#This Row],[Repère]],Tableau1[#All],11,FALSE))</f>
        <v/>
      </c>
      <c r="L8" s="14" t="str">
        <f>IF(Tableau1345[[#This Row],[Repère]]="","",VLOOKUP(Tableau1345[[#This Row],[Repère]],Tableau1[#All],12,FALSE))</f>
        <v/>
      </c>
    </row>
    <row r="9" spans="1:12" x14ac:dyDescent="0.3">
      <c r="A9" s="18"/>
      <c r="B9" s="19"/>
      <c r="C9" s="13" t="str">
        <f>IF(Tableau1345[[#This Row],[Repère]]="","",VLOOKUP(Tableau1345[[#This Row],[Repère]],Tableau1[#All],3,FALSE))</f>
        <v/>
      </c>
      <c r="D9" s="13" t="str">
        <f>IF(Tableau1345[[#This Row],[Repère]]="","",VLOOKUP(Tableau1345[[#This Row],[Repère]],Tableau1[#All],4,FALSE))</f>
        <v/>
      </c>
      <c r="E9" s="13" t="str">
        <f>IF(Tableau1345[[#This Row],[Repère]]="","",VLOOKUP(Tableau1345[[#This Row],[Repère]],Tableau1[#All],5,FALSE))</f>
        <v/>
      </c>
      <c r="F9" s="13" t="str">
        <f>IF(Tableau1345[[#This Row],[Repère]]="","",VLOOKUP(Tableau1345[[#This Row],[Repère]],Tableau1[#All],6,FALSE))</f>
        <v/>
      </c>
      <c r="G9" s="13" t="str">
        <f>IF(Tableau1345[[#This Row],[Repère]]="","",VLOOKUP(Tableau1345[[#This Row],[Repère]],Tableau1[#All],7,FALSE))</f>
        <v/>
      </c>
      <c r="H9" s="13" t="str">
        <f>IF(Tableau1345[[#This Row],[Repère]]="","",VLOOKUP(Tableau1345[[#This Row],[Repère]],Tableau1[#All],8,FALSE))</f>
        <v/>
      </c>
      <c r="I9" s="13" t="str">
        <f>IF(Tableau1345[[#This Row],[Repère]]="","",VLOOKUP(Tableau1345[[#This Row],[Repère]],Tableau1[#All],9,FALSE))</f>
        <v/>
      </c>
      <c r="J9" s="13" t="str">
        <f>IF(Tableau1345[[#This Row],[Repère]]="","",VLOOKUP(Tableau1345[[#This Row],[Repère]],Tableau1[#All],10,FALSE))</f>
        <v/>
      </c>
      <c r="K9" s="13" t="str">
        <f>IF(Tableau1345[[#This Row],[Repère]]="","",VLOOKUP(Tableau1345[[#This Row],[Repère]],Tableau1[#All],11,FALSE))</f>
        <v/>
      </c>
      <c r="L9" s="14" t="str">
        <f>IF(Tableau1345[[#This Row],[Repère]]="","",VLOOKUP(Tableau1345[[#This Row],[Repère]],Tableau1[#All],12,FALSE))</f>
        <v/>
      </c>
    </row>
    <row r="10" spans="1:12" x14ac:dyDescent="0.3">
      <c r="A10" s="18"/>
      <c r="B10" s="19"/>
      <c r="C10" s="13" t="str">
        <f>IF(Tableau1345[[#This Row],[Repère]]="","",VLOOKUP(Tableau1345[[#This Row],[Repère]],Tableau1[#All],3,FALSE))</f>
        <v/>
      </c>
      <c r="D10" s="13" t="str">
        <f>IF(Tableau1345[[#This Row],[Repère]]="","",VLOOKUP(Tableau1345[[#This Row],[Repère]],Tableau1[#All],4,FALSE))</f>
        <v/>
      </c>
      <c r="E10" s="13" t="str">
        <f>IF(Tableau1345[[#This Row],[Repère]]="","",VLOOKUP(Tableau1345[[#This Row],[Repère]],Tableau1[#All],5,FALSE))</f>
        <v/>
      </c>
      <c r="F10" s="13" t="str">
        <f>IF(Tableau1345[[#This Row],[Repère]]="","",VLOOKUP(Tableau1345[[#This Row],[Repère]],Tableau1[#All],6,FALSE))</f>
        <v/>
      </c>
      <c r="G10" s="13" t="str">
        <f>IF(Tableau1345[[#This Row],[Repère]]="","",VLOOKUP(Tableau1345[[#This Row],[Repère]],Tableau1[#All],7,FALSE))</f>
        <v/>
      </c>
      <c r="H10" s="13" t="str">
        <f>IF(Tableau1345[[#This Row],[Repère]]="","",VLOOKUP(Tableau1345[[#This Row],[Repère]],Tableau1[#All],8,FALSE))</f>
        <v/>
      </c>
      <c r="I10" s="13" t="str">
        <f>IF(Tableau1345[[#This Row],[Repère]]="","",VLOOKUP(Tableau1345[[#This Row],[Repère]],Tableau1[#All],9,FALSE))</f>
        <v/>
      </c>
      <c r="J10" s="13" t="str">
        <f>IF(Tableau1345[[#This Row],[Repère]]="","",VLOOKUP(Tableau1345[[#This Row],[Repère]],Tableau1[#All],10,FALSE))</f>
        <v/>
      </c>
      <c r="K10" s="13" t="str">
        <f>IF(Tableau1345[[#This Row],[Repère]]="","",VLOOKUP(Tableau1345[[#This Row],[Repère]],Tableau1[#All],11,FALSE))</f>
        <v/>
      </c>
      <c r="L10" s="14" t="str">
        <f>IF(Tableau1345[[#This Row],[Repère]]="","",VLOOKUP(Tableau1345[[#This Row],[Repère]],Tableau1[#All],12,FALSE))</f>
        <v/>
      </c>
    </row>
    <row r="11" spans="1:12" x14ac:dyDescent="0.3">
      <c r="A11" s="18"/>
      <c r="B11" s="19"/>
      <c r="C11" s="13" t="str">
        <f>IF(Tableau1345[[#This Row],[Repère]]="","",VLOOKUP(Tableau1345[[#This Row],[Repère]],Tableau1[#All],3,FALSE))</f>
        <v/>
      </c>
      <c r="D11" s="13" t="str">
        <f>IF(Tableau1345[[#This Row],[Repère]]="","",VLOOKUP(Tableau1345[[#This Row],[Repère]],Tableau1[#All],4,FALSE))</f>
        <v/>
      </c>
      <c r="E11" s="13" t="str">
        <f>IF(Tableau1345[[#This Row],[Repère]]="","",VLOOKUP(Tableau1345[[#This Row],[Repère]],Tableau1[#All],5,FALSE))</f>
        <v/>
      </c>
      <c r="F11" s="13" t="str">
        <f>IF(Tableau1345[[#This Row],[Repère]]="","",VLOOKUP(Tableau1345[[#This Row],[Repère]],Tableau1[#All],6,FALSE))</f>
        <v/>
      </c>
      <c r="G11" s="13" t="str">
        <f>IF(Tableau1345[[#This Row],[Repère]]="","",VLOOKUP(Tableau1345[[#This Row],[Repère]],Tableau1[#All],7,FALSE))</f>
        <v/>
      </c>
      <c r="H11" s="13" t="str">
        <f>IF(Tableau1345[[#This Row],[Repère]]="","",VLOOKUP(Tableau1345[[#This Row],[Repère]],Tableau1[#All],8,FALSE))</f>
        <v/>
      </c>
      <c r="I11" s="13" t="str">
        <f>IF(Tableau1345[[#This Row],[Repère]]="","",VLOOKUP(Tableau1345[[#This Row],[Repère]],Tableau1[#All],9,FALSE))</f>
        <v/>
      </c>
      <c r="J11" s="13" t="str">
        <f>IF(Tableau1345[[#This Row],[Repère]]="","",VLOOKUP(Tableau1345[[#This Row],[Repère]],Tableau1[#All],10,FALSE))</f>
        <v/>
      </c>
      <c r="K11" s="13" t="str">
        <f>IF(Tableau1345[[#This Row],[Repère]]="","",VLOOKUP(Tableau1345[[#This Row],[Repère]],Tableau1[#All],11,FALSE))</f>
        <v/>
      </c>
      <c r="L11" s="14" t="str">
        <f>IF(Tableau1345[[#This Row],[Repère]]="","",VLOOKUP(Tableau1345[[#This Row],[Repère]],Tableau1[#All],12,FALSE))</f>
        <v/>
      </c>
    </row>
    <row r="12" spans="1:12" x14ac:dyDescent="0.3">
      <c r="A12" s="18"/>
      <c r="B12" s="19"/>
      <c r="C12" s="13" t="str">
        <f>IF(Tableau1345[[#This Row],[Repère]]="","",VLOOKUP(Tableau1345[[#This Row],[Repère]],Tableau1[#All],3,FALSE))</f>
        <v/>
      </c>
      <c r="D12" s="13" t="str">
        <f>IF(Tableau1345[[#This Row],[Repère]]="","",VLOOKUP(Tableau1345[[#This Row],[Repère]],Tableau1[#All],4,FALSE))</f>
        <v/>
      </c>
      <c r="E12" s="13" t="str">
        <f>IF(Tableau1345[[#This Row],[Repère]]="","",VLOOKUP(Tableau1345[[#This Row],[Repère]],Tableau1[#All],5,FALSE))</f>
        <v/>
      </c>
      <c r="F12" s="13" t="str">
        <f>IF(Tableau1345[[#This Row],[Repère]]="","",VLOOKUP(Tableau1345[[#This Row],[Repère]],Tableau1[#All],6,FALSE))</f>
        <v/>
      </c>
      <c r="G12" s="13" t="str">
        <f>IF(Tableau1345[[#This Row],[Repère]]="","",VLOOKUP(Tableau1345[[#This Row],[Repère]],Tableau1[#All],7,FALSE))</f>
        <v/>
      </c>
      <c r="H12" s="13" t="str">
        <f>IF(Tableau1345[[#This Row],[Repère]]="","",VLOOKUP(Tableau1345[[#This Row],[Repère]],Tableau1[#All],8,FALSE))</f>
        <v/>
      </c>
      <c r="I12" s="13" t="str">
        <f>IF(Tableau1345[[#This Row],[Repère]]="","",VLOOKUP(Tableau1345[[#This Row],[Repère]],Tableau1[#All],9,FALSE))</f>
        <v/>
      </c>
      <c r="J12" s="13" t="str">
        <f>IF(Tableau1345[[#This Row],[Repère]]="","",VLOOKUP(Tableau1345[[#This Row],[Repère]],Tableau1[#All],10,FALSE))</f>
        <v/>
      </c>
      <c r="K12" s="13" t="str">
        <f>IF(Tableau1345[[#This Row],[Repère]]="","",VLOOKUP(Tableau1345[[#This Row],[Repère]],Tableau1[#All],11,FALSE))</f>
        <v/>
      </c>
      <c r="L12" s="14" t="str">
        <f>IF(Tableau1345[[#This Row],[Repère]]="","",VLOOKUP(Tableau1345[[#This Row],[Repère]],Tableau1[#All],12,FALSE))</f>
        <v/>
      </c>
    </row>
    <row r="13" spans="1:12" x14ac:dyDescent="0.3">
      <c r="A13" s="18"/>
      <c r="B13" s="19"/>
      <c r="C13" s="13" t="str">
        <f>IF(Tableau1345[[#This Row],[Repère]]="","",VLOOKUP(Tableau1345[[#This Row],[Repère]],Tableau1[#All],3,FALSE))</f>
        <v/>
      </c>
      <c r="D13" s="13" t="str">
        <f>IF(Tableau1345[[#This Row],[Repère]]="","",VLOOKUP(Tableau1345[[#This Row],[Repère]],Tableau1[#All],4,FALSE))</f>
        <v/>
      </c>
      <c r="E13" s="13" t="str">
        <f>IF(Tableau1345[[#This Row],[Repère]]="","",VLOOKUP(Tableau1345[[#This Row],[Repère]],Tableau1[#All],5,FALSE))</f>
        <v/>
      </c>
      <c r="F13" s="13" t="str">
        <f>IF(Tableau1345[[#This Row],[Repère]]="","",VLOOKUP(Tableau1345[[#This Row],[Repère]],Tableau1[#All],6,FALSE))</f>
        <v/>
      </c>
      <c r="G13" s="13" t="str">
        <f>IF(Tableau1345[[#This Row],[Repère]]="","",VLOOKUP(Tableau1345[[#This Row],[Repère]],Tableau1[#All],7,FALSE))</f>
        <v/>
      </c>
      <c r="H13" s="13" t="str">
        <f>IF(Tableau1345[[#This Row],[Repère]]="","",VLOOKUP(Tableau1345[[#This Row],[Repère]],Tableau1[#All],8,FALSE))</f>
        <v/>
      </c>
      <c r="I13" s="13" t="str">
        <f>IF(Tableau1345[[#This Row],[Repère]]="","",VLOOKUP(Tableau1345[[#This Row],[Repère]],Tableau1[#All],9,FALSE))</f>
        <v/>
      </c>
      <c r="J13" s="13" t="str">
        <f>IF(Tableau1345[[#This Row],[Repère]]="","",VLOOKUP(Tableau1345[[#This Row],[Repère]],Tableau1[#All],10,FALSE))</f>
        <v/>
      </c>
      <c r="K13" s="13" t="str">
        <f>IF(Tableau1345[[#This Row],[Repère]]="","",VLOOKUP(Tableau1345[[#This Row],[Repère]],Tableau1[#All],11,FALSE))</f>
        <v/>
      </c>
      <c r="L13" s="14" t="str">
        <f>IF(Tableau1345[[#This Row],[Repère]]="","",VLOOKUP(Tableau1345[[#This Row],[Repère]],Tableau1[#All],12,FALSE))</f>
        <v/>
      </c>
    </row>
    <row r="14" spans="1:12" x14ac:dyDescent="0.3">
      <c r="A14" s="18"/>
      <c r="B14" s="19"/>
      <c r="C14" s="13" t="str">
        <f>IF(Tableau1345[[#This Row],[Repère]]="","",VLOOKUP(Tableau1345[[#This Row],[Repère]],Tableau1[#All],3,FALSE))</f>
        <v/>
      </c>
      <c r="D14" s="13" t="str">
        <f>IF(Tableau1345[[#This Row],[Repère]]="","",VLOOKUP(Tableau1345[[#This Row],[Repère]],Tableau1[#All],4,FALSE))</f>
        <v/>
      </c>
      <c r="E14" s="13" t="str">
        <f>IF(Tableau1345[[#This Row],[Repère]]="","",VLOOKUP(Tableau1345[[#This Row],[Repère]],Tableau1[#All],5,FALSE))</f>
        <v/>
      </c>
      <c r="F14" s="13" t="str">
        <f>IF(Tableau1345[[#This Row],[Repère]]="","",VLOOKUP(Tableau1345[[#This Row],[Repère]],Tableau1[#All],6,FALSE))</f>
        <v/>
      </c>
      <c r="G14" s="13" t="str">
        <f>IF(Tableau1345[[#This Row],[Repère]]="","",VLOOKUP(Tableau1345[[#This Row],[Repère]],Tableau1[#All],7,FALSE))</f>
        <v/>
      </c>
      <c r="H14" s="13" t="str">
        <f>IF(Tableau1345[[#This Row],[Repère]]="","",VLOOKUP(Tableau1345[[#This Row],[Repère]],Tableau1[#All],8,FALSE))</f>
        <v/>
      </c>
      <c r="I14" s="13" t="str">
        <f>IF(Tableau1345[[#This Row],[Repère]]="","",VLOOKUP(Tableau1345[[#This Row],[Repère]],Tableau1[#All],9,FALSE))</f>
        <v/>
      </c>
      <c r="J14" s="13" t="str">
        <f>IF(Tableau1345[[#This Row],[Repère]]="","",VLOOKUP(Tableau1345[[#This Row],[Repère]],Tableau1[#All],10,FALSE))</f>
        <v/>
      </c>
      <c r="K14" s="13" t="str">
        <f>IF(Tableau1345[[#This Row],[Repère]]="","",VLOOKUP(Tableau1345[[#This Row],[Repère]],Tableau1[#All],11,FALSE))</f>
        <v/>
      </c>
      <c r="L14" s="14" t="str">
        <f>IF(Tableau1345[[#This Row],[Repère]]="","",VLOOKUP(Tableau1345[[#This Row],[Repère]],Tableau1[#All],12,FALSE))</f>
        <v/>
      </c>
    </row>
    <row r="15" spans="1:12" x14ac:dyDescent="0.3">
      <c r="A15" s="18"/>
      <c r="B15" s="19"/>
      <c r="C15" s="13" t="str">
        <f>IF(Tableau1345[[#This Row],[Repère]]="","",VLOOKUP(Tableau1345[[#This Row],[Repère]],Tableau1[#All],3,FALSE))</f>
        <v/>
      </c>
      <c r="D15" s="13" t="str">
        <f>IF(Tableau1345[[#This Row],[Repère]]="","",VLOOKUP(Tableau1345[[#This Row],[Repère]],Tableau1[#All],4,FALSE))</f>
        <v/>
      </c>
      <c r="E15" s="13" t="str">
        <f>IF(Tableau1345[[#This Row],[Repère]]="","",VLOOKUP(Tableau1345[[#This Row],[Repère]],Tableau1[#All],5,FALSE))</f>
        <v/>
      </c>
      <c r="F15" s="13" t="str">
        <f>IF(Tableau1345[[#This Row],[Repère]]="","",VLOOKUP(Tableau1345[[#This Row],[Repère]],Tableau1[#All],6,FALSE))</f>
        <v/>
      </c>
      <c r="G15" s="13" t="str">
        <f>IF(Tableau1345[[#This Row],[Repère]]="","",VLOOKUP(Tableau1345[[#This Row],[Repère]],Tableau1[#All],7,FALSE))</f>
        <v/>
      </c>
      <c r="H15" s="13" t="str">
        <f>IF(Tableau1345[[#This Row],[Repère]]="","",VLOOKUP(Tableau1345[[#This Row],[Repère]],Tableau1[#All],8,FALSE))</f>
        <v/>
      </c>
      <c r="I15" s="13" t="str">
        <f>IF(Tableau1345[[#This Row],[Repère]]="","",VLOOKUP(Tableau1345[[#This Row],[Repère]],Tableau1[#All],9,FALSE))</f>
        <v/>
      </c>
      <c r="J15" s="13" t="str">
        <f>IF(Tableau1345[[#This Row],[Repère]]="","",VLOOKUP(Tableau1345[[#This Row],[Repère]],Tableau1[#All],10,FALSE))</f>
        <v/>
      </c>
      <c r="K15" s="13" t="str">
        <f>IF(Tableau1345[[#This Row],[Repère]]="","",VLOOKUP(Tableau1345[[#This Row],[Repère]],Tableau1[#All],11,FALSE))</f>
        <v/>
      </c>
      <c r="L15" s="14" t="str">
        <f>IF(Tableau1345[[#This Row],[Repère]]="","",VLOOKUP(Tableau1345[[#This Row],[Repère]],Tableau1[#All],12,FALSE))</f>
        <v/>
      </c>
    </row>
    <row r="16" spans="1:12" x14ac:dyDescent="0.3">
      <c r="A16" s="18"/>
      <c r="B16" s="19"/>
      <c r="C16" s="13" t="str">
        <f>IF(Tableau1345[[#This Row],[Repère]]="","",VLOOKUP(Tableau1345[[#This Row],[Repère]],Tableau1[#All],3,FALSE))</f>
        <v/>
      </c>
      <c r="D16" s="13" t="str">
        <f>IF(Tableau1345[[#This Row],[Repère]]="","",VLOOKUP(Tableau1345[[#This Row],[Repère]],Tableau1[#All],4,FALSE))</f>
        <v/>
      </c>
      <c r="E16" s="13" t="str">
        <f>IF(Tableau1345[[#This Row],[Repère]]="","",VLOOKUP(Tableau1345[[#This Row],[Repère]],Tableau1[#All],5,FALSE))</f>
        <v/>
      </c>
      <c r="F16" s="13" t="str">
        <f>IF(Tableau1345[[#This Row],[Repère]]="","",VLOOKUP(Tableau1345[[#This Row],[Repère]],Tableau1[#All],6,FALSE))</f>
        <v/>
      </c>
      <c r="G16" s="13" t="str">
        <f>IF(Tableau1345[[#This Row],[Repère]]="","",VLOOKUP(Tableau1345[[#This Row],[Repère]],Tableau1[#All],7,FALSE))</f>
        <v/>
      </c>
      <c r="H16" s="13" t="str">
        <f>IF(Tableau1345[[#This Row],[Repère]]="","",VLOOKUP(Tableau1345[[#This Row],[Repère]],Tableau1[#All],8,FALSE))</f>
        <v/>
      </c>
      <c r="I16" s="13" t="str">
        <f>IF(Tableau1345[[#This Row],[Repère]]="","",VLOOKUP(Tableau1345[[#This Row],[Repère]],Tableau1[#All],9,FALSE))</f>
        <v/>
      </c>
      <c r="J16" s="13" t="str">
        <f>IF(Tableau1345[[#This Row],[Repère]]="","",VLOOKUP(Tableau1345[[#This Row],[Repère]],Tableau1[#All],10,FALSE))</f>
        <v/>
      </c>
      <c r="K16" s="13" t="str">
        <f>IF(Tableau1345[[#This Row],[Repère]]="","",VLOOKUP(Tableau1345[[#This Row],[Repère]],Tableau1[#All],11,FALSE))</f>
        <v/>
      </c>
      <c r="L16" s="14" t="str">
        <f>IF(Tableau1345[[#This Row],[Repère]]="","",VLOOKUP(Tableau1345[[#This Row],[Repère]],Tableau1[#All],12,FALSE))</f>
        <v/>
      </c>
    </row>
    <row r="17" spans="1:12" x14ac:dyDescent="0.3">
      <c r="A17" s="18"/>
      <c r="B17" s="19"/>
      <c r="C17" s="13" t="str">
        <f>IF(Tableau1345[[#This Row],[Repère]]="","",VLOOKUP(Tableau1345[[#This Row],[Repère]],Tableau1[#All],3,FALSE))</f>
        <v/>
      </c>
      <c r="D17" s="13" t="str">
        <f>IF(Tableau1345[[#This Row],[Repère]]="","",VLOOKUP(Tableau1345[[#This Row],[Repère]],Tableau1[#All],4,FALSE))</f>
        <v/>
      </c>
      <c r="E17" s="13" t="str">
        <f>IF(Tableau1345[[#This Row],[Repère]]="","",VLOOKUP(Tableau1345[[#This Row],[Repère]],Tableau1[#All],5,FALSE))</f>
        <v/>
      </c>
      <c r="F17" s="13" t="str">
        <f>IF(Tableau1345[[#This Row],[Repère]]="","",VLOOKUP(Tableau1345[[#This Row],[Repère]],Tableau1[#All],6,FALSE))</f>
        <v/>
      </c>
      <c r="G17" s="13" t="str">
        <f>IF(Tableau1345[[#This Row],[Repère]]="","",VLOOKUP(Tableau1345[[#This Row],[Repère]],Tableau1[#All],7,FALSE))</f>
        <v/>
      </c>
      <c r="H17" s="13" t="str">
        <f>IF(Tableau1345[[#This Row],[Repère]]="","",VLOOKUP(Tableau1345[[#This Row],[Repère]],Tableau1[#All],8,FALSE))</f>
        <v/>
      </c>
      <c r="I17" s="13" t="str">
        <f>IF(Tableau1345[[#This Row],[Repère]]="","",VLOOKUP(Tableau1345[[#This Row],[Repère]],Tableau1[#All],9,FALSE))</f>
        <v/>
      </c>
      <c r="J17" s="13" t="str">
        <f>IF(Tableau1345[[#This Row],[Repère]]="","",VLOOKUP(Tableau1345[[#This Row],[Repère]],Tableau1[#All],10,FALSE))</f>
        <v/>
      </c>
      <c r="K17" s="13" t="str">
        <f>IF(Tableau1345[[#This Row],[Repère]]="","",VLOOKUP(Tableau1345[[#This Row],[Repère]],Tableau1[#All],11,FALSE))</f>
        <v/>
      </c>
      <c r="L17" s="14" t="str">
        <f>IF(Tableau1345[[#This Row],[Repère]]="","",VLOOKUP(Tableau1345[[#This Row],[Repère]],Tableau1[#All],12,FALSE))</f>
        <v/>
      </c>
    </row>
    <row r="18" spans="1:12" x14ac:dyDescent="0.3">
      <c r="A18" s="18"/>
      <c r="B18" s="19"/>
      <c r="C18" s="13" t="str">
        <f>IF(Tableau1345[[#This Row],[Repère]]="","",VLOOKUP(Tableau1345[[#This Row],[Repère]],Tableau1[#All],3,FALSE))</f>
        <v/>
      </c>
      <c r="D18" s="13" t="str">
        <f>IF(Tableau1345[[#This Row],[Repère]]="","",VLOOKUP(Tableau1345[[#This Row],[Repère]],Tableau1[#All],4,FALSE))</f>
        <v/>
      </c>
      <c r="E18" s="13" t="str">
        <f>IF(Tableau1345[[#This Row],[Repère]]="","",VLOOKUP(Tableau1345[[#This Row],[Repère]],Tableau1[#All],5,FALSE))</f>
        <v/>
      </c>
      <c r="F18" s="13" t="str">
        <f>IF(Tableau1345[[#This Row],[Repère]]="","",VLOOKUP(Tableau1345[[#This Row],[Repère]],Tableau1[#All],6,FALSE))</f>
        <v/>
      </c>
      <c r="G18" s="13" t="str">
        <f>IF(Tableau1345[[#This Row],[Repère]]="","",VLOOKUP(Tableau1345[[#This Row],[Repère]],Tableau1[#All],7,FALSE))</f>
        <v/>
      </c>
      <c r="H18" s="13" t="str">
        <f>IF(Tableau1345[[#This Row],[Repère]]="","",VLOOKUP(Tableau1345[[#This Row],[Repère]],Tableau1[#All],8,FALSE))</f>
        <v/>
      </c>
      <c r="I18" s="13" t="str">
        <f>IF(Tableau1345[[#This Row],[Repère]]="","",VLOOKUP(Tableau1345[[#This Row],[Repère]],Tableau1[#All],9,FALSE))</f>
        <v/>
      </c>
      <c r="J18" s="13" t="str">
        <f>IF(Tableau1345[[#This Row],[Repère]]="","",VLOOKUP(Tableau1345[[#This Row],[Repère]],Tableau1[#All],10,FALSE))</f>
        <v/>
      </c>
      <c r="K18" s="13" t="str">
        <f>IF(Tableau1345[[#This Row],[Repère]]="","",VLOOKUP(Tableau1345[[#This Row],[Repère]],Tableau1[#All],11,FALSE))</f>
        <v/>
      </c>
      <c r="L18" s="14" t="str">
        <f>IF(Tableau1345[[#This Row],[Repère]]="","",VLOOKUP(Tableau1345[[#This Row],[Repère]],Tableau1[#All],12,FALSE))</f>
        <v/>
      </c>
    </row>
    <row r="19" spans="1:12" x14ac:dyDescent="0.3">
      <c r="A19" s="18"/>
      <c r="B19" s="19"/>
      <c r="C19" s="13" t="str">
        <f>IF(Tableau1345[[#This Row],[Repère]]="","",VLOOKUP(Tableau1345[[#This Row],[Repère]],Tableau1[#All],3,FALSE))</f>
        <v/>
      </c>
      <c r="D19" s="13" t="str">
        <f>IF(Tableau1345[[#This Row],[Repère]]="","",VLOOKUP(Tableau1345[[#This Row],[Repère]],Tableau1[#All],4,FALSE))</f>
        <v/>
      </c>
      <c r="E19" s="13" t="str">
        <f>IF(Tableau1345[[#This Row],[Repère]]="","",VLOOKUP(Tableau1345[[#This Row],[Repère]],Tableau1[#All],5,FALSE))</f>
        <v/>
      </c>
      <c r="F19" s="13" t="str">
        <f>IF(Tableau1345[[#This Row],[Repère]]="","",VLOOKUP(Tableau1345[[#This Row],[Repère]],Tableau1[#All],6,FALSE))</f>
        <v/>
      </c>
      <c r="G19" s="13" t="str">
        <f>IF(Tableau1345[[#This Row],[Repère]]="","",VLOOKUP(Tableau1345[[#This Row],[Repère]],Tableau1[#All],7,FALSE))</f>
        <v/>
      </c>
      <c r="H19" s="13" t="str">
        <f>IF(Tableau1345[[#This Row],[Repère]]="","",VLOOKUP(Tableau1345[[#This Row],[Repère]],Tableau1[#All],8,FALSE))</f>
        <v/>
      </c>
      <c r="I19" s="13" t="str">
        <f>IF(Tableau1345[[#This Row],[Repère]]="","",VLOOKUP(Tableau1345[[#This Row],[Repère]],Tableau1[#All],9,FALSE))</f>
        <v/>
      </c>
      <c r="J19" s="13" t="str">
        <f>IF(Tableau1345[[#This Row],[Repère]]="","",VLOOKUP(Tableau1345[[#This Row],[Repère]],Tableau1[#All],10,FALSE))</f>
        <v/>
      </c>
      <c r="K19" s="13" t="str">
        <f>IF(Tableau1345[[#This Row],[Repère]]="","",VLOOKUP(Tableau1345[[#This Row],[Repère]],Tableau1[#All],11,FALSE))</f>
        <v/>
      </c>
      <c r="L19" s="14" t="str">
        <f>IF(Tableau1345[[#This Row],[Repère]]="","",VLOOKUP(Tableau1345[[#This Row],[Repère]],Tableau1[#All],12,FALSE))</f>
        <v/>
      </c>
    </row>
    <row r="20" spans="1:12" x14ac:dyDescent="0.3">
      <c r="A20" s="18"/>
      <c r="B20" s="19"/>
      <c r="C20" s="13" t="str">
        <f>IF(Tableau1345[[#This Row],[Repère]]="","",VLOOKUP(Tableau1345[[#This Row],[Repère]],Tableau1[#All],3,FALSE))</f>
        <v/>
      </c>
      <c r="D20" s="13" t="str">
        <f>IF(Tableau1345[[#This Row],[Repère]]="","",VLOOKUP(Tableau1345[[#This Row],[Repère]],Tableau1[#All],4,FALSE))</f>
        <v/>
      </c>
      <c r="E20" s="13" t="str">
        <f>IF(Tableau1345[[#This Row],[Repère]]="","",VLOOKUP(Tableau1345[[#This Row],[Repère]],Tableau1[#All],5,FALSE))</f>
        <v/>
      </c>
      <c r="F20" s="13" t="str">
        <f>IF(Tableau1345[[#This Row],[Repère]]="","",VLOOKUP(Tableau1345[[#This Row],[Repère]],Tableau1[#All],6,FALSE))</f>
        <v/>
      </c>
      <c r="G20" s="13" t="str">
        <f>IF(Tableau1345[[#This Row],[Repère]]="","",VLOOKUP(Tableau1345[[#This Row],[Repère]],Tableau1[#All],7,FALSE))</f>
        <v/>
      </c>
      <c r="H20" s="13" t="str">
        <f>IF(Tableau1345[[#This Row],[Repère]]="","",VLOOKUP(Tableau1345[[#This Row],[Repère]],Tableau1[#All],8,FALSE))</f>
        <v/>
      </c>
      <c r="I20" s="13" t="str">
        <f>IF(Tableau1345[[#This Row],[Repère]]="","",VLOOKUP(Tableau1345[[#This Row],[Repère]],Tableau1[#All],9,FALSE))</f>
        <v/>
      </c>
      <c r="J20" s="13" t="str">
        <f>IF(Tableau1345[[#This Row],[Repère]]="","",VLOOKUP(Tableau1345[[#This Row],[Repère]],Tableau1[#All],10,FALSE))</f>
        <v/>
      </c>
      <c r="K20" s="13" t="str">
        <f>IF(Tableau1345[[#This Row],[Repère]]="","",VLOOKUP(Tableau1345[[#This Row],[Repère]],Tableau1[#All],11,FALSE))</f>
        <v/>
      </c>
      <c r="L20" s="14" t="str">
        <f>IF(Tableau1345[[#This Row],[Repère]]="","",VLOOKUP(Tableau1345[[#This Row],[Repère]],Tableau1[#All],12,FALSE))</f>
        <v/>
      </c>
    </row>
    <row r="21" spans="1:12" x14ac:dyDescent="0.3">
      <c r="A21" s="18"/>
      <c r="B21" s="19"/>
      <c r="C21" s="13" t="str">
        <f>IF(Tableau1345[[#This Row],[Repère]]="","",VLOOKUP(Tableau1345[[#This Row],[Repère]],Tableau1[#All],3,FALSE))</f>
        <v/>
      </c>
      <c r="D21" s="13" t="str">
        <f>IF(Tableau1345[[#This Row],[Repère]]="","",VLOOKUP(Tableau1345[[#This Row],[Repère]],Tableau1[#All],4,FALSE))</f>
        <v/>
      </c>
      <c r="E21" s="13" t="str">
        <f>IF(Tableau1345[[#This Row],[Repère]]="","",VLOOKUP(Tableau1345[[#This Row],[Repère]],Tableau1[#All],5,FALSE))</f>
        <v/>
      </c>
      <c r="F21" s="13" t="str">
        <f>IF(Tableau1345[[#This Row],[Repère]]="","",VLOOKUP(Tableau1345[[#This Row],[Repère]],Tableau1[#All],6,FALSE))</f>
        <v/>
      </c>
      <c r="G21" s="13" t="str">
        <f>IF(Tableau1345[[#This Row],[Repère]]="","",VLOOKUP(Tableau1345[[#This Row],[Repère]],Tableau1[#All],7,FALSE))</f>
        <v/>
      </c>
      <c r="H21" s="13" t="str">
        <f>IF(Tableau1345[[#This Row],[Repère]]="","",VLOOKUP(Tableau1345[[#This Row],[Repère]],Tableau1[#All],8,FALSE))</f>
        <v/>
      </c>
      <c r="I21" s="13" t="str">
        <f>IF(Tableau1345[[#This Row],[Repère]]="","",VLOOKUP(Tableau1345[[#This Row],[Repère]],Tableau1[#All],9,FALSE))</f>
        <v/>
      </c>
      <c r="J21" s="13" t="str">
        <f>IF(Tableau1345[[#This Row],[Repère]]="","",VLOOKUP(Tableau1345[[#This Row],[Repère]],Tableau1[#All],10,FALSE))</f>
        <v/>
      </c>
      <c r="K21" s="13" t="str">
        <f>IF(Tableau1345[[#This Row],[Repère]]="","",VLOOKUP(Tableau1345[[#This Row],[Repère]],Tableau1[#All],11,FALSE))</f>
        <v/>
      </c>
      <c r="L21" s="14" t="str">
        <f>IF(Tableau1345[[#This Row],[Repère]]="","",VLOOKUP(Tableau1345[[#This Row],[Repère]],Tableau1[#All],12,FALSE))</f>
        <v/>
      </c>
    </row>
    <row r="22" spans="1:12" x14ac:dyDescent="0.3">
      <c r="A22" s="18"/>
      <c r="B22" s="19"/>
      <c r="C22" s="13" t="str">
        <f>IF(Tableau1345[[#This Row],[Repère]]="","",VLOOKUP(Tableau1345[[#This Row],[Repère]],Tableau1[#All],3,FALSE))</f>
        <v/>
      </c>
      <c r="D22" s="13" t="str">
        <f>IF(Tableau1345[[#This Row],[Repère]]="","",VLOOKUP(Tableau1345[[#This Row],[Repère]],Tableau1[#All],4,FALSE))</f>
        <v/>
      </c>
      <c r="E22" s="13" t="str">
        <f>IF(Tableau1345[[#This Row],[Repère]]="","",VLOOKUP(Tableau1345[[#This Row],[Repère]],Tableau1[#All],5,FALSE))</f>
        <v/>
      </c>
      <c r="F22" s="13" t="str">
        <f>IF(Tableau1345[[#This Row],[Repère]]="","",VLOOKUP(Tableau1345[[#This Row],[Repère]],Tableau1[#All],6,FALSE))</f>
        <v/>
      </c>
      <c r="G22" s="13" t="str">
        <f>IF(Tableau1345[[#This Row],[Repère]]="","",VLOOKUP(Tableau1345[[#This Row],[Repère]],Tableau1[#All],7,FALSE))</f>
        <v/>
      </c>
      <c r="H22" s="13" t="str">
        <f>IF(Tableau1345[[#This Row],[Repère]]="","",VLOOKUP(Tableau1345[[#This Row],[Repère]],Tableau1[#All],8,FALSE))</f>
        <v/>
      </c>
      <c r="I22" s="13" t="str">
        <f>IF(Tableau1345[[#This Row],[Repère]]="","",VLOOKUP(Tableau1345[[#This Row],[Repère]],Tableau1[#All],9,FALSE))</f>
        <v/>
      </c>
      <c r="J22" s="13" t="str">
        <f>IF(Tableau1345[[#This Row],[Repère]]="","",VLOOKUP(Tableau1345[[#This Row],[Repère]],Tableau1[#All],10,FALSE))</f>
        <v/>
      </c>
      <c r="K22" s="13" t="str">
        <f>IF(Tableau1345[[#This Row],[Repère]]="","",VLOOKUP(Tableau1345[[#This Row],[Repère]],Tableau1[#All],11,FALSE))</f>
        <v/>
      </c>
      <c r="L22" s="14" t="str">
        <f>IF(Tableau1345[[#This Row],[Repère]]="","",VLOOKUP(Tableau1345[[#This Row],[Repère]],Tableau1[#All],12,FALSE))</f>
        <v/>
      </c>
    </row>
    <row r="23" spans="1:12" x14ac:dyDescent="0.3">
      <c r="A23" s="18"/>
      <c r="B23" s="19"/>
      <c r="C23" s="13" t="str">
        <f>IF(Tableau1345[[#This Row],[Repère]]="","",VLOOKUP(Tableau1345[[#This Row],[Repère]],Tableau1[#All],3,FALSE))</f>
        <v/>
      </c>
      <c r="D23" s="13" t="str">
        <f>IF(Tableau1345[[#This Row],[Repère]]="","",VLOOKUP(Tableau1345[[#This Row],[Repère]],Tableau1[#All],4,FALSE))</f>
        <v/>
      </c>
      <c r="E23" s="13" t="str">
        <f>IF(Tableau1345[[#This Row],[Repère]]="","",VLOOKUP(Tableau1345[[#This Row],[Repère]],Tableau1[#All],5,FALSE))</f>
        <v/>
      </c>
      <c r="F23" s="13" t="str">
        <f>IF(Tableau1345[[#This Row],[Repère]]="","",VLOOKUP(Tableau1345[[#This Row],[Repère]],Tableau1[#All],6,FALSE))</f>
        <v/>
      </c>
      <c r="G23" s="13" t="str">
        <f>IF(Tableau1345[[#This Row],[Repère]]="","",VLOOKUP(Tableau1345[[#This Row],[Repère]],Tableau1[#All],7,FALSE))</f>
        <v/>
      </c>
      <c r="H23" s="13" t="str">
        <f>IF(Tableau1345[[#This Row],[Repère]]="","",VLOOKUP(Tableau1345[[#This Row],[Repère]],Tableau1[#All],8,FALSE))</f>
        <v/>
      </c>
      <c r="I23" s="13" t="str">
        <f>IF(Tableau1345[[#This Row],[Repère]]="","",VLOOKUP(Tableau1345[[#This Row],[Repère]],Tableau1[#All],9,FALSE))</f>
        <v/>
      </c>
      <c r="J23" s="13" t="str">
        <f>IF(Tableau1345[[#This Row],[Repère]]="","",VLOOKUP(Tableau1345[[#This Row],[Repère]],Tableau1[#All],10,FALSE))</f>
        <v/>
      </c>
      <c r="K23" s="13" t="str">
        <f>IF(Tableau1345[[#This Row],[Repère]]="","",VLOOKUP(Tableau1345[[#This Row],[Repère]],Tableau1[#All],11,FALSE))</f>
        <v/>
      </c>
      <c r="L23" s="14" t="str">
        <f>IF(Tableau1345[[#This Row],[Repère]]="","",VLOOKUP(Tableau1345[[#This Row],[Repère]],Tableau1[#All],12,FALSE))</f>
        <v/>
      </c>
    </row>
    <row r="24" spans="1:12" x14ac:dyDescent="0.3">
      <c r="A24" s="18"/>
      <c r="B24" s="19"/>
      <c r="C24" s="13" t="str">
        <f>IF(Tableau1345[[#This Row],[Repère]]="","",VLOOKUP(Tableau1345[[#This Row],[Repère]],Tableau1[#All],3,FALSE))</f>
        <v/>
      </c>
      <c r="D24" s="13" t="str">
        <f>IF(Tableau1345[[#This Row],[Repère]]="","",VLOOKUP(Tableau1345[[#This Row],[Repère]],Tableau1[#All],4,FALSE))</f>
        <v/>
      </c>
      <c r="E24" s="13" t="str">
        <f>IF(Tableau1345[[#This Row],[Repère]]="","",VLOOKUP(Tableau1345[[#This Row],[Repère]],Tableau1[#All],5,FALSE))</f>
        <v/>
      </c>
      <c r="F24" s="13" t="str">
        <f>IF(Tableau1345[[#This Row],[Repère]]="","",VLOOKUP(Tableau1345[[#This Row],[Repère]],Tableau1[#All],6,FALSE))</f>
        <v/>
      </c>
      <c r="G24" s="13" t="str">
        <f>IF(Tableau1345[[#This Row],[Repère]]="","",VLOOKUP(Tableau1345[[#This Row],[Repère]],Tableau1[#All],7,FALSE))</f>
        <v/>
      </c>
      <c r="H24" s="13" t="str">
        <f>IF(Tableau1345[[#This Row],[Repère]]="","",VLOOKUP(Tableau1345[[#This Row],[Repère]],Tableau1[#All],8,FALSE))</f>
        <v/>
      </c>
      <c r="I24" s="13" t="str">
        <f>IF(Tableau1345[[#This Row],[Repère]]="","",VLOOKUP(Tableau1345[[#This Row],[Repère]],Tableau1[#All],9,FALSE))</f>
        <v/>
      </c>
      <c r="J24" s="13" t="str">
        <f>IF(Tableau1345[[#This Row],[Repère]]="","",VLOOKUP(Tableau1345[[#This Row],[Repère]],Tableau1[#All],10,FALSE))</f>
        <v/>
      </c>
      <c r="K24" s="13" t="str">
        <f>IF(Tableau1345[[#This Row],[Repère]]="","",VLOOKUP(Tableau1345[[#This Row],[Repère]],Tableau1[#All],11,FALSE))</f>
        <v/>
      </c>
      <c r="L24" s="14" t="str">
        <f>IF(Tableau1345[[#This Row],[Repère]]="","",VLOOKUP(Tableau1345[[#This Row],[Repère]],Tableau1[#All],12,FALSE))</f>
        <v/>
      </c>
    </row>
    <row r="25" spans="1:12" x14ac:dyDescent="0.3">
      <c r="A25" s="18"/>
      <c r="B25" s="19"/>
      <c r="C25" s="13" t="str">
        <f>IF(Tableau1345[[#This Row],[Repère]]="","",VLOOKUP(Tableau1345[[#This Row],[Repère]],Tableau1[#All],3,FALSE))</f>
        <v/>
      </c>
      <c r="D25" s="13" t="str">
        <f>IF(Tableau1345[[#This Row],[Repère]]="","",VLOOKUP(Tableau1345[[#This Row],[Repère]],Tableau1[#All],4,FALSE))</f>
        <v/>
      </c>
      <c r="E25" s="13" t="str">
        <f>IF(Tableau1345[[#This Row],[Repère]]="","",VLOOKUP(Tableau1345[[#This Row],[Repère]],Tableau1[#All],5,FALSE))</f>
        <v/>
      </c>
      <c r="F25" s="13" t="str">
        <f>IF(Tableau1345[[#This Row],[Repère]]="","",VLOOKUP(Tableau1345[[#This Row],[Repère]],Tableau1[#All],6,FALSE))</f>
        <v/>
      </c>
      <c r="G25" s="13" t="str">
        <f>IF(Tableau1345[[#This Row],[Repère]]="","",VLOOKUP(Tableau1345[[#This Row],[Repère]],Tableau1[#All],7,FALSE))</f>
        <v/>
      </c>
      <c r="H25" s="13" t="str">
        <f>IF(Tableau1345[[#This Row],[Repère]]="","",VLOOKUP(Tableau1345[[#This Row],[Repère]],Tableau1[#All],8,FALSE))</f>
        <v/>
      </c>
      <c r="I25" s="13" t="str">
        <f>IF(Tableau1345[[#This Row],[Repère]]="","",VLOOKUP(Tableau1345[[#This Row],[Repère]],Tableau1[#All],9,FALSE))</f>
        <v/>
      </c>
      <c r="J25" s="13" t="str">
        <f>IF(Tableau1345[[#This Row],[Repère]]="","",VLOOKUP(Tableau1345[[#This Row],[Repère]],Tableau1[#All],10,FALSE))</f>
        <v/>
      </c>
      <c r="K25" s="13" t="str">
        <f>IF(Tableau1345[[#This Row],[Repère]]="","",VLOOKUP(Tableau1345[[#This Row],[Repère]],Tableau1[#All],11,FALSE))</f>
        <v/>
      </c>
      <c r="L25" s="14" t="str">
        <f>IF(Tableau1345[[#This Row],[Repère]]="","",VLOOKUP(Tableau1345[[#This Row],[Repère]],Tableau1[#All],12,FALSE))</f>
        <v/>
      </c>
    </row>
    <row r="26" spans="1:12" x14ac:dyDescent="0.3">
      <c r="A26" s="18"/>
      <c r="B26" s="19"/>
      <c r="C26" s="13" t="str">
        <f>IF(Tableau1345[[#This Row],[Repère]]="","",VLOOKUP(Tableau1345[[#This Row],[Repère]],Tableau1[#All],3,FALSE))</f>
        <v/>
      </c>
      <c r="D26" s="13" t="str">
        <f>IF(Tableau1345[[#This Row],[Repère]]="","",VLOOKUP(Tableau1345[[#This Row],[Repère]],Tableau1[#All],4,FALSE))</f>
        <v/>
      </c>
      <c r="E26" s="13" t="str">
        <f>IF(Tableau1345[[#This Row],[Repère]]="","",VLOOKUP(Tableau1345[[#This Row],[Repère]],Tableau1[#All],5,FALSE))</f>
        <v/>
      </c>
      <c r="F26" s="13" t="str">
        <f>IF(Tableau1345[[#This Row],[Repère]]="","",VLOOKUP(Tableau1345[[#This Row],[Repère]],Tableau1[#All],6,FALSE))</f>
        <v/>
      </c>
      <c r="G26" s="13" t="str">
        <f>IF(Tableau1345[[#This Row],[Repère]]="","",VLOOKUP(Tableau1345[[#This Row],[Repère]],Tableau1[#All],7,FALSE))</f>
        <v/>
      </c>
      <c r="H26" s="13" t="str">
        <f>IF(Tableau1345[[#This Row],[Repère]]="","",VLOOKUP(Tableau1345[[#This Row],[Repère]],Tableau1[#All],8,FALSE))</f>
        <v/>
      </c>
      <c r="I26" s="13" t="str">
        <f>IF(Tableau1345[[#This Row],[Repère]]="","",VLOOKUP(Tableau1345[[#This Row],[Repère]],Tableau1[#All],9,FALSE))</f>
        <v/>
      </c>
      <c r="J26" s="13" t="str">
        <f>IF(Tableau1345[[#This Row],[Repère]]="","",VLOOKUP(Tableau1345[[#This Row],[Repère]],Tableau1[#All],10,FALSE))</f>
        <v/>
      </c>
      <c r="K26" s="13" t="str">
        <f>IF(Tableau1345[[#This Row],[Repère]]="","",VLOOKUP(Tableau1345[[#This Row],[Repère]],Tableau1[#All],11,FALSE))</f>
        <v/>
      </c>
      <c r="L26" s="14" t="str">
        <f>IF(Tableau1345[[#This Row],[Repère]]="","",VLOOKUP(Tableau1345[[#This Row],[Repère]],Tableau1[#All],12,FALSE))</f>
        <v/>
      </c>
    </row>
    <row r="27" spans="1:12" x14ac:dyDescent="0.3">
      <c r="A27" s="18"/>
      <c r="B27" s="19"/>
      <c r="C27" s="13" t="str">
        <f>IF(Tableau1345[[#This Row],[Repère]]="","",VLOOKUP(Tableau1345[[#This Row],[Repère]],Tableau1[#All],3,FALSE))</f>
        <v/>
      </c>
      <c r="D27" s="13" t="str">
        <f>IF(Tableau1345[[#This Row],[Repère]]="","",VLOOKUP(Tableau1345[[#This Row],[Repère]],Tableau1[#All],4,FALSE))</f>
        <v/>
      </c>
      <c r="E27" s="13" t="str">
        <f>IF(Tableau1345[[#This Row],[Repère]]="","",VLOOKUP(Tableau1345[[#This Row],[Repère]],Tableau1[#All],5,FALSE))</f>
        <v/>
      </c>
      <c r="F27" s="13" t="str">
        <f>IF(Tableau1345[[#This Row],[Repère]]="","",VLOOKUP(Tableau1345[[#This Row],[Repère]],Tableau1[#All],6,FALSE))</f>
        <v/>
      </c>
      <c r="G27" s="13" t="str">
        <f>IF(Tableau1345[[#This Row],[Repère]]="","",VLOOKUP(Tableau1345[[#This Row],[Repère]],Tableau1[#All],7,FALSE))</f>
        <v/>
      </c>
      <c r="H27" s="13" t="str">
        <f>IF(Tableau1345[[#This Row],[Repère]]="","",VLOOKUP(Tableau1345[[#This Row],[Repère]],Tableau1[#All],8,FALSE))</f>
        <v/>
      </c>
      <c r="I27" s="13" t="str">
        <f>IF(Tableau1345[[#This Row],[Repère]]="","",VLOOKUP(Tableau1345[[#This Row],[Repère]],Tableau1[#All],9,FALSE))</f>
        <v/>
      </c>
      <c r="J27" s="13" t="str">
        <f>IF(Tableau1345[[#This Row],[Repère]]="","",VLOOKUP(Tableau1345[[#This Row],[Repère]],Tableau1[#All],10,FALSE))</f>
        <v/>
      </c>
      <c r="K27" s="13" t="str">
        <f>IF(Tableau1345[[#This Row],[Repère]]="","",VLOOKUP(Tableau1345[[#This Row],[Repère]],Tableau1[#All],11,FALSE))</f>
        <v/>
      </c>
      <c r="L27" s="14" t="str">
        <f>IF(Tableau1345[[#This Row],[Repère]]="","",VLOOKUP(Tableau1345[[#This Row],[Repère]],Tableau1[#All],12,FALSE))</f>
        <v/>
      </c>
    </row>
    <row r="28" spans="1:12" x14ac:dyDescent="0.3">
      <c r="A28" s="18"/>
      <c r="B28" s="19"/>
      <c r="C28" s="13" t="str">
        <f>IF(Tableau1345[[#This Row],[Repère]]="","",VLOOKUP(Tableau1345[[#This Row],[Repère]],Tableau1[#All],3,FALSE))</f>
        <v/>
      </c>
      <c r="D28" s="13" t="str">
        <f>IF(Tableau1345[[#This Row],[Repère]]="","",VLOOKUP(Tableau1345[[#This Row],[Repère]],Tableau1[#All],4,FALSE))</f>
        <v/>
      </c>
      <c r="E28" s="13" t="str">
        <f>IF(Tableau1345[[#This Row],[Repère]]="","",VLOOKUP(Tableau1345[[#This Row],[Repère]],Tableau1[#All],5,FALSE))</f>
        <v/>
      </c>
      <c r="F28" s="13" t="str">
        <f>IF(Tableau1345[[#This Row],[Repère]]="","",VLOOKUP(Tableau1345[[#This Row],[Repère]],Tableau1[#All],6,FALSE))</f>
        <v/>
      </c>
      <c r="G28" s="13" t="str">
        <f>IF(Tableau1345[[#This Row],[Repère]]="","",VLOOKUP(Tableau1345[[#This Row],[Repère]],Tableau1[#All],7,FALSE))</f>
        <v/>
      </c>
      <c r="H28" s="13" t="str">
        <f>IF(Tableau1345[[#This Row],[Repère]]="","",VLOOKUP(Tableau1345[[#This Row],[Repère]],Tableau1[#All],8,FALSE))</f>
        <v/>
      </c>
      <c r="I28" s="13" t="str">
        <f>IF(Tableau1345[[#This Row],[Repère]]="","",VLOOKUP(Tableau1345[[#This Row],[Repère]],Tableau1[#All],9,FALSE))</f>
        <v/>
      </c>
      <c r="J28" s="13" t="str">
        <f>IF(Tableau1345[[#This Row],[Repère]]="","",VLOOKUP(Tableau1345[[#This Row],[Repère]],Tableau1[#All],10,FALSE))</f>
        <v/>
      </c>
      <c r="K28" s="13" t="str">
        <f>IF(Tableau1345[[#This Row],[Repère]]="","",VLOOKUP(Tableau1345[[#This Row],[Repère]],Tableau1[#All],11,FALSE))</f>
        <v/>
      </c>
      <c r="L28" s="14" t="str">
        <f>IF(Tableau1345[[#This Row],[Repère]]="","",VLOOKUP(Tableau1345[[#This Row],[Repère]],Tableau1[#All],12,FALSE))</f>
        <v/>
      </c>
    </row>
    <row r="29" spans="1:12" x14ac:dyDescent="0.3">
      <c r="A29" s="18"/>
      <c r="B29" s="19"/>
      <c r="C29" s="13" t="str">
        <f>IF(Tableau1345[[#This Row],[Repère]]="","",VLOOKUP(Tableau1345[[#This Row],[Repère]],Tableau1[#All],3,FALSE))</f>
        <v/>
      </c>
      <c r="D29" s="13" t="str">
        <f>IF(Tableau1345[[#This Row],[Repère]]="","",VLOOKUP(Tableau1345[[#This Row],[Repère]],Tableau1[#All],4,FALSE))</f>
        <v/>
      </c>
      <c r="E29" s="13" t="str">
        <f>IF(Tableau1345[[#This Row],[Repère]]="","",VLOOKUP(Tableau1345[[#This Row],[Repère]],Tableau1[#All],5,FALSE))</f>
        <v/>
      </c>
      <c r="F29" s="13" t="str">
        <f>IF(Tableau1345[[#This Row],[Repère]]="","",VLOOKUP(Tableau1345[[#This Row],[Repère]],Tableau1[#All],6,FALSE))</f>
        <v/>
      </c>
      <c r="G29" s="13" t="str">
        <f>IF(Tableau1345[[#This Row],[Repère]]="","",VLOOKUP(Tableau1345[[#This Row],[Repère]],Tableau1[#All],7,FALSE))</f>
        <v/>
      </c>
      <c r="H29" s="13" t="str">
        <f>IF(Tableau1345[[#This Row],[Repère]]="","",VLOOKUP(Tableau1345[[#This Row],[Repère]],Tableau1[#All],8,FALSE))</f>
        <v/>
      </c>
      <c r="I29" s="13" t="str">
        <f>IF(Tableau1345[[#This Row],[Repère]]="","",VLOOKUP(Tableau1345[[#This Row],[Repère]],Tableau1[#All],9,FALSE))</f>
        <v/>
      </c>
      <c r="J29" s="13" t="str">
        <f>IF(Tableau1345[[#This Row],[Repère]]="","",VLOOKUP(Tableau1345[[#This Row],[Repère]],Tableau1[#All],10,FALSE))</f>
        <v/>
      </c>
      <c r="K29" s="13" t="str">
        <f>IF(Tableau1345[[#This Row],[Repère]]="","",VLOOKUP(Tableau1345[[#This Row],[Repère]],Tableau1[#All],11,FALSE))</f>
        <v/>
      </c>
      <c r="L29" s="14" t="str">
        <f>IF(Tableau1345[[#This Row],[Repère]]="","",VLOOKUP(Tableau1345[[#This Row],[Repère]],Tableau1[#All],12,FALSE))</f>
        <v/>
      </c>
    </row>
    <row r="30" spans="1:12" x14ac:dyDescent="0.3">
      <c r="A30" s="18"/>
      <c r="B30" s="19"/>
      <c r="C30" s="13" t="str">
        <f>IF(Tableau1345[[#This Row],[Repère]]="","",VLOOKUP(Tableau1345[[#This Row],[Repère]],Tableau1[#All],3,FALSE))</f>
        <v/>
      </c>
      <c r="D30" s="13" t="str">
        <f>IF(Tableau1345[[#This Row],[Repère]]="","",VLOOKUP(Tableau1345[[#This Row],[Repère]],Tableau1[#All],4,FALSE))</f>
        <v/>
      </c>
      <c r="E30" s="13" t="str">
        <f>IF(Tableau1345[[#This Row],[Repère]]="","",VLOOKUP(Tableau1345[[#This Row],[Repère]],Tableau1[#All],5,FALSE))</f>
        <v/>
      </c>
      <c r="F30" s="13" t="str">
        <f>IF(Tableau1345[[#This Row],[Repère]]="","",VLOOKUP(Tableau1345[[#This Row],[Repère]],Tableau1[#All],6,FALSE))</f>
        <v/>
      </c>
      <c r="G30" s="13" t="str">
        <f>IF(Tableau1345[[#This Row],[Repère]]="","",VLOOKUP(Tableau1345[[#This Row],[Repère]],Tableau1[#All],7,FALSE))</f>
        <v/>
      </c>
      <c r="H30" s="13" t="str">
        <f>IF(Tableau1345[[#This Row],[Repère]]="","",VLOOKUP(Tableau1345[[#This Row],[Repère]],Tableau1[#All],8,FALSE))</f>
        <v/>
      </c>
      <c r="I30" s="13" t="str">
        <f>IF(Tableau1345[[#This Row],[Repère]]="","",VLOOKUP(Tableau1345[[#This Row],[Repère]],Tableau1[#All],9,FALSE))</f>
        <v/>
      </c>
      <c r="J30" s="13" t="str">
        <f>IF(Tableau1345[[#This Row],[Repère]]="","",VLOOKUP(Tableau1345[[#This Row],[Repère]],Tableau1[#All],10,FALSE))</f>
        <v/>
      </c>
      <c r="K30" s="13" t="str">
        <f>IF(Tableau1345[[#This Row],[Repère]]="","",VLOOKUP(Tableau1345[[#This Row],[Repère]],Tableau1[#All],11,FALSE))</f>
        <v/>
      </c>
      <c r="L30" s="14" t="str">
        <f>IF(Tableau1345[[#This Row],[Repère]]="","",VLOOKUP(Tableau1345[[#This Row],[Repère]],Tableau1[#All],12,FALSE))</f>
        <v/>
      </c>
    </row>
    <row r="31" spans="1:12" x14ac:dyDescent="0.3">
      <c r="A31" s="18"/>
      <c r="B31" s="19"/>
      <c r="C31" s="13" t="str">
        <f>IF(Tableau1345[[#This Row],[Repère]]="","",VLOOKUP(Tableau1345[[#This Row],[Repère]],Tableau1[#All],3,FALSE))</f>
        <v/>
      </c>
      <c r="D31" s="13" t="str">
        <f>IF(Tableau1345[[#This Row],[Repère]]="","",VLOOKUP(Tableau1345[[#This Row],[Repère]],Tableau1[#All],4,FALSE))</f>
        <v/>
      </c>
      <c r="E31" s="13" t="str">
        <f>IF(Tableau1345[[#This Row],[Repère]]="","",VLOOKUP(Tableau1345[[#This Row],[Repère]],Tableau1[#All],5,FALSE))</f>
        <v/>
      </c>
      <c r="F31" s="13" t="str">
        <f>IF(Tableau1345[[#This Row],[Repère]]="","",VLOOKUP(Tableau1345[[#This Row],[Repère]],Tableau1[#All],6,FALSE))</f>
        <v/>
      </c>
      <c r="G31" s="13" t="str">
        <f>IF(Tableau1345[[#This Row],[Repère]]="","",VLOOKUP(Tableau1345[[#This Row],[Repère]],Tableau1[#All],7,FALSE))</f>
        <v/>
      </c>
      <c r="H31" s="13" t="str">
        <f>IF(Tableau1345[[#This Row],[Repère]]="","",VLOOKUP(Tableau1345[[#This Row],[Repère]],Tableau1[#All],8,FALSE))</f>
        <v/>
      </c>
      <c r="I31" s="13" t="str">
        <f>IF(Tableau1345[[#This Row],[Repère]]="","",VLOOKUP(Tableau1345[[#This Row],[Repère]],Tableau1[#All],9,FALSE))</f>
        <v/>
      </c>
      <c r="J31" s="13" t="str">
        <f>IF(Tableau1345[[#This Row],[Repère]]="","",VLOOKUP(Tableau1345[[#This Row],[Repère]],Tableau1[#All],10,FALSE))</f>
        <v/>
      </c>
      <c r="K31" s="13" t="str">
        <f>IF(Tableau1345[[#This Row],[Repère]]="","",VLOOKUP(Tableau1345[[#This Row],[Repère]],Tableau1[#All],11,FALSE))</f>
        <v/>
      </c>
      <c r="L31" s="14" t="str">
        <f>IF(Tableau1345[[#This Row],[Repère]]="","",VLOOKUP(Tableau1345[[#This Row],[Repère]],Tableau1[#All],12,FALSE))</f>
        <v/>
      </c>
    </row>
    <row r="32" spans="1:12" x14ac:dyDescent="0.3">
      <c r="A32" s="18"/>
      <c r="B32" s="19"/>
      <c r="C32" s="13" t="str">
        <f>IF(Tableau1345[[#This Row],[Repère]]="","",VLOOKUP(Tableau1345[[#This Row],[Repère]],Tableau1[#All],3,FALSE))</f>
        <v/>
      </c>
      <c r="D32" s="13" t="str">
        <f>IF(Tableau1345[[#This Row],[Repère]]="","",VLOOKUP(Tableau1345[[#This Row],[Repère]],Tableau1[#All],4,FALSE))</f>
        <v/>
      </c>
      <c r="E32" s="13" t="str">
        <f>IF(Tableau1345[[#This Row],[Repère]]="","",VLOOKUP(Tableau1345[[#This Row],[Repère]],Tableau1[#All],5,FALSE))</f>
        <v/>
      </c>
      <c r="F32" s="13" t="str">
        <f>IF(Tableau1345[[#This Row],[Repère]]="","",VLOOKUP(Tableau1345[[#This Row],[Repère]],Tableau1[#All],6,FALSE))</f>
        <v/>
      </c>
      <c r="G32" s="13" t="str">
        <f>IF(Tableau1345[[#This Row],[Repère]]="","",VLOOKUP(Tableau1345[[#This Row],[Repère]],Tableau1[#All],7,FALSE))</f>
        <v/>
      </c>
      <c r="H32" s="13" t="str">
        <f>IF(Tableau1345[[#This Row],[Repère]]="","",VLOOKUP(Tableau1345[[#This Row],[Repère]],Tableau1[#All],8,FALSE))</f>
        <v/>
      </c>
      <c r="I32" s="13" t="str">
        <f>IF(Tableau1345[[#This Row],[Repère]]="","",VLOOKUP(Tableau1345[[#This Row],[Repère]],Tableau1[#All],9,FALSE))</f>
        <v/>
      </c>
      <c r="J32" s="13" t="str">
        <f>IF(Tableau1345[[#This Row],[Repère]]="","",VLOOKUP(Tableau1345[[#This Row],[Repère]],Tableau1[#All],10,FALSE))</f>
        <v/>
      </c>
      <c r="K32" s="13" t="str">
        <f>IF(Tableau1345[[#This Row],[Repère]]="","",VLOOKUP(Tableau1345[[#This Row],[Repère]],Tableau1[#All],11,FALSE))</f>
        <v/>
      </c>
      <c r="L32" s="14" t="str">
        <f>IF(Tableau1345[[#This Row],[Repère]]="","",VLOOKUP(Tableau1345[[#This Row],[Repère]],Tableau1[#All],12,FALSE))</f>
        <v/>
      </c>
    </row>
    <row r="33" spans="1:12" x14ac:dyDescent="0.3">
      <c r="A33" s="18"/>
      <c r="B33" s="19"/>
      <c r="C33" s="13" t="str">
        <f>IF(Tableau1345[[#This Row],[Repère]]="","",VLOOKUP(Tableau1345[[#This Row],[Repère]],Tableau1[#All],3,FALSE))</f>
        <v/>
      </c>
      <c r="D33" s="13" t="str">
        <f>IF(Tableau1345[[#This Row],[Repère]]="","",VLOOKUP(Tableau1345[[#This Row],[Repère]],Tableau1[#All],4,FALSE))</f>
        <v/>
      </c>
      <c r="E33" s="13" t="str">
        <f>IF(Tableau1345[[#This Row],[Repère]]="","",VLOOKUP(Tableau1345[[#This Row],[Repère]],Tableau1[#All],5,FALSE))</f>
        <v/>
      </c>
      <c r="F33" s="13" t="str">
        <f>IF(Tableau1345[[#This Row],[Repère]]="","",VLOOKUP(Tableau1345[[#This Row],[Repère]],Tableau1[#All],6,FALSE))</f>
        <v/>
      </c>
      <c r="G33" s="13" t="str">
        <f>IF(Tableau1345[[#This Row],[Repère]]="","",VLOOKUP(Tableau1345[[#This Row],[Repère]],Tableau1[#All],7,FALSE))</f>
        <v/>
      </c>
      <c r="H33" s="13" t="str">
        <f>IF(Tableau1345[[#This Row],[Repère]]="","",VLOOKUP(Tableau1345[[#This Row],[Repère]],Tableau1[#All],8,FALSE))</f>
        <v/>
      </c>
      <c r="I33" s="13" t="str">
        <f>IF(Tableau1345[[#This Row],[Repère]]="","",VLOOKUP(Tableau1345[[#This Row],[Repère]],Tableau1[#All],9,FALSE))</f>
        <v/>
      </c>
      <c r="J33" s="13" t="str">
        <f>IF(Tableau1345[[#This Row],[Repère]]="","",VLOOKUP(Tableau1345[[#This Row],[Repère]],Tableau1[#All],10,FALSE))</f>
        <v/>
      </c>
      <c r="K33" s="13" t="str">
        <f>IF(Tableau1345[[#This Row],[Repère]]="","",VLOOKUP(Tableau1345[[#This Row],[Repère]],Tableau1[#All],11,FALSE))</f>
        <v/>
      </c>
      <c r="L33" s="14" t="str">
        <f>IF(Tableau1345[[#This Row],[Repère]]="","",VLOOKUP(Tableau1345[[#This Row],[Repère]],Tableau1[#All],12,FALSE))</f>
        <v/>
      </c>
    </row>
    <row r="34" spans="1:12" x14ac:dyDescent="0.3">
      <c r="A34" s="18"/>
      <c r="B34" s="19"/>
      <c r="C34" s="13" t="str">
        <f>IF(Tableau1345[[#This Row],[Repère]]="","",VLOOKUP(Tableau1345[[#This Row],[Repère]],Tableau1[#All],3,FALSE))</f>
        <v/>
      </c>
      <c r="D34" s="13" t="str">
        <f>IF(Tableau1345[[#This Row],[Repère]]="","",VLOOKUP(Tableau1345[[#This Row],[Repère]],Tableau1[#All],4,FALSE))</f>
        <v/>
      </c>
      <c r="E34" s="13" t="str">
        <f>IF(Tableau1345[[#This Row],[Repère]]="","",VLOOKUP(Tableau1345[[#This Row],[Repère]],Tableau1[#All],5,FALSE))</f>
        <v/>
      </c>
      <c r="F34" s="13" t="str">
        <f>IF(Tableau1345[[#This Row],[Repère]]="","",VLOOKUP(Tableau1345[[#This Row],[Repère]],Tableau1[#All],6,FALSE))</f>
        <v/>
      </c>
      <c r="G34" s="13" t="str">
        <f>IF(Tableau1345[[#This Row],[Repère]]="","",VLOOKUP(Tableau1345[[#This Row],[Repère]],Tableau1[#All],7,FALSE))</f>
        <v/>
      </c>
      <c r="H34" s="13" t="str">
        <f>IF(Tableau1345[[#This Row],[Repère]]="","",VLOOKUP(Tableau1345[[#This Row],[Repère]],Tableau1[#All],8,FALSE))</f>
        <v/>
      </c>
      <c r="I34" s="13" t="str">
        <f>IF(Tableau1345[[#This Row],[Repère]]="","",VLOOKUP(Tableau1345[[#This Row],[Repère]],Tableau1[#All],9,FALSE))</f>
        <v/>
      </c>
      <c r="J34" s="13" t="str">
        <f>IF(Tableau1345[[#This Row],[Repère]]="","",VLOOKUP(Tableau1345[[#This Row],[Repère]],Tableau1[#All],10,FALSE))</f>
        <v/>
      </c>
      <c r="K34" s="13" t="str">
        <f>IF(Tableau1345[[#This Row],[Repère]]="","",VLOOKUP(Tableau1345[[#This Row],[Repère]],Tableau1[#All],11,FALSE))</f>
        <v/>
      </c>
      <c r="L34" s="14" t="str">
        <f>IF(Tableau1345[[#This Row],[Repère]]="","",VLOOKUP(Tableau1345[[#This Row],[Repère]],Tableau1[#All],12,FALSE))</f>
        <v/>
      </c>
    </row>
    <row r="35" spans="1:12" x14ac:dyDescent="0.3">
      <c r="A35" s="18"/>
      <c r="B35" s="19"/>
      <c r="C35" s="13" t="str">
        <f>IF(Tableau1345[[#This Row],[Repère]]="","",VLOOKUP(Tableau1345[[#This Row],[Repère]],Tableau1[#All],3,FALSE))</f>
        <v/>
      </c>
      <c r="D35" s="13" t="str">
        <f>IF(Tableau1345[[#This Row],[Repère]]="","",VLOOKUP(Tableau1345[[#This Row],[Repère]],Tableau1[#All],4,FALSE))</f>
        <v/>
      </c>
      <c r="E35" s="13" t="str">
        <f>IF(Tableau1345[[#This Row],[Repère]]="","",VLOOKUP(Tableau1345[[#This Row],[Repère]],Tableau1[#All],5,FALSE))</f>
        <v/>
      </c>
      <c r="F35" s="13" t="str">
        <f>IF(Tableau1345[[#This Row],[Repère]]="","",VLOOKUP(Tableau1345[[#This Row],[Repère]],Tableau1[#All],6,FALSE))</f>
        <v/>
      </c>
      <c r="G35" s="13" t="str">
        <f>IF(Tableau1345[[#This Row],[Repère]]="","",VLOOKUP(Tableau1345[[#This Row],[Repère]],Tableau1[#All],7,FALSE))</f>
        <v/>
      </c>
      <c r="H35" s="13" t="str">
        <f>IF(Tableau1345[[#This Row],[Repère]]="","",VLOOKUP(Tableau1345[[#This Row],[Repère]],Tableau1[#All],8,FALSE))</f>
        <v/>
      </c>
      <c r="I35" s="13" t="str">
        <f>IF(Tableau1345[[#This Row],[Repère]]="","",VLOOKUP(Tableau1345[[#This Row],[Repère]],Tableau1[#All],9,FALSE))</f>
        <v/>
      </c>
      <c r="J35" s="13" t="str">
        <f>IF(Tableau1345[[#This Row],[Repère]]="","",VLOOKUP(Tableau1345[[#This Row],[Repère]],Tableau1[#All],10,FALSE))</f>
        <v/>
      </c>
      <c r="K35" s="13" t="str">
        <f>IF(Tableau1345[[#This Row],[Repère]]="","",VLOOKUP(Tableau1345[[#This Row],[Repère]],Tableau1[#All],11,FALSE))</f>
        <v/>
      </c>
      <c r="L35" s="14" t="str">
        <f>IF(Tableau1345[[#This Row],[Repère]]="","",VLOOKUP(Tableau1345[[#This Row],[Repère]],Tableau1[#All],12,FALSE))</f>
        <v/>
      </c>
    </row>
    <row r="36" spans="1:12" x14ac:dyDescent="0.3">
      <c r="A36" s="18"/>
      <c r="B36" s="19"/>
      <c r="C36" s="13" t="str">
        <f>IF(Tableau1345[[#This Row],[Repère]]="","",VLOOKUP(Tableau1345[[#This Row],[Repère]],Tableau1[#All],3,FALSE))</f>
        <v/>
      </c>
      <c r="D36" s="13" t="str">
        <f>IF(Tableau1345[[#This Row],[Repère]]="","",VLOOKUP(Tableau1345[[#This Row],[Repère]],Tableau1[#All],4,FALSE))</f>
        <v/>
      </c>
      <c r="E36" s="13" t="str">
        <f>IF(Tableau1345[[#This Row],[Repère]]="","",VLOOKUP(Tableau1345[[#This Row],[Repère]],Tableau1[#All],5,FALSE))</f>
        <v/>
      </c>
      <c r="F36" s="13" t="str">
        <f>IF(Tableau1345[[#This Row],[Repère]]="","",VLOOKUP(Tableau1345[[#This Row],[Repère]],Tableau1[#All],6,FALSE))</f>
        <v/>
      </c>
      <c r="G36" s="13" t="str">
        <f>IF(Tableau1345[[#This Row],[Repère]]="","",VLOOKUP(Tableau1345[[#This Row],[Repère]],Tableau1[#All],7,FALSE))</f>
        <v/>
      </c>
      <c r="H36" s="13" t="str">
        <f>IF(Tableau1345[[#This Row],[Repère]]="","",VLOOKUP(Tableau1345[[#This Row],[Repère]],Tableau1[#All],8,FALSE))</f>
        <v/>
      </c>
      <c r="I36" s="13" t="str">
        <f>IF(Tableau1345[[#This Row],[Repère]]="","",VLOOKUP(Tableau1345[[#This Row],[Repère]],Tableau1[#All],9,FALSE))</f>
        <v/>
      </c>
      <c r="J36" s="13" t="str">
        <f>IF(Tableau1345[[#This Row],[Repère]]="","",VLOOKUP(Tableau1345[[#This Row],[Repère]],Tableau1[#All],10,FALSE))</f>
        <v/>
      </c>
      <c r="K36" s="13" t="str">
        <f>IF(Tableau1345[[#This Row],[Repère]]="","",VLOOKUP(Tableau1345[[#This Row],[Repère]],Tableau1[#All],11,FALSE))</f>
        <v/>
      </c>
      <c r="L36" s="14" t="str">
        <f>IF(Tableau1345[[#This Row],[Repère]]="","",VLOOKUP(Tableau1345[[#This Row],[Repère]],Tableau1[#All],12,FALSE))</f>
        <v/>
      </c>
    </row>
    <row r="37" spans="1:12" x14ac:dyDescent="0.3">
      <c r="A37" s="18"/>
      <c r="B37" s="19"/>
      <c r="C37" s="13" t="str">
        <f>IF(Tableau1345[[#This Row],[Repère]]="","",VLOOKUP(Tableau1345[[#This Row],[Repère]],Tableau1[#All],3,FALSE))</f>
        <v/>
      </c>
      <c r="D37" s="13" t="str">
        <f>IF(Tableau1345[[#This Row],[Repère]]="","",VLOOKUP(Tableau1345[[#This Row],[Repère]],Tableau1[#All],4,FALSE))</f>
        <v/>
      </c>
      <c r="E37" s="13" t="str">
        <f>IF(Tableau1345[[#This Row],[Repère]]="","",VLOOKUP(Tableau1345[[#This Row],[Repère]],Tableau1[#All],5,FALSE))</f>
        <v/>
      </c>
      <c r="F37" s="13" t="str">
        <f>IF(Tableau1345[[#This Row],[Repère]]="","",VLOOKUP(Tableau1345[[#This Row],[Repère]],Tableau1[#All],6,FALSE))</f>
        <v/>
      </c>
      <c r="G37" s="13" t="str">
        <f>IF(Tableau1345[[#This Row],[Repère]]="","",VLOOKUP(Tableau1345[[#This Row],[Repère]],Tableau1[#All],7,FALSE))</f>
        <v/>
      </c>
      <c r="H37" s="13" t="str">
        <f>IF(Tableau1345[[#This Row],[Repère]]="","",VLOOKUP(Tableau1345[[#This Row],[Repère]],Tableau1[#All],8,FALSE))</f>
        <v/>
      </c>
      <c r="I37" s="13" t="str">
        <f>IF(Tableau1345[[#This Row],[Repère]]="","",VLOOKUP(Tableau1345[[#This Row],[Repère]],Tableau1[#All],9,FALSE))</f>
        <v/>
      </c>
      <c r="J37" s="13" t="str">
        <f>IF(Tableau1345[[#This Row],[Repère]]="","",VLOOKUP(Tableau1345[[#This Row],[Repère]],Tableau1[#All],10,FALSE))</f>
        <v/>
      </c>
      <c r="K37" s="13" t="str">
        <f>IF(Tableau1345[[#This Row],[Repère]]="","",VLOOKUP(Tableau1345[[#This Row],[Repère]],Tableau1[#All],11,FALSE))</f>
        <v/>
      </c>
      <c r="L37" s="14" t="str">
        <f>IF(Tableau1345[[#This Row],[Repère]]="","",VLOOKUP(Tableau1345[[#This Row],[Repère]],Tableau1[#All],12,FALSE))</f>
        <v/>
      </c>
    </row>
    <row r="38" spans="1:12" x14ac:dyDescent="0.3">
      <c r="A38" s="18"/>
      <c r="B38" s="19"/>
      <c r="C38" s="13" t="str">
        <f>IF(Tableau1345[[#This Row],[Repère]]="","",VLOOKUP(Tableau1345[[#This Row],[Repère]],Tableau1[#All],3,FALSE))</f>
        <v/>
      </c>
      <c r="D38" s="13" t="str">
        <f>IF(Tableau1345[[#This Row],[Repère]]="","",VLOOKUP(Tableau1345[[#This Row],[Repère]],Tableau1[#All],4,FALSE))</f>
        <v/>
      </c>
      <c r="E38" s="13" t="str">
        <f>IF(Tableau1345[[#This Row],[Repère]]="","",VLOOKUP(Tableau1345[[#This Row],[Repère]],Tableau1[#All],5,FALSE))</f>
        <v/>
      </c>
      <c r="F38" s="13" t="str">
        <f>IF(Tableau1345[[#This Row],[Repère]]="","",VLOOKUP(Tableau1345[[#This Row],[Repère]],Tableau1[#All],6,FALSE))</f>
        <v/>
      </c>
      <c r="G38" s="13" t="str">
        <f>IF(Tableau1345[[#This Row],[Repère]]="","",VLOOKUP(Tableau1345[[#This Row],[Repère]],Tableau1[#All],7,FALSE))</f>
        <v/>
      </c>
      <c r="H38" s="13" t="str">
        <f>IF(Tableau1345[[#This Row],[Repère]]="","",VLOOKUP(Tableau1345[[#This Row],[Repère]],Tableau1[#All],8,FALSE))</f>
        <v/>
      </c>
      <c r="I38" s="13" t="str">
        <f>IF(Tableau1345[[#This Row],[Repère]]="","",VLOOKUP(Tableau1345[[#This Row],[Repère]],Tableau1[#All],9,FALSE))</f>
        <v/>
      </c>
      <c r="J38" s="13" t="str">
        <f>IF(Tableau1345[[#This Row],[Repère]]="","",VLOOKUP(Tableau1345[[#This Row],[Repère]],Tableau1[#All],10,FALSE))</f>
        <v/>
      </c>
      <c r="K38" s="13" t="str">
        <f>IF(Tableau1345[[#This Row],[Repère]]="","",VLOOKUP(Tableau1345[[#This Row],[Repère]],Tableau1[#All],11,FALSE))</f>
        <v/>
      </c>
      <c r="L38" s="14" t="str">
        <f>IF(Tableau1345[[#This Row],[Repère]]="","",VLOOKUP(Tableau1345[[#This Row],[Repère]],Tableau1[#All],12,FALSE))</f>
        <v/>
      </c>
    </row>
    <row r="39" spans="1:12" x14ac:dyDescent="0.3">
      <c r="A39" s="18"/>
      <c r="B39" s="19"/>
      <c r="C39" s="13" t="str">
        <f>IF(Tableau1345[[#This Row],[Repère]]="","",VLOOKUP(Tableau1345[[#This Row],[Repère]],Tableau1[#All],3,FALSE))</f>
        <v/>
      </c>
      <c r="D39" s="13" t="str">
        <f>IF(Tableau1345[[#This Row],[Repère]]="","",VLOOKUP(Tableau1345[[#This Row],[Repère]],Tableau1[#All],4,FALSE))</f>
        <v/>
      </c>
      <c r="E39" s="13" t="str">
        <f>IF(Tableau1345[[#This Row],[Repère]]="","",VLOOKUP(Tableau1345[[#This Row],[Repère]],Tableau1[#All],5,FALSE))</f>
        <v/>
      </c>
      <c r="F39" s="13" t="str">
        <f>IF(Tableau1345[[#This Row],[Repère]]="","",VLOOKUP(Tableau1345[[#This Row],[Repère]],Tableau1[#All],6,FALSE))</f>
        <v/>
      </c>
      <c r="G39" s="13" t="str">
        <f>IF(Tableau1345[[#This Row],[Repère]]="","",VLOOKUP(Tableau1345[[#This Row],[Repère]],Tableau1[#All],7,FALSE))</f>
        <v/>
      </c>
      <c r="H39" s="13" t="str">
        <f>IF(Tableau1345[[#This Row],[Repère]]="","",VLOOKUP(Tableau1345[[#This Row],[Repère]],Tableau1[#All],8,FALSE))</f>
        <v/>
      </c>
      <c r="I39" s="13" t="str">
        <f>IF(Tableau1345[[#This Row],[Repère]]="","",VLOOKUP(Tableau1345[[#This Row],[Repère]],Tableau1[#All],9,FALSE))</f>
        <v/>
      </c>
      <c r="J39" s="13" t="str">
        <f>IF(Tableau1345[[#This Row],[Repère]]="","",VLOOKUP(Tableau1345[[#This Row],[Repère]],Tableau1[#All],10,FALSE))</f>
        <v/>
      </c>
      <c r="K39" s="13" t="str">
        <f>IF(Tableau1345[[#This Row],[Repère]]="","",VLOOKUP(Tableau1345[[#This Row],[Repère]],Tableau1[#All],11,FALSE))</f>
        <v/>
      </c>
      <c r="L39" s="14" t="str">
        <f>IF(Tableau1345[[#This Row],[Repère]]="","",VLOOKUP(Tableau1345[[#This Row],[Repère]],Tableau1[#All],12,FALSE))</f>
        <v/>
      </c>
    </row>
    <row r="40" spans="1:12" x14ac:dyDescent="0.3">
      <c r="A40" s="18"/>
      <c r="B40" s="19"/>
      <c r="C40" s="13" t="str">
        <f>IF(Tableau1345[[#This Row],[Repère]]="","",VLOOKUP(Tableau1345[[#This Row],[Repère]],Tableau1[#All],3,FALSE))</f>
        <v/>
      </c>
      <c r="D40" s="13" t="str">
        <f>IF(Tableau1345[[#This Row],[Repère]]="","",VLOOKUP(Tableau1345[[#This Row],[Repère]],Tableau1[#All],4,FALSE))</f>
        <v/>
      </c>
      <c r="E40" s="13" t="str">
        <f>IF(Tableau1345[[#This Row],[Repère]]="","",VLOOKUP(Tableau1345[[#This Row],[Repère]],Tableau1[#All],5,FALSE))</f>
        <v/>
      </c>
      <c r="F40" s="13" t="str">
        <f>IF(Tableau1345[[#This Row],[Repère]]="","",VLOOKUP(Tableau1345[[#This Row],[Repère]],Tableau1[#All],6,FALSE))</f>
        <v/>
      </c>
      <c r="G40" s="13" t="str">
        <f>IF(Tableau1345[[#This Row],[Repère]]="","",VLOOKUP(Tableau1345[[#This Row],[Repère]],Tableau1[#All],7,FALSE))</f>
        <v/>
      </c>
      <c r="H40" s="13" t="str">
        <f>IF(Tableau1345[[#This Row],[Repère]]="","",VLOOKUP(Tableau1345[[#This Row],[Repère]],Tableau1[#All],8,FALSE))</f>
        <v/>
      </c>
      <c r="I40" s="13" t="str">
        <f>IF(Tableau1345[[#This Row],[Repère]]="","",VLOOKUP(Tableau1345[[#This Row],[Repère]],Tableau1[#All],9,FALSE))</f>
        <v/>
      </c>
      <c r="J40" s="13" t="str">
        <f>IF(Tableau1345[[#This Row],[Repère]]="","",VLOOKUP(Tableau1345[[#This Row],[Repère]],Tableau1[#All],10,FALSE))</f>
        <v/>
      </c>
      <c r="K40" s="13" t="str">
        <f>IF(Tableau1345[[#This Row],[Repère]]="","",VLOOKUP(Tableau1345[[#This Row],[Repère]],Tableau1[#All],11,FALSE))</f>
        <v/>
      </c>
      <c r="L40" s="14" t="str">
        <f>IF(Tableau1345[[#This Row],[Repère]]="","",VLOOKUP(Tableau1345[[#This Row],[Repère]],Tableau1[#All],12,FALSE))</f>
        <v/>
      </c>
    </row>
    <row r="41" spans="1:12" x14ac:dyDescent="0.3">
      <c r="A41" s="18"/>
      <c r="B41" s="19"/>
      <c r="C41" s="13" t="str">
        <f>IF(Tableau1345[[#This Row],[Repère]]="","",VLOOKUP(Tableau1345[[#This Row],[Repère]],Tableau1[#All],3,FALSE))</f>
        <v/>
      </c>
      <c r="D41" s="13" t="str">
        <f>IF(Tableau1345[[#This Row],[Repère]]="","",VLOOKUP(Tableau1345[[#This Row],[Repère]],Tableau1[#All],4,FALSE))</f>
        <v/>
      </c>
      <c r="E41" s="13" t="str">
        <f>IF(Tableau1345[[#This Row],[Repère]]="","",VLOOKUP(Tableau1345[[#This Row],[Repère]],Tableau1[#All],5,FALSE))</f>
        <v/>
      </c>
      <c r="F41" s="13" t="str">
        <f>IF(Tableau1345[[#This Row],[Repère]]="","",VLOOKUP(Tableau1345[[#This Row],[Repère]],Tableau1[#All],6,FALSE))</f>
        <v/>
      </c>
      <c r="G41" s="13" t="str">
        <f>IF(Tableau1345[[#This Row],[Repère]]="","",VLOOKUP(Tableau1345[[#This Row],[Repère]],Tableau1[#All],7,FALSE))</f>
        <v/>
      </c>
      <c r="H41" s="13" t="str">
        <f>IF(Tableau1345[[#This Row],[Repère]]="","",VLOOKUP(Tableau1345[[#This Row],[Repère]],Tableau1[#All],8,FALSE))</f>
        <v/>
      </c>
      <c r="I41" s="13" t="str">
        <f>IF(Tableau1345[[#This Row],[Repère]]="","",VLOOKUP(Tableau1345[[#This Row],[Repère]],Tableau1[#All],9,FALSE))</f>
        <v/>
      </c>
      <c r="J41" s="13" t="str">
        <f>IF(Tableau1345[[#This Row],[Repère]]="","",VLOOKUP(Tableau1345[[#This Row],[Repère]],Tableau1[#All],10,FALSE))</f>
        <v/>
      </c>
      <c r="K41" s="13" t="str">
        <f>IF(Tableau1345[[#This Row],[Repère]]="","",VLOOKUP(Tableau1345[[#This Row],[Repère]],Tableau1[#All],11,FALSE))</f>
        <v/>
      </c>
      <c r="L41" s="14" t="str">
        <f>IF(Tableau1345[[#This Row],[Repère]]="","",VLOOKUP(Tableau1345[[#This Row],[Repère]],Tableau1[#All],12,FALSE))</f>
        <v/>
      </c>
    </row>
    <row r="42" spans="1:12" x14ac:dyDescent="0.3">
      <c r="A42" s="18"/>
      <c r="B42" s="19"/>
      <c r="C42" s="13" t="str">
        <f>IF(Tableau1345[[#This Row],[Repère]]="","",VLOOKUP(Tableau1345[[#This Row],[Repère]],Tableau1[#All],3,FALSE))</f>
        <v/>
      </c>
      <c r="D42" s="13" t="str">
        <f>IF(Tableau1345[[#This Row],[Repère]]="","",VLOOKUP(Tableau1345[[#This Row],[Repère]],Tableau1[#All],4,FALSE))</f>
        <v/>
      </c>
      <c r="E42" s="13" t="str">
        <f>IF(Tableau1345[[#This Row],[Repère]]="","",VLOOKUP(Tableau1345[[#This Row],[Repère]],Tableau1[#All],5,FALSE))</f>
        <v/>
      </c>
      <c r="F42" s="13" t="str">
        <f>IF(Tableau1345[[#This Row],[Repère]]="","",VLOOKUP(Tableau1345[[#This Row],[Repère]],Tableau1[#All],6,FALSE))</f>
        <v/>
      </c>
      <c r="G42" s="13" t="str">
        <f>IF(Tableau1345[[#This Row],[Repère]]="","",VLOOKUP(Tableau1345[[#This Row],[Repère]],Tableau1[#All],7,FALSE))</f>
        <v/>
      </c>
      <c r="H42" s="13" t="str">
        <f>IF(Tableau1345[[#This Row],[Repère]]="","",VLOOKUP(Tableau1345[[#This Row],[Repère]],Tableau1[#All],8,FALSE))</f>
        <v/>
      </c>
      <c r="I42" s="13" t="str">
        <f>IF(Tableau1345[[#This Row],[Repère]]="","",VLOOKUP(Tableau1345[[#This Row],[Repère]],Tableau1[#All],9,FALSE))</f>
        <v/>
      </c>
      <c r="J42" s="13" t="str">
        <f>IF(Tableau1345[[#This Row],[Repère]]="","",VLOOKUP(Tableau1345[[#This Row],[Repère]],Tableau1[#All],10,FALSE))</f>
        <v/>
      </c>
      <c r="K42" s="13" t="str">
        <f>IF(Tableau1345[[#This Row],[Repère]]="","",VLOOKUP(Tableau1345[[#This Row],[Repère]],Tableau1[#All],11,FALSE))</f>
        <v/>
      </c>
      <c r="L42" s="14" t="str">
        <f>IF(Tableau1345[[#This Row],[Repère]]="","",VLOOKUP(Tableau1345[[#This Row],[Repère]],Tableau1[#All],12,FALSE))</f>
        <v/>
      </c>
    </row>
    <row r="43" spans="1:12" x14ac:dyDescent="0.3">
      <c r="A43" s="18"/>
      <c r="B43" s="19"/>
      <c r="C43" s="13" t="str">
        <f>IF(Tableau1345[[#This Row],[Repère]]="","",VLOOKUP(Tableau1345[[#This Row],[Repère]],Tableau1[#All],3,FALSE))</f>
        <v/>
      </c>
      <c r="D43" s="13" t="str">
        <f>IF(Tableau1345[[#This Row],[Repère]]="","",VLOOKUP(Tableau1345[[#This Row],[Repère]],Tableau1[#All],4,FALSE))</f>
        <v/>
      </c>
      <c r="E43" s="13" t="str">
        <f>IF(Tableau1345[[#This Row],[Repère]]="","",VLOOKUP(Tableau1345[[#This Row],[Repère]],Tableau1[#All],5,FALSE))</f>
        <v/>
      </c>
      <c r="F43" s="13" t="str">
        <f>IF(Tableau1345[[#This Row],[Repère]]="","",VLOOKUP(Tableau1345[[#This Row],[Repère]],Tableau1[#All],6,FALSE))</f>
        <v/>
      </c>
      <c r="G43" s="13" t="str">
        <f>IF(Tableau1345[[#This Row],[Repère]]="","",VLOOKUP(Tableau1345[[#This Row],[Repère]],Tableau1[#All],7,FALSE))</f>
        <v/>
      </c>
      <c r="H43" s="13" t="str">
        <f>IF(Tableau1345[[#This Row],[Repère]]="","",VLOOKUP(Tableau1345[[#This Row],[Repère]],Tableau1[#All],8,FALSE))</f>
        <v/>
      </c>
      <c r="I43" s="13" t="str">
        <f>IF(Tableau1345[[#This Row],[Repère]]="","",VLOOKUP(Tableau1345[[#This Row],[Repère]],Tableau1[#All],9,FALSE))</f>
        <v/>
      </c>
      <c r="J43" s="13" t="str">
        <f>IF(Tableau1345[[#This Row],[Repère]]="","",VLOOKUP(Tableau1345[[#This Row],[Repère]],Tableau1[#All],10,FALSE))</f>
        <v/>
      </c>
      <c r="K43" s="13" t="str">
        <f>IF(Tableau1345[[#This Row],[Repère]]="","",VLOOKUP(Tableau1345[[#This Row],[Repère]],Tableau1[#All],11,FALSE))</f>
        <v/>
      </c>
      <c r="L43" s="14" t="str">
        <f>IF(Tableau1345[[#This Row],[Repère]]="","",VLOOKUP(Tableau1345[[#This Row],[Repère]],Tableau1[#All],12,FALSE))</f>
        <v/>
      </c>
    </row>
    <row r="44" spans="1:12" x14ac:dyDescent="0.3">
      <c r="A44" s="18"/>
      <c r="B44" s="19"/>
      <c r="C44" s="13" t="str">
        <f>IF(Tableau1345[[#This Row],[Repère]]="","",VLOOKUP(Tableau1345[[#This Row],[Repère]],Tableau1[#All],3,FALSE))</f>
        <v/>
      </c>
      <c r="D44" s="13" t="str">
        <f>IF(Tableau1345[[#This Row],[Repère]]="","",VLOOKUP(Tableau1345[[#This Row],[Repère]],Tableau1[#All],4,FALSE))</f>
        <v/>
      </c>
      <c r="E44" s="13" t="str">
        <f>IF(Tableau1345[[#This Row],[Repère]]="","",VLOOKUP(Tableau1345[[#This Row],[Repère]],Tableau1[#All],5,FALSE))</f>
        <v/>
      </c>
      <c r="F44" s="13" t="str">
        <f>IF(Tableau1345[[#This Row],[Repère]]="","",VLOOKUP(Tableau1345[[#This Row],[Repère]],Tableau1[#All],6,FALSE))</f>
        <v/>
      </c>
      <c r="G44" s="13" t="str">
        <f>IF(Tableau1345[[#This Row],[Repère]]="","",VLOOKUP(Tableau1345[[#This Row],[Repère]],Tableau1[#All],7,FALSE))</f>
        <v/>
      </c>
      <c r="H44" s="13" t="str">
        <f>IF(Tableau1345[[#This Row],[Repère]]="","",VLOOKUP(Tableau1345[[#This Row],[Repère]],Tableau1[#All],8,FALSE))</f>
        <v/>
      </c>
      <c r="I44" s="13" t="str">
        <f>IF(Tableau1345[[#This Row],[Repère]]="","",VLOOKUP(Tableau1345[[#This Row],[Repère]],Tableau1[#All],9,FALSE))</f>
        <v/>
      </c>
      <c r="J44" s="13" t="str">
        <f>IF(Tableau1345[[#This Row],[Repère]]="","",VLOOKUP(Tableau1345[[#This Row],[Repère]],Tableau1[#All],10,FALSE))</f>
        <v/>
      </c>
      <c r="K44" s="13" t="str">
        <f>IF(Tableau1345[[#This Row],[Repère]]="","",VLOOKUP(Tableau1345[[#This Row],[Repère]],Tableau1[#All],11,FALSE))</f>
        <v/>
      </c>
      <c r="L44" s="14" t="str">
        <f>IF(Tableau1345[[#This Row],[Repère]]="","",VLOOKUP(Tableau1345[[#This Row],[Repère]],Tableau1[#All],12,FALSE))</f>
        <v/>
      </c>
    </row>
    <row r="45" spans="1:12" x14ac:dyDescent="0.3">
      <c r="A45" s="18"/>
      <c r="B45" s="19"/>
      <c r="C45" s="13" t="str">
        <f>IF(Tableau1345[[#This Row],[Repère]]="","",VLOOKUP(Tableau1345[[#This Row],[Repère]],Tableau1[#All],3,FALSE))</f>
        <v/>
      </c>
      <c r="D45" s="13" t="str">
        <f>IF(Tableau1345[[#This Row],[Repère]]="","",VLOOKUP(Tableau1345[[#This Row],[Repère]],Tableau1[#All],4,FALSE))</f>
        <v/>
      </c>
      <c r="E45" s="13" t="str">
        <f>IF(Tableau1345[[#This Row],[Repère]]="","",VLOOKUP(Tableau1345[[#This Row],[Repère]],Tableau1[#All],5,FALSE))</f>
        <v/>
      </c>
      <c r="F45" s="13" t="str">
        <f>IF(Tableau1345[[#This Row],[Repère]]="","",VLOOKUP(Tableau1345[[#This Row],[Repère]],Tableau1[#All],6,FALSE))</f>
        <v/>
      </c>
      <c r="G45" s="13" t="str">
        <f>IF(Tableau1345[[#This Row],[Repère]]="","",VLOOKUP(Tableau1345[[#This Row],[Repère]],Tableau1[#All],7,FALSE))</f>
        <v/>
      </c>
      <c r="H45" s="13" t="str">
        <f>IF(Tableau1345[[#This Row],[Repère]]="","",VLOOKUP(Tableau1345[[#This Row],[Repère]],Tableau1[#All],8,FALSE))</f>
        <v/>
      </c>
      <c r="I45" s="13" t="str">
        <f>IF(Tableau1345[[#This Row],[Repère]]="","",VLOOKUP(Tableau1345[[#This Row],[Repère]],Tableau1[#All],9,FALSE))</f>
        <v/>
      </c>
      <c r="J45" s="13" t="str">
        <f>IF(Tableau1345[[#This Row],[Repère]]="","",VLOOKUP(Tableau1345[[#This Row],[Repère]],Tableau1[#All],10,FALSE))</f>
        <v/>
      </c>
      <c r="K45" s="13" t="str">
        <f>IF(Tableau1345[[#This Row],[Repère]]="","",VLOOKUP(Tableau1345[[#This Row],[Repère]],Tableau1[#All],11,FALSE))</f>
        <v/>
      </c>
      <c r="L45" s="14" t="str">
        <f>IF(Tableau1345[[#This Row],[Repère]]="","",VLOOKUP(Tableau1345[[#This Row],[Repère]],Tableau1[#All],12,FALSE))</f>
        <v/>
      </c>
    </row>
    <row r="46" spans="1:12" x14ac:dyDescent="0.3">
      <c r="A46" s="18"/>
      <c r="B46" s="19"/>
      <c r="C46" s="13" t="str">
        <f>IF(Tableau1345[[#This Row],[Repère]]="","",VLOOKUP(Tableau1345[[#This Row],[Repère]],Tableau1[#All],3,FALSE))</f>
        <v/>
      </c>
      <c r="D46" s="13" t="str">
        <f>IF(Tableau1345[[#This Row],[Repère]]="","",VLOOKUP(Tableau1345[[#This Row],[Repère]],Tableau1[#All],4,FALSE))</f>
        <v/>
      </c>
      <c r="E46" s="13" t="str">
        <f>IF(Tableau1345[[#This Row],[Repère]]="","",VLOOKUP(Tableau1345[[#This Row],[Repère]],Tableau1[#All],5,FALSE))</f>
        <v/>
      </c>
      <c r="F46" s="13" t="str">
        <f>IF(Tableau1345[[#This Row],[Repère]]="","",VLOOKUP(Tableau1345[[#This Row],[Repère]],Tableau1[#All],6,FALSE))</f>
        <v/>
      </c>
      <c r="G46" s="13" t="str">
        <f>IF(Tableau1345[[#This Row],[Repère]]="","",VLOOKUP(Tableau1345[[#This Row],[Repère]],Tableau1[#All],7,FALSE))</f>
        <v/>
      </c>
      <c r="H46" s="13" t="str">
        <f>IF(Tableau1345[[#This Row],[Repère]]="","",VLOOKUP(Tableau1345[[#This Row],[Repère]],Tableau1[#All],8,FALSE))</f>
        <v/>
      </c>
      <c r="I46" s="13" t="str">
        <f>IF(Tableau1345[[#This Row],[Repère]]="","",VLOOKUP(Tableau1345[[#This Row],[Repère]],Tableau1[#All],9,FALSE))</f>
        <v/>
      </c>
      <c r="J46" s="13" t="str">
        <f>IF(Tableau1345[[#This Row],[Repère]]="","",VLOOKUP(Tableau1345[[#This Row],[Repère]],Tableau1[#All],10,FALSE))</f>
        <v/>
      </c>
      <c r="K46" s="13" t="str">
        <f>IF(Tableau1345[[#This Row],[Repère]]="","",VLOOKUP(Tableau1345[[#This Row],[Repère]],Tableau1[#All],11,FALSE))</f>
        <v/>
      </c>
      <c r="L46" s="14" t="str">
        <f>IF(Tableau1345[[#This Row],[Repère]]="","",VLOOKUP(Tableau1345[[#This Row],[Repère]],Tableau1[#All],12,FALSE))</f>
        <v/>
      </c>
    </row>
    <row r="47" spans="1:12" x14ac:dyDescent="0.3">
      <c r="A47" s="18"/>
      <c r="B47" s="19"/>
      <c r="C47" s="13" t="str">
        <f>IF(Tableau1345[[#This Row],[Repère]]="","",VLOOKUP(Tableau1345[[#This Row],[Repère]],Tableau1[#All],3,FALSE))</f>
        <v/>
      </c>
      <c r="D47" s="13" t="str">
        <f>IF(Tableau1345[[#This Row],[Repère]]="","",VLOOKUP(Tableau1345[[#This Row],[Repère]],Tableau1[#All],4,FALSE))</f>
        <v/>
      </c>
      <c r="E47" s="13" t="str">
        <f>IF(Tableau1345[[#This Row],[Repère]]="","",VLOOKUP(Tableau1345[[#This Row],[Repère]],Tableau1[#All],5,FALSE))</f>
        <v/>
      </c>
      <c r="F47" s="13" t="str">
        <f>IF(Tableau1345[[#This Row],[Repère]]="","",VLOOKUP(Tableau1345[[#This Row],[Repère]],Tableau1[#All],6,FALSE))</f>
        <v/>
      </c>
      <c r="G47" s="13" t="str">
        <f>IF(Tableau1345[[#This Row],[Repère]]="","",VLOOKUP(Tableau1345[[#This Row],[Repère]],Tableau1[#All],7,FALSE))</f>
        <v/>
      </c>
      <c r="H47" s="13" t="str">
        <f>IF(Tableau1345[[#This Row],[Repère]]="","",VLOOKUP(Tableau1345[[#This Row],[Repère]],Tableau1[#All],8,FALSE))</f>
        <v/>
      </c>
      <c r="I47" s="13" t="str">
        <f>IF(Tableau1345[[#This Row],[Repère]]="","",VLOOKUP(Tableau1345[[#This Row],[Repère]],Tableau1[#All],9,FALSE))</f>
        <v/>
      </c>
      <c r="J47" s="13" t="str">
        <f>IF(Tableau1345[[#This Row],[Repère]]="","",VLOOKUP(Tableau1345[[#This Row],[Repère]],Tableau1[#All],10,FALSE))</f>
        <v/>
      </c>
      <c r="K47" s="13" t="str">
        <f>IF(Tableau1345[[#This Row],[Repère]]="","",VLOOKUP(Tableau1345[[#This Row],[Repère]],Tableau1[#All],11,FALSE))</f>
        <v/>
      </c>
      <c r="L47" s="14" t="str">
        <f>IF(Tableau1345[[#This Row],[Repère]]="","",VLOOKUP(Tableau1345[[#This Row],[Repère]],Tableau1[#All],12,FALSE))</f>
        <v/>
      </c>
    </row>
    <row r="48" spans="1:12" x14ac:dyDescent="0.3">
      <c r="A48" s="18"/>
      <c r="B48" s="19"/>
      <c r="C48" s="13" t="str">
        <f>IF(Tableau1345[[#This Row],[Repère]]="","",VLOOKUP(Tableau1345[[#This Row],[Repère]],Tableau1[#All],3,FALSE))</f>
        <v/>
      </c>
      <c r="D48" s="13" t="str">
        <f>IF(Tableau1345[[#This Row],[Repère]]="","",VLOOKUP(Tableau1345[[#This Row],[Repère]],Tableau1[#All],4,FALSE))</f>
        <v/>
      </c>
      <c r="E48" s="13" t="str">
        <f>IF(Tableau1345[[#This Row],[Repère]]="","",VLOOKUP(Tableau1345[[#This Row],[Repère]],Tableau1[#All],5,FALSE))</f>
        <v/>
      </c>
      <c r="F48" s="13" t="str">
        <f>IF(Tableau1345[[#This Row],[Repère]]="","",VLOOKUP(Tableau1345[[#This Row],[Repère]],Tableau1[#All],6,FALSE))</f>
        <v/>
      </c>
      <c r="G48" s="13" t="str">
        <f>IF(Tableau1345[[#This Row],[Repère]]="","",VLOOKUP(Tableau1345[[#This Row],[Repère]],Tableau1[#All],7,FALSE))</f>
        <v/>
      </c>
      <c r="H48" s="13" t="str">
        <f>IF(Tableau1345[[#This Row],[Repère]]="","",VLOOKUP(Tableau1345[[#This Row],[Repère]],Tableau1[#All],8,FALSE))</f>
        <v/>
      </c>
      <c r="I48" s="13" t="str">
        <f>IF(Tableau1345[[#This Row],[Repère]]="","",VLOOKUP(Tableau1345[[#This Row],[Repère]],Tableau1[#All],9,FALSE))</f>
        <v/>
      </c>
      <c r="J48" s="13" t="str">
        <f>IF(Tableau1345[[#This Row],[Repère]]="","",VLOOKUP(Tableau1345[[#This Row],[Repère]],Tableau1[#All],10,FALSE))</f>
        <v/>
      </c>
      <c r="K48" s="13" t="str">
        <f>IF(Tableau1345[[#This Row],[Repère]]="","",VLOOKUP(Tableau1345[[#This Row],[Repère]],Tableau1[#All],11,FALSE))</f>
        <v/>
      </c>
      <c r="L48" s="14" t="str">
        <f>IF(Tableau1345[[#This Row],[Repère]]="","",VLOOKUP(Tableau1345[[#This Row],[Repère]],Tableau1[#All],12,FALSE))</f>
        <v/>
      </c>
    </row>
    <row r="49" spans="1:12" x14ac:dyDescent="0.3">
      <c r="A49" s="18"/>
      <c r="B49" s="19"/>
      <c r="C49" s="13" t="str">
        <f>IF(Tableau1345[[#This Row],[Repère]]="","",VLOOKUP(Tableau1345[[#This Row],[Repère]],Tableau1[#All],3,FALSE))</f>
        <v/>
      </c>
      <c r="D49" s="13" t="str">
        <f>IF(Tableau1345[[#This Row],[Repère]]="","",VLOOKUP(Tableau1345[[#This Row],[Repère]],Tableau1[#All],4,FALSE))</f>
        <v/>
      </c>
      <c r="E49" s="13" t="str">
        <f>IF(Tableau1345[[#This Row],[Repère]]="","",VLOOKUP(Tableau1345[[#This Row],[Repère]],Tableau1[#All],5,FALSE))</f>
        <v/>
      </c>
      <c r="F49" s="13" t="str">
        <f>IF(Tableau1345[[#This Row],[Repère]]="","",VLOOKUP(Tableau1345[[#This Row],[Repère]],Tableau1[#All],6,FALSE))</f>
        <v/>
      </c>
      <c r="G49" s="13" t="str">
        <f>IF(Tableau1345[[#This Row],[Repère]]="","",VLOOKUP(Tableau1345[[#This Row],[Repère]],Tableau1[#All],7,FALSE))</f>
        <v/>
      </c>
      <c r="H49" s="13" t="str">
        <f>IF(Tableau1345[[#This Row],[Repère]]="","",VLOOKUP(Tableau1345[[#This Row],[Repère]],Tableau1[#All],8,FALSE))</f>
        <v/>
      </c>
      <c r="I49" s="13" t="str">
        <f>IF(Tableau1345[[#This Row],[Repère]]="","",VLOOKUP(Tableau1345[[#This Row],[Repère]],Tableau1[#All],9,FALSE))</f>
        <v/>
      </c>
      <c r="J49" s="13" t="str">
        <f>IF(Tableau1345[[#This Row],[Repère]]="","",VLOOKUP(Tableau1345[[#This Row],[Repère]],Tableau1[#All],10,FALSE))</f>
        <v/>
      </c>
      <c r="K49" s="13" t="str">
        <f>IF(Tableau1345[[#This Row],[Repère]]="","",VLOOKUP(Tableau1345[[#This Row],[Repère]],Tableau1[#All],11,FALSE))</f>
        <v/>
      </c>
      <c r="L49" s="14" t="str">
        <f>IF(Tableau1345[[#This Row],[Repère]]="","",VLOOKUP(Tableau1345[[#This Row],[Repère]],Tableau1[#All],12,FALSE))</f>
        <v/>
      </c>
    </row>
    <row r="50" spans="1:12" x14ac:dyDescent="0.3">
      <c r="A50" s="18"/>
      <c r="B50" s="19"/>
      <c r="C50" s="13" t="str">
        <f>IF(Tableau1345[[#This Row],[Repère]]="","",VLOOKUP(Tableau1345[[#This Row],[Repère]],Tableau1[#All],3,FALSE))</f>
        <v/>
      </c>
      <c r="D50" s="13" t="str">
        <f>IF(Tableau1345[[#This Row],[Repère]]="","",VLOOKUP(Tableau1345[[#This Row],[Repère]],Tableau1[#All],4,FALSE))</f>
        <v/>
      </c>
      <c r="E50" s="13" t="str">
        <f>IF(Tableau1345[[#This Row],[Repère]]="","",VLOOKUP(Tableau1345[[#This Row],[Repère]],Tableau1[#All],5,FALSE))</f>
        <v/>
      </c>
      <c r="F50" s="13" t="str">
        <f>IF(Tableau1345[[#This Row],[Repère]]="","",VLOOKUP(Tableau1345[[#This Row],[Repère]],Tableau1[#All],6,FALSE))</f>
        <v/>
      </c>
      <c r="G50" s="13" t="str">
        <f>IF(Tableau1345[[#This Row],[Repère]]="","",VLOOKUP(Tableau1345[[#This Row],[Repère]],Tableau1[#All],7,FALSE))</f>
        <v/>
      </c>
      <c r="H50" s="13" t="str">
        <f>IF(Tableau1345[[#This Row],[Repère]]="","",VLOOKUP(Tableau1345[[#This Row],[Repère]],Tableau1[#All],8,FALSE))</f>
        <v/>
      </c>
      <c r="I50" s="13" t="str">
        <f>IF(Tableau1345[[#This Row],[Repère]]="","",VLOOKUP(Tableau1345[[#This Row],[Repère]],Tableau1[#All],9,FALSE))</f>
        <v/>
      </c>
      <c r="J50" s="13" t="str">
        <f>IF(Tableau1345[[#This Row],[Repère]]="","",VLOOKUP(Tableau1345[[#This Row],[Repère]],Tableau1[#All],10,FALSE))</f>
        <v/>
      </c>
      <c r="K50" s="13" t="str">
        <f>IF(Tableau1345[[#This Row],[Repère]]="","",VLOOKUP(Tableau1345[[#This Row],[Repère]],Tableau1[#All],11,FALSE))</f>
        <v/>
      </c>
      <c r="L50" s="14" t="str">
        <f>IF(Tableau1345[[#This Row],[Repère]]="","",VLOOKUP(Tableau1345[[#This Row],[Repère]],Tableau1[#All],12,FALSE))</f>
        <v/>
      </c>
    </row>
    <row r="51" spans="1:12" x14ac:dyDescent="0.3">
      <c r="A51" s="18"/>
      <c r="B51" s="19"/>
      <c r="C51" s="13" t="str">
        <f>IF(Tableau1345[[#This Row],[Repère]]="","",VLOOKUP(Tableau1345[[#This Row],[Repère]],Tableau1[#All],3,FALSE))</f>
        <v/>
      </c>
      <c r="D51" s="13" t="str">
        <f>IF(Tableau1345[[#This Row],[Repère]]="","",VLOOKUP(Tableau1345[[#This Row],[Repère]],Tableau1[#All],4,FALSE))</f>
        <v/>
      </c>
      <c r="E51" s="13" t="str">
        <f>IF(Tableau1345[[#This Row],[Repère]]="","",VLOOKUP(Tableau1345[[#This Row],[Repère]],Tableau1[#All],5,FALSE))</f>
        <v/>
      </c>
      <c r="F51" s="13" t="str">
        <f>IF(Tableau1345[[#This Row],[Repère]]="","",VLOOKUP(Tableau1345[[#This Row],[Repère]],Tableau1[#All],6,FALSE))</f>
        <v/>
      </c>
      <c r="G51" s="13" t="str">
        <f>IF(Tableau1345[[#This Row],[Repère]]="","",VLOOKUP(Tableau1345[[#This Row],[Repère]],Tableau1[#All],7,FALSE))</f>
        <v/>
      </c>
      <c r="H51" s="13" t="str">
        <f>IF(Tableau1345[[#This Row],[Repère]]="","",VLOOKUP(Tableau1345[[#This Row],[Repère]],Tableau1[#All],8,FALSE))</f>
        <v/>
      </c>
      <c r="I51" s="13" t="str">
        <f>IF(Tableau1345[[#This Row],[Repère]]="","",VLOOKUP(Tableau1345[[#This Row],[Repère]],Tableau1[#All],9,FALSE))</f>
        <v/>
      </c>
      <c r="J51" s="13" t="str">
        <f>IF(Tableau1345[[#This Row],[Repère]]="","",VLOOKUP(Tableau1345[[#This Row],[Repère]],Tableau1[#All],10,FALSE))</f>
        <v/>
      </c>
      <c r="K51" s="13" t="str">
        <f>IF(Tableau1345[[#This Row],[Repère]]="","",VLOOKUP(Tableau1345[[#This Row],[Repère]],Tableau1[#All],11,FALSE))</f>
        <v/>
      </c>
      <c r="L51" s="14" t="str">
        <f>IF(Tableau1345[[#This Row],[Repère]]="","",VLOOKUP(Tableau1345[[#This Row],[Repère]],Tableau1[#All],12,FALSE))</f>
        <v/>
      </c>
    </row>
    <row r="52" spans="1:12" x14ac:dyDescent="0.3">
      <c r="A52" s="18"/>
      <c r="B52" s="19"/>
      <c r="C52" s="13" t="str">
        <f>IF(Tableau1345[[#This Row],[Repère]]="","",VLOOKUP(Tableau1345[[#This Row],[Repère]],Tableau1[#All],3,FALSE))</f>
        <v/>
      </c>
      <c r="D52" s="13" t="str">
        <f>IF(Tableau1345[[#This Row],[Repère]]="","",VLOOKUP(Tableau1345[[#This Row],[Repère]],Tableau1[#All],4,FALSE))</f>
        <v/>
      </c>
      <c r="E52" s="13" t="str">
        <f>IF(Tableau1345[[#This Row],[Repère]]="","",VLOOKUP(Tableau1345[[#This Row],[Repère]],Tableau1[#All],5,FALSE))</f>
        <v/>
      </c>
      <c r="F52" s="13" t="str">
        <f>IF(Tableau1345[[#This Row],[Repère]]="","",VLOOKUP(Tableau1345[[#This Row],[Repère]],Tableau1[#All],6,FALSE))</f>
        <v/>
      </c>
      <c r="G52" s="13" t="str">
        <f>IF(Tableau1345[[#This Row],[Repère]]="","",VLOOKUP(Tableau1345[[#This Row],[Repère]],Tableau1[#All],7,FALSE))</f>
        <v/>
      </c>
      <c r="H52" s="13" t="str">
        <f>IF(Tableau1345[[#This Row],[Repère]]="","",VLOOKUP(Tableau1345[[#This Row],[Repère]],Tableau1[#All],8,FALSE))</f>
        <v/>
      </c>
      <c r="I52" s="13" t="str">
        <f>IF(Tableau1345[[#This Row],[Repère]]="","",VLOOKUP(Tableau1345[[#This Row],[Repère]],Tableau1[#All],9,FALSE))</f>
        <v/>
      </c>
      <c r="J52" s="13" t="str">
        <f>IF(Tableau1345[[#This Row],[Repère]]="","",VLOOKUP(Tableau1345[[#This Row],[Repère]],Tableau1[#All],10,FALSE))</f>
        <v/>
      </c>
      <c r="K52" s="13" t="str">
        <f>IF(Tableau1345[[#This Row],[Repère]]="","",VLOOKUP(Tableau1345[[#This Row],[Repère]],Tableau1[#All],11,FALSE))</f>
        <v/>
      </c>
      <c r="L52" s="14" t="str">
        <f>IF(Tableau1345[[#This Row],[Repère]]="","",VLOOKUP(Tableau1345[[#This Row],[Repère]],Tableau1[#All],12,FALSE))</f>
        <v/>
      </c>
    </row>
    <row r="53" spans="1:12" x14ac:dyDescent="0.3">
      <c r="A53" s="18"/>
      <c r="B53" s="19"/>
      <c r="C53" s="13" t="str">
        <f>IF(Tableau1345[[#This Row],[Repère]]="","",VLOOKUP(Tableau1345[[#This Row],[Repère]],Tableau1[#All],3,FALSE))</f>
        <v/>
      </c>
      <c r="D53" s="13" t="str">
        <f>IF(Tableau1345[[#This Row],[Repère]]="","",VLOOKUP(Tableau1345[[#This Row],[Repère]],Tableau1[#All],4,FALSE))</f>
        <v/>
      </c>
      <c r="E53" s="13" t="str">
        <f>IF(Tableau1345[[#This Row],[Repère]]="","",VLOOKUP(Tableau1345[[#This Row],[Repère]],Tableau1[#All],5,FALSE))</f>
        <v/>
      </c>
      <c r="F53" s="13" t="str">
        <f>IF(Tableau1345[[#This Row],[Repère]]="","",VLOOKUP(Tableau1345[[#This Row],[Repère]],Tableau1[#All],6,FALSE))</f>
        <v/>
      </c>
      <c r="G53" s="13" t="str">
        <f>IF(Tableau1345[[#This Row],[Repère]]="","",VLOOKUP(Tableau1345[[#This Row],[Repère]],Tableau1[#All],7,FALSE))</f>
        <v/>
      </c>
      <c r="H53" s="13" t="str">
        <f>IF(Tableau1345[[#This Row],[Repère]]="","",VLOOKUP(Tableau1345[[#This Row],[Repère]],Tableau1[#All],8,FALSE))</f>
        <v/>
      </c>
      <c r="I53" s="13" t="str">
        <f>IF(Tableau1345[[#This Row],[Repère]]="","",VLOOKUP(Tableau1345[[#This Row],[Repère]],Tableau1[#All],9,FALSE))</f>
        <v/>
      </c>
      <c r="J53" s="13" t="str">
        <f>IF(Tableau1345[[#This Row],[Repère]]="","",VLOOKUP(Tableau1345[[#This Row],[Repère]],Tableau1[#All],10,FALSE))</f>
        <v/>
      </c>
      <c r="K53" s="13" t="str">
        <f>IF(Tableau1345[[#This Row],[Repère]]="","",VLOOKUP(Tableau1345[[#This Row],[Repère]],Tableau1[#All],11,FALSE))</f>
        <v/>
      </c>
      <c r="L53" s="14" t="str">
        <f>IF(Tableau1345[[#This Row],[Repère]]="","",VLOOKUP(Tableau1345[[#This Row],[Repère]],Tableau1[#All],12,FALSE))</f>
        <v/>
      </c>
    </row>
    <row r="54" spans="1:12" x14ac:dyDescent="0.3">
      <c r="A54" s="18"/>
      <c r="B54" s="19"/>
      <c r="C54" s="13" t="str">
        <f>IF(Tableau1345[[#This Row],[Repère]]="","",VLOOKUP(Tableau1345[[#This Row],[Repère]],Tableau1[#All],3,FALSE))</f>
        <v/>
      </c>
      <c r="D54" s="13" t="str">
        <f>IF(Tableau1345[[#This Row],[Repère]]="","",VLOOKUP(Tableau1345[[#This Row],[Repère]],Tableau1[#All],4,FALSE))</f>
        <v/>
      </c>
      <c r="E54" s="13" t="str">
        <f>IF(Tableau1345[[#This Row],[Repère]]="","",VLOOKUP(Tableau1345[[#This Row],[Repère]],Tableau1[#All],5,FALSE))</f>
        <v/>
      </c>
      <c r="F54" s="13" t="str">
        <f>IF(Tableau1345[[#This Row],[Repère]]="","",VLOOKUP(Tableau1345[[#This Row],[Repère]],Tableau1[#All],6,FALSE))</f>
        <v/>
      </c>
      <c r="G54" s="13" t="str">
        <f>IF(Tableau1345[[#This Row],[Repère]]="","",VLOOKUP(Tableau1345[[#This Row],[Repère]],Tableau1[#All],7,FALSE))</f>
        <v/>
      </c>
      <c r="H54" s="13" t="str">
        <f>IF(Tableau1345[[#This Row],[Repère]]="","",VLOOKUP(Tableau1345[[#This Row],[Repère]],Tableau1[#All],8,FALSE))</f>
        <v/>
      </c>
      <c r="I54" s="13" t="str">
        <f>IF(Tableau1345[[#This Row],[Repère]]="","",VLOOKUP(Tableau1345[[#This Row],[Repère]],Tableau1[#All],9,FALSE))</f>
        <v/>
      </c>
      <c r="J54" s="13" t="str">
        <f>IF(Tableau1345[[#This Row],[Repère]]="","",VLOOKUP(Tableau1345[[#This Row],[Repère]],Tableau1[#All],10,FALSE))</f>
        <v/>
      </c>
      <c r="K54" s="13" t="str">
        <f>IF(Tableau1345[[#This Row],[Repère]]="","",VLOOKUP(Tableau1345[[#This Row],[Repère]],Tableau1[#All],11,FALSE))</f>
        <v/>
      </c>
      <c r="L54" s="14" t="str">
        <f>IF(Tableau1345[[#This Row],[Repère]]="","",VLOOKUP(Tableau1345[[#This Row],[Repère]],Tableau1[#All],12,FALSE))</f>
        <v/>
      </c>
    </row>
    <row r="55" spans="1:12" x14ac:dyDescent="0.3">
      <c r="A55" s="18"/>
      <c r="B55" s="19"/>
      <c r="C55" s="13" t="str">
        <f>IF(Tableau1345[[#This Row],[Repère]]="","",VLOOKUP(Tableau1345[[#This Row],[Repère]],Tableau1[#All],3,FALSE))</f>
        <v/>
      </c>
      <c r="D55" s="13" t="str">
        <f>IF(Tableau1345[[#This Row],[Repère]]="","",VLOOKUP(Tableau1345[[#This Row],[Repère]],Tableau1[#All],4,FALSE))</f>
        <v/>
      </c>
      <c r="E55" s="13" t="str">
        <f>IF(Tableau1345[[#This Row],[Repère]]="","",VLOOKUP(Tableau1345[[#This Row],[Repère]],Tableau1[#All],5,FALSE))</f>
        <v/>
      </c>
      <c r="F55" s="13" t="str">
        <f>IF(Tableau1345[[#This Row],[Repère]]="","",VLOOKUP(Tableau1345[[#This Row],[Repère]],Tableau1[#All],6,FALSE))</f>
        <v/>
      </c>
      <c r="G55" s="13" t="str">
        <f>IF(Tableau1345[[#This Row],[Repère]]="","",VLOOKUP(Tableau1345[[#This Row],[Repère]],Tableau1[#All],7,FALSE))</f>
        <v/>
      </c>
      <c r="H55" s="13" t="str">
        <f>IF(Tableau1345[[#This Row],[Repère]]="","",VLOOKUP(Tableau1345[[#This Row],[Repère]],Tableau1[#All],8,FALSE))</f>
        <v/>
      </c>
      <c r="I55" s="13" t="str">
        <f>IF(Tableau1345[[#This Row],[Repère]]="","",VLOOKUP(Tableau1345[[#This Row],[Repère]],Tableau1[#All],9,FALSE))</f>
        <v/>
      </c>
      <c r="J55" s="13" t="str">
        <f>IF(Tableau1345[[#This Row],[Repère]]="","",VLOOKUP(Tableau1345[[#This Row],[Repère]],Tableau1[#All],10,FALSE))</f>
        <v/>
      </c>
      <c r="K55" s="13" t="str">
        <f>IF(Tableau1345[[#This Row],[Repère]]="","",VLOOKUP(Tableau1345[[#This Row],[Repère]],Tableau1[#All],11,FALSE))</f>
        <v/>
      </c>
      <c r="L55" s="14" t="str">
        <f>IF(Tableau1345[[#This Row],[Repère]]="","",VLOOKUP(Tableau1345[[#This Row],[Repère]],Tableau1[#All],12,FALSE))</f>
        <v/>
      </c>
    </row>
    <row r="56" spans="1:12" x14ac:dyDescent="0.3">
      <c r="A56" s="18"/>
      <c r="B56" s="19"/>
      <c r="C56" s="13" t="str">
        <f>IF(Tableau1345[[#This Row],[Repère]]="","",VLOOKUP(Tableau1345[[#This Row],[Repère]],Tableau1[#All],3,FALSE))</f>
        <v/>
      </c>
      <c r="D56" s="13" t="str">
        <f>IF(Tableau1345[[#This Row],[Repère]]="","",VLOOKUP(Tableau1345[[#This Row],[Repère]],Tableau1[#All],4,FALSE))</f>
        <v/>
      </c>
      <c r="E56" s="13" t="str">
        <f>IF(Tableau1345[[#This Row],[Repère]]="","",VLOOKUP(Tableau1345[[#This Row],[Repère]],Tableau1[#All],5,FALSE))</f>
        <v/>
      </c>
      <c r="F56" s="13" t="str">
        <f>IF(Tableau1345[[#This Row],[Repère]]="","",VLOOKUP(Tableau1345[[#This Row],[Repère]],Tableau1[#All],6,FALSE))</f>
        <v/>
      </c>
      <c r="G56" s="13" t="str">
        <f>IF(Tableau1345[[#This Row],[Repère]]="","",VLOOKUP(Tableau1345[[#This Row],[Repère]],Tableau1[#All],7,FALSE))</f>
        <v/>
      </c>
      <c r="H56" s="13" t="str">
        <f>IF(Tableau1345[[#This Row],[Repère]]="","",VLOOKUP(Tableau1345[[#This Row],[Repère]],Tableau1[#All],8,FALSE))</f>
        <v/>
      </c>
      <c r="I56" s="13" t="str">
        <f>IF(Tableau1345[[#This Row],[Repère]]="","",VLOOKUP(Tableau1345[[#This Row],[Repère]],Tableau1[#All],9,FALSE))</f>
        <v/>
      </c>
      <c r="J56" s="13" t="str">
        <f>IF(Tableau1345[[#This Row],[Repère]]="","",VLOOKUP(Tableau1345[[#This Row],[Repère]],Tableau1[#All],10,FALSE))</f>
        <v/>
      </c>
      <c r="K56" s="13" t="str">
        <f>IF(Tableau1345[[#This Row],[Repère]]="","",VLOOKUP(Tableau1345[[#This Row],[Repère]],Tableau1[#All],11,FALSE))</f>
        <v/>
      </c>
      <c r="L56" s="14" t="str">
        <f>IF(Tableau1345[[#This Row],[Repère]]="","",VLOOKUP(Tableau1345[[#This Row],[Repère]],Tableau1[#All],12,FALSE))</f>
        <v/>
      </c>
    </row>
    <row r="57" spans="1:12" x14ac:dyDescent="0.3">
      <c r="A57" s="18"/>
      <c r="B57" s="19"/>
      <c r="C57" s="13" t="str">
        <f>IF(Tableau1345[[#This Row],[Repère]]="","",VLOOKUP(Tableau1345[[#This Row],[Repère]],Tableau1[#All],3,FALSE))</f>
        <v/>
      </c>
      <c r="D57" s="13" t="str">
        <f>IF(Tableau1345[[#This Row],[Repère]]="","",VLOOKUP(Tableau1345[[#This Row],[Repère]],Tableau1[#All],4,FALSE))</f>
        <v/>
      </c>
      <c r="E57" s="13" t="str">
        <f>IF(Tableau1345[[#This Row],[Repère]]="","",VLOOKUP(Tableau1345[[#This Row],[Repère]],Tableau1[#All],5,FALSE))</f>
        <v/>
      </c>
      <c r="F57" s="13" t="str">
        <f>IF(Tableau1345[[#This Row],[Repère]]="","",VLOOKUP(Tableau1345[[#This Row],[Repère]],Tableau1[#All],6,FALSE))</f>
        <v/>
      </c>
      <c r="G57" s="13" t="str">
        <f>IF(Tableau1345[[#This Row],[Repère]]="","",VLOOKUP(Tableau1345[[#This Row],[Repère]],Tableau1[#All],7,FALSE))</f>
        <v/>
      </c>
      <c r="H57" s="13" t="str">
        <f>IF(Tableau1345[[#This Row],[Repère]]="","",VLOOKUP(Tableau1345[[#This Row],[Repère]],Tableau1[#All],8,FALSE))</f>
        <v/>
      </c>
      <c r="I57" s="13" t="str">
        <f>IF(Tableau1345[[#This Row],[Repère]]="","",VLOOKUP(Tableau1345[[#This Row],[Repère]],Tableau1[#All],9,FALSE))</f>
        <v/>
      </c>
      <c r="J57" s="13" t="str">
        <f>IF(Tableau1345[[#This Row],[Repère]]="","",VLOOKUP(Tableau1345[[#This Row],[Repère]],Tableau1[#All],10,FALSE))</f>
        <v/>
      </c>
      <c r="K57" s="13" t="str">
        <f>IF(Tableau1345[[#This Row],[Repère]]="","",VLOOKUP(Tableau1345[[#This Row],[Repère]],Tableau1[#All],11,FALSE))</f>
        <v/>
      </c>
      <c r="L57" s="14" t="str">
        <f>IF(Tableau1345[[#This Row],[Repère]]="","",VLOOKUP(Tableau1345[[#This Row],[Repère]],Tableau1[#All],12,FALSE))</f>
        <v/>
      </c>
    </row>
    <row r="58" spans="1:12" x14ac:dyDescent="0.3">
      <c r="A58" s="18"/>
      <c r="B58" s="19"/>
      <c r="C58" s="13" t="str">
        <f>IF(Tableau1345[[#This Row],[Repère]]="","",VLOOKUP(Tableau1345[[#This Row],[Repère]],Tableau1[#All],3,FALSE))</f>
        <v/>
      </c>
      <c r="D58" s="13" t="str">
        <f>IF(Tableau1345[[#This Row],[Repère]]="","",VLOOKUP(Tableau1345[[#This Row],[Repère]],Tableau1[#All],4,FALSE))</f>
        <v/>
      </c>
      <c r="E58" s="13" t="str">
        <f>IF(Tableau1345[[#This Row],[Repère]]="","",VLOOKUP(Tableau1345[[#This Row],[Repère]],Tableau1[#All],5,FALSE))</f>
        <v/>
      </c>
      <c r="F58" s="13" t="str">
        <f>IF(Tableau1345[[#This Row],[Repère]]="","",VLOOKUP(Tableau1345[[#This Row],[Repère]],Tableau1[#All],6,FALSE))</f>
        <v/>
      </c>
      <c r="G58" s="13" t="str">
        <f>IF(Tableau1345[[#This Row],[Repère]]="","",VLOOKUP(Tableau1345[[#This Row],[Repère]],Tableau1[#All],7,FALSE))</f>
        <v/>
      </c>
      <c r="H58" s="13" t="str">
        <f>IF(Tableau1345[[#This Row],[Repère]]="","",VLOOKUP(Tableau1345[[#This Row],[Repère]],Tableau1[#All],8,FALSE))</f>
        <v/>
      </c>
      <c r="I58" s="13" t="str">
        <f>IF(Tableau1345[[#This Row],[Repère]]="","",VLOOKUP(Tableau1345[[#This Row],[Repère]],Tableau1[#All],9,FALSE))</f>
        <v/>
      </c>
      <c r="J58" s="13" t="str">
        <f>IF(Tableau1345[[#This Row],[Repère]]="","",VLOOKUP(Tableau1345[[#This Row],[Repère]],Tableau1[#All],10,FALSE))</f>
        <v/>
      </c>
      <c r="K58" s="13" t="str">
        <f>IF(Tableau1345[[#This Row],[Repère]]="","",VLOOKUP(Tableau1345[[#This Row],[Repère]],Tableau1[#All],11,FALSE))</f>
        <v/>
      </c>
      <c r="L58" s="14" t="str">
        <f>IF(Tableau1345[[#This Row],[Repère]]="","",VLOOKUP(Tableau1345[[#This Row],[Repère]],Tableau1[#All],12,FALSE))</f>
        <v/>
      </c>
    </row>
    <row r="59" spans="1:12" x14ac:dyDescent="0.3">
      <c r="A59" s="18"/>
      <c r="B59" s="19"/>
      <c r="C59" s="13" t="str">
        <f>IF(Tableau1345[[#This Row],[Repère]]="","",VLOOKUP(Tableau1345[[#This Row],[Repère]],Tableau1[#All],3,FALSE))</f>
        <v/>
      </c>
      <c r="D59" s="13" t="str">
        <f>IF(Tableau1345[[#This Row],[Repère]]="","",VLOOKUP(Tableau1345[[#This Row],[Repère]],Tableau1[#All],4,FALSE))</f>
        <v/>
      </c>
      <c r="E59" s="13" t="str">
        <f>IF(Tableau1345[[#This Row],[Repère]]="","",VLOOKUP(Tableau1345[[#This Row],[Repère]],Tableau1[#All],5,FALSE))</f>
        <v/>
      </c>
      <c r="F59" s="13" t="str">
        <f>IF(Tableau1345[[#This Row],[Repère]]="","",VLOOKUP(Tableau1345[[#This Row],[Repère]],Tableau1[#All],6,FALSE))</f>
        <v/>
      </c>
      <c r="G59" s="13" t="str">
        <f>IF(Tableau1345[[#This Row],[Repère]]="","",VLOOKUP(Tableau1345[[#This Row],[Repère]],Tableau1[#All],7,FALSE))</f>
        <v/>
      </c>
      <c r="H59" s="13" t="str">
        <f>IF(Tableau1345[[#This Row],[Repère]]="","",VLOOKUP(Tableau1345[[#This Row],[Repère]],Tableau1[#All],8,FALSE))</f>
        <v/>
      </c>
      <c r="I59" s="13" t="str">
        <f>IF(Tableau1345[[#This Row],[Repère]]="","",VLOOKUP(Tableau1345[[#This Row],[Repère]],Tableau1[#All],9,FALSE))</f>
        <v/>
      </c>
      <c r="J59" s="13" t="str">
        <f>IF(Tableau1345[[#This Row],[Repère]]="","",VLOOKUP(Tableau1345[[#This Row],[Repère]],Tableau1[#All],10,FALSE))</f>
        <v/>
      </c>
      <c r="K59" s="13" t="str">
        <f>IF(Tableau1345[[#This Row],[Repère]]="","",VLOOKUP(Tableau1345[[#This Row],[Repère]],Tableau1[#All],11,FALSE))</f>
        <v/>
      </c>
      <c r="L59" s="14" t="str">
        <f>IF(Tableau1345[[#This Row],[Repère]]="","",VLOOKUP(Tableau1345[[#This Row],[Repère]],Tableau1[#All],12,FALSE))</f>
        <v/>
      </c>
    </row>
    <row r="60" spans="1:12" x14ac:dyDescent="0.3">
      <c r="A60" s="18"/>
      <c r="B60" s="19"/>
      <c r="C60" s="13" t="str">
        <f>IF(Tableau1345[[#This Row],[Repère]]="","",VLOOKUP(Tableau1345[[#This Row],[Repère]],Tableau1[#All],3,FALSE))</f>
        <v/>
      </c>
      <c r="D60" s="13" t="str">
        <f>IF(Tableau1345[[#This Row],[Repère]]="","",VLOOKUP(Tableau1345[[#This Row],[Repère]],Tableau1[#All],4,FALSE))</f>
        <v/>
      </c>
      <c r="E60" s="13" t="str">
        <f>IF(Tableau1345[[#This Row],[Repère]]="","",VLOOKUP(Tableau1345[[#This Row],[Repère]],Tableau1[#All],5,FALSE))</f>
        <v/>
      </c>
      <c r="F60" s="13" t="str">
        <f>IF(Tableau1345[[#This Row],[Repère]]="","",VLOOKUP(Tableau1345[[#This Row],[Repère]],Tableau1[#All],6,FALSE))</f>
        <v/>
      </c>
      <c r="G60" s="13" t="str">
        <f>IF(Tableau1345[[#This Row],[Repère]]="","",VLOOKUP(Tableau1345[[#This Row],[Repère]],Tableau1[#All],7,FALSE))</f>
        <v/>
      </c>
      <c r="H60" s="13" t="str">
        <f>IF(Tableau1345[[#This Row],[Repère]]="","",VLOOKUP(Tableau1345[[#This Row],[Repère]],Tableau1[#All],8,FALSE))</f>
        <v/>
      </c>
      <c r="I60" s="13" t="str">
        <f>IF(Tableau1345[[#This Row],[Repère]]="","",VLOOKUP(Tableau1345[[#This Row],[Repère]],Tableau1[#All],9,FALSE))</f>
        <v/>
      </c>
      <c r="J60" s="13" t="str">
        <f>IF(Tableau1345[[#This Row],[Repère]]="","",VLOOKUP(Tableau1345[[#This Row],[Repère]],Tableau1[#All],10,FALSE))</f>
        <v/>
      </c>
      <c r="K60" s="13" t="str">
        <f>IF(Tableau1345[[#This Row],[Repère]]="","",VLOOKUP(Tableau1345[[#This Row],[Repère]],Tableau1[#All],11,FALSE))</f>
        <v/>
      </c>
      <c r="L60" s="14" t="str">
        <f>IF(Tableau1345[[#This Row],[Repère]]="","",VLOOKUP(Tableau1345[[#This Row],[Repère]],Tableau1[#All],12,FALSE))</f>
        <v/>
      </c>
    </row>
    <row r="61" spans="1:12" x14ac:dyDescent="0.3">
      <c r="A61" s="18"/>
      <c r="B61" s="19"/>
      <c r="C61" s="13" t="str">
        <f>IF(Tableau1345[[#This Row],[Repère]]="","",VLOOKUP(Tableau1345[[#This Row],[Repère]],Tableau1[#All],3,FALSE))</f>
        <v/>
      </c>
      <c r="D61" s="13" t="str">
        <f>IF(Tableau1345[[#This Row],[Repère]]="","",VLOOKUP(Tableau1345[[#This Row],[Repère]],Tableau1[#All],4,FALSE))</f>
        <v/>
      </c>
      <c r="E61" s="13" t="str">
        <f>IF(Tableau1345[[#This Row],[Repère]]="","",VLOOKUP(Tableau1345[[#This Row],[Repère]],Tableau1[#All],5,FALSE))</f>
        <v/>
      </c>
      <c r="F61" s="13" t="str">
        <f>IF(Tableau1345[[#This Row],[Repère]]="","",VLOOKUP(Tableau1345[[#This Row],[Repère]],Tableau1[#All],6,FALSE))</f>
        <v/>
      </c>
      <c r="G61" s="13" t="str">
        <f>IF(Tableau1345[[#This Row],[Repère]]="","",VLOOKUP(Tableau1345[[#This Row],[Repère]],Tableau1[#All],7,FALSE))</f>
        <v/>
      </c>
      <c r="H61" s="13" t="str">
        <f>IF(Tableau1345[[#This Row],[Repère]]="","",VLOOKUP(Tableau1345[[#This Row],[Repère]],Tableau1[#All],8,FALSE))</f>
        <v/>
      </c>
      <c r="I61" s="13" t="str">
        <f>IF(Tableau1345[[#This Row],[Repère]]="","",VLOOKUP(Tableau1345[[#This Row],[Repère]],Tableau1[#All],9,FALSE))</f>
        <v/>
      </c>
      <c r="J61" s="13" t="str">
        <f>IF(Tableau1345[[#This Row],[Repère]]="","",VLOOKUP(Tableau1345[[#This Row],[Repère]],Tableau1[#All],10,FALSE))</f>
        <v/>
      </c>
      <c r="K61" s="13" t="str">
        <f>IF(Tableau1345[[#This Row],[Repère]]="","",VLOOKUP(Tableau1345[[#This Row],[Repère]],Tableau1[#All],11,FALSE))</f>
        <v/>
      </c>
      <c r="L61" s="14" t="str">
        <f>IF(Tableau1345[[#This Row],[Repère]]="","",VLOOKUP(Tableau1345[[#This Row],[Repère]],Tableau1[#All],12,FALSE))</f>
        <v/>
      </c>
    </row>
    <row r="62" spans="1:12" x14ac:dyDescent="0.3">
      <c r="A62" s="18"/>
      <c r="B62" s="19"/>
      <c r="C62" s="13" t="str">
        <f>IF(Tableau1345[[#This Row],[Repère]]="","",VLOOKUP(Tableau1345[[#This Row],[Repère]],Tableau1[#All],3,FALSE))</f>
        <v/>
      </c>
      <c r="D62" s="13" t="str">
        <f>IF(Tableau1345[[#This Row],[Repère]]="","",VLOOKUP(Tableau1345[[#This Row],[Repère]],Tableau1[#All],4,FALSE))</f>
        <v/>
      </c>
      <c r="E62" s="13" t="str">
        <f>IF(Tableau1345[[#This Row],[Repère]]="","",VLOOKUP(Tableau1345[[#This Row],[Repère]],Tableau1[#All],5,FALSE))</f>
        <v/>
      </c>
      <c r="F62" s="13" t="str">
        <f>IF(Tableau1345[[#This Row],[Repère]]="","",VLOOKUP(Tableau1345[[#This Row],[Repère]],Tableau1[#All],6,FALSE))</f>
        <v/>
      </c>
      <c r="G62" s="13" t="str">
        <f>IF(Tableau1345[[#This Row],[Repère]]="","",VLOOKUP(Tableau1345[[#This Row],[Repère]],Tableau1[#All],7,FALSE))</f>
        <v/>
      </c>
      <c r="H62" s="13" t="str">
        <f>IF(Tableau1345[[#This Row],[Repère]]="","",VLOOKUP(Tableau1345[[#This Row],[Repère]],Tableau1[#All],8,FALSE))</f>
        <v/>
      </c>
      <c r="I62" s="13" t="str">
        <f>IF(Tableau1345[[#This Row],[Repère]]="","",VLOOKUP(Tableau1345[[#This Row],[Repère]],Tableau1[#All],9,FALSE))</f>
        <v/>
      </c>
      <c r="J62" s="13" t="str">
        <f>IF(Tableau1345[[#This Row],[Repère]]="","",VLOOKUP(Tableau1345[[#This Row],[Repère]],Tableau1[#All],10,FALSE))</f>
        <v/>
      </c>
      <c r="K62" s="13" t="str">
        <f>IF(Tableau1345[[#This Row],[Repère]]="","",VLOOKUP(Tableau1345[[#This Row],[Repère]],Tableau1[#All],11,FALSE))</f>
        <v/>
      </c>
      <c r="L62" s="14" t="str">
        <f>IF(Tableau1345[[#This Row],[Repère]]="","",VLOOKUP(Tableau1345[[#This Row],[Repère]],Tableau1[#All],12,FALSE))</f>
        <v/>
      </c>
    </row>
    <row r="63" spans="1:12" x14ac:dyDescent="0.3">
      <c r="A63" s="18"/>
      <c r="B63" s="19"/>
      <c r="C63" s="13" t="str">
        <f>IF(Tableau1345[[#This Row],[Repère]]="","",VLOOKUP(Tableau1345[[#This Row],[Repère]],Tableau1[#All],3,FALSE))</f>
        <v/>
      </c>
      <c r="D63" s="13" t="str">
        <f>IF(Tableau1345[[#This Row],[Repère]]="","",VLOOKUP(Tableau1345[[#This Row],[Repère]],Tableau1[#All],4,FALSE))</f>
        <v/>
      </c>
      <c r="E63" s="13" t="str">
        <f>IF(Tableau1345[[#This Row],[Repère]]="","",VLOOKUP(Tableau1345[[#This Row],[Repère]],Tableau1[#All],5,FALSE))</f>
        <v/>
      </c>
      <c r="F63" s="13" t="str">
        <f>IF(Tableau1345[[#This Row],[Repère]]="","",VLOOKUP(Tableau1345[[#This Row],[Repère]],Tableau1[#All],6,FALSE))</f>
        <v/>
      </c>
      <c r="G63" s="13" t="str">
        <f>IF(Tableau1345[[#This Row],[Repère]]="","",VLOOKUP(Tableau1345[[#This Row],[Repère]],Tableau1[#All],7,FALSE))</f>
        <v/>
      </c>
      <c r="H63" s="13" t="str">
        <f>IF(Tableau1345[[#This Row],[Repère]]="","",VLOOKUP(Tableau1345[[#This Row],[Repère]],Tableau1[#All],8,FALSE))</f>
        <v/>
      </c>
      <c r="I63" s="13" t="str">
        <f>IF(Tableau1345[[#This Row],[Repère]]="","",VLOOKUP(Tableau1345[[#This Row],[Repère]],Tableau1[#All],9,FALSE))</f>
        <v/>
      </c>
      <c r="J63" s="13" t="str">
        <f>IF(Tableau1345[[#This Row],[Repère]]="","",VLOOKUP(Tableau1345[[#This Row],[Repère]],Tableau1[#All],10,FALSE))</f>
        <v/>
      </c>
      <c r="K63" s="13" t="str">
        <f>IF(Tableau1345[[#This Row],[Repère]]="","",VLOOKUP(Tableau1345[[#This Row],[Repère]],Tableau1[#All],11,FALSE))</f>
        <v/>
      </c>
      <c r="L63" s="14" t="str">
        <f>IF(Tableau1345[[#This Row],[Repère]]="","",VLOOKUP(Tableau1345[[#This Row],[Repère]],Tableau1[#All],12,FALSE))</f>
        <v/>
      </c>
    </row>
    <row r="64" spans="1:12" x14ac:dyDescent="0.3">
      <c r="A64" s="18"/>
      <c r="B64" s="19"/>
      <c r="C64" s="13" t="str">
        <f>IF(Tableau1345[[#This Row],[Repère]]="","",VLOOKUP(Tableau1345[[#This Row],[Repère]],Tableau1[#All],3,FALSE))</f>
        <v/>
      </c>
      <c r="D64" s="13" t="str">
        <f>IF(Tableau1345[[#This Row],[Repère]]="","",VLOOKUP(Tableau1345[[#This Row],[Repère]],Tableau1[#All],4,FALSE))</f>
        <v/>
      </c>
      <c r="E64" s="13" t="str">
        <f>IF(Tableau1345[[#This Row],[Repère]]="","",VLOOKUP(Tableau1345[[#This Row],[Repère]],Tableau1[#All],5,FALSE))</f>
        <v/>
      </c>
      <c r="F64" s="13" t="str">
        <f>IF(Tableau1345[[#This Row],[Repère]]="","",VLOOKUP(Tableau1345[[#This Row],[Repère]],Tableau1[#All],6,FALSE))</f>
        <v/>
      </c>
      <c r="G64" s="13" t="str">
        <f>IF(Tableau1345[[#This Row],[Repère]]="","",VLOOKUP(Tableau1345[[#This Row],[Repère]],Tableau1[#All],7,FALSE))</f>
        <v/>
      </c>
      <c r="H64" s="13" t="str">
        <f>IF(Tableau1345[[#This Row],[Repère]]="","",VLOOKUP(Tableau1345[[#This Row],[Repère]],Tableau1[#All],8,FALSE))</f>
        <v/>
      </c>
      <c r="I64" s="13" t="str">
        <f>IF(Tableau1345[[#This Row],[Repère]]="","",VLOOKUP(Tableau1345[[#This Row],[Repère]],Tableau1[#All],9,FALSE))</f>
        <v/>
      </c>
      <c r="J64" s="13" t="str">
        <f>IF(Tableau1345[[#This Row],[Repère]]="","",VLOOKUP(Tableau1345[[#This Row],[Repère]],Tableau1[#All],10,FALSE))</f>
        <v/>
      </c>
      <c r="K64" s="13" t="str">
        <f>IF(Tableau1345[[#This Row],[Repère]]="","",VLOOKUP(Tableau1345[[#This Row],[Repère]],Tableau1[#All],11,FALSE))</f>
        <v/>
      </c>
      <c r="L64" s="14" t="str">
        <f>IF(Tableau1345[[#This Row],[Repère]]="","",VLOOKUP(Tableau1345[[#This Row],[Repère]],Tableau1[#All],12,FALSE))</f>
        <v/>
      </c>
    </row>
    <row r="65" spans="1:12" x14ac:dyDescent="0.3">
      <c r="A65" s="18"/>
      <c r="B65" s="19"/>
      <c r="C65" s="13" t="str">
        <f>IF(Tableau1345[[#This Row],[Repère]]="","",VLOOKUP(Tableau1345[[#This Row],[Repère]],Tableau1[#All],3,FALSE))</f>
        <v/>
      </c>
      <c r="D65" s="13" t="str">
        <f>IF(Tableau1345[[#This Row],[Repère]]="","",VLOOKUP(Tableau1345[[#This Row],[Repère]],Tableau1[#All],4,FALSE))</f>
        <v/>
      </c>
      <c r="E65" s="13" t="str">
        <f>IF(Tableau1345[[#This Row],[Repère]]="","",VLOOKUP(Tableau1345[[#This Row],[Repère]],Tableau1[#All],5,FALSE))</f>
        <v/>
      </c>
      <c r="F65" s="13" t="str">
        <f>IF(Tableau1345[[#This Row],[Repère]]="","",VLOOKUP(Tableau1345[[#This Row],[Repère]],Tableau1[#All],6,FALSE))</f>
        <v/>
      </c>
      <c r="G65" s="13" t="str">
        <f>IF(Tableau1345[[#This Row],[Repère]]="","",VLOOKUP(Tableau1345[[#This Row],[Repère]],Tableau1[#All],7,FALSE))</f>
        <v/>
      </c>
      <c r="H65" s="13" t="str">
        <f>IF(Tableau1345[[#This Row],[Repère]]="","",VLOOKUP(Tableau1345[[#This Row],[Repère]],Tableau1[#All],8,FALSE))</f>
        <v/>
      </c>
      <c r="I65" s="13" t="str">
        <f>IF(Tableau1345[[#This Row],[Repère]]="","",VLOOKUP(Tableau1345[[#This Row],[Repère]],Tableau1[#All],9,FALSE))</f>
        <v/>
      </c>
      <c r="J65" s="13" t="str">
        <f>IF(Tableau1345[[#This Row],[Repère]]="","",VLOOKUP(Tableau1345[[#This Row],[Repère]],Tableau1[#All],10,FALSE))</f>
        <v/>
      </c>
      <c r="K65" s="13" t="str">
        <f>IF(Tableau1345[[#This Row],[Repère]]="","",VLOOKUP(Tableau1345[[#This Row],[Repère]],Tableau1[#All],11,FALSE))</f>
        <v/>
      </c>
      <c r="L65" s="14" t="str">
        <f>IF(Tableau1345[[#This Row],[Repère]]="","",VLOOKUP(Tableau1345[[#This Row],[Repère]],Tableau1[#All],12,FALSE))</f>
        <v/>
      </c>
    </row>
    <row r="66" spans="1:12" x14ac:dyDescent="0.3">
      <c r="A66" s="18"/>
      <c r="B66" s="19"/>
      <c r="C66" s="13" t="str">
        <f>IF(Tableau1345[[#This Row],[Repère]]="","",VLOOKUP(Tableau1345[[#This Row],[Repère]],Tableau1[#All],3,FALSE))</f>
        <v/>
      </c>
      <c r="D66" s="13" t="str">
        <f>IF(Tableau1345[[#This Row],[Repère]]="","",VLOOKUP(Tableau1345[[#This Row],[Repère]],Tableau1[#All],4,FALSE))</f>
        <v/>
      </c>
      <c r="E66" s="13" t="str">
        <f>IF(Tableau1345[[#This Row],[Repère]]="","",VLOOKUP(Tableau1345[[#This Row],[Repère]],Tableau1[#All],5,FALSE))</f>
        <v/>
      </c>
      <c r="F66" s="13" t="str">
        <f>IF(Tableau1345[[#This Row],[Repère]]="","",VLOOKUP(Tableau1345[[#This Row],[Repère]],Tableau1[#All],6,FALSE))</f>
        <v/>
      </c>
      <c r="G66" s="13" t="str">
        <f>IF(Tableau1345[[#This Row],[Repère]]="","",VLOOKUP(Tableau1345[[#This Row],[Repère]],Tableau1[#All],7,FALSE))</f>
        <v/>
      </c>
      <c r="H66" s="13" t="str">
        <f>IF(Tableau1345[[#This Row],[Repère]]="","",VLOOKUP(Tableau1345[[#This Row],[Repère]],Tableau1[#All],8,FALSE))</f>
        <v/>
      </c>
      <c r="I66" s="13" t="str">
        <f>IF(Tableau1345[[#This Row],[Repère]]="","",VLOOKUP(Tableau1345[[#This Row],[Repère]],Tableau1[#All],9,FALSE))</f>
        <v/>
      </c>
      <c r="J66" s="13" t="str">
        <f>IF(Tableau1345[[#This Row],[Repère]]="","",VLOOKUP(Tableau1345[[#This Row],[Repère]],Tableau1[#All],10,FALSE))</f>
        <v/>
      </c>
      <c r="K66" s="13" t="str">
        <f>IF(Tableau1345[[#This Row],[Repère]]="","",VLOOKUP(Tableau1345[[#This Row],[Repère]],Tableau1[#All],11,FALSE))</f>
        <v/>
      </c>
      <c r="L66" s="14" t="str">
        <f>IF(Tableau1345[[#This Row],[Repère]]="","",VLOOKUP(Tableau1345[[#This Row],[Repère]],Tableau1[#All],12,FALSE))</f>
        <v/>
      </c>
    </row>
    <row r="67" spans="1:12" x14ac:dyDescent="0.3">
      <c r="A67" s="18"/>
      <c r="B67" s="19"/>
      <c r="C67" s="13" t="str">
        <f>IF(Tableau1345[[#This Row],[Repère]]="","",VLOOKUP(Tableau1345[[#This Row],[Repère]],Tableau1[#All],3,FALSE))</f>
        <v/>
      </c>
      <c r="D67" s="13" t="str">
        <f>IF(Tableau1345[[#This Row],[Repère]]="","",VLOOKUP(Tableau1345[[#This Row],[Repère]],Tableau1[#All],4,FALSE))</f>
        <v/>
      </c>
      <c r="E67" s="13" t="str">
        <f>IF(Tableau1345[[#This Row],[Repère]]="","",VLOOKUP(Tableau1345[[#This Row],[Repère]],Tableau1[#All],5,FALSE))</f>
        <v/>
      </c>
      <c r="F67" s="13" t="str">
        <f>IF(Tableau1345[[#This Row],[Repère]]="","",VLOOKUP(Tableau1345[[#This Row],[Repère]],Tableau1[#All],6,FALSE))</f>
        <v/>
      </c>
      <c r="G67" s="13" t="str">
        <f>IF(Tableau1345[[#This Row],[Repère]]="","",VLOOKUP(Tableau1345[[#This Row],[Repère]],Tableau1[#All],7,FALSE))</f>
        <v/>
      </c>
      <c r="H67" s="13" t="str">
        <f>IF(Tableau1345[[#This Row],[Repère]]="","",VLOOKUP(Tableau1345[[#This Row],[Repère]],Tableau1[#All],8,FALSE))</f>
        <v/>
      </c>
      <c r="I67" s="13" t="str">
        <f>IF(Tableau1345[[#This Row],[Repère]]="","",VLOOKUP(Tableau1345[[#This Row],[Repère]],Tableau1[#All],9,FALSE))</f>
        <v/>
      </c>
      <c r="J67" s="13" t="str">
        <f>IF(Tableau1345[[#This Row],[Repère]]="","",VLOOKUP(Tableau1345[[#This Row],[Repère]],Tableau1[#All],10,FALSE))</f>
        <v/>
      </c>
      <c r="K67" s="13" t="str">
        <f>IF(Tableau1345[[#This Row],[Repère]]="","",VLOOKUP(Tableau1345[[#This Row],[Repère]],Tableau1[#All],11,FALSE))</f>
        <v/>
      </c>
      <c r="L67" s="14" t="str">
        <f>IF(Tableau1345[[#This Row],[Repère]]="","",VLOOKUP(Tableau1345[[#This Row],[Repère]],Tableau1[#All],12,FALSE))</f>
        <v/>
      </c>
    </row>
    <row r="68" spans="1:12" x14ac:dyDescent="0.3">
      <c r="A68" s="18"/>
      <c r="B68" s="19"/>
      <c r="C68" s="13" t="str">
        <f>IF(Tableau1345[[#This Row],[Repère]]="","",VLOOKUP(Tableau1345[[#This Row],[Repère]],Tableau1[#All],3,FALSE))</f>
        <v/>
      </c>
      <c r="D68" s="13" t="str">
        <f>IF(Tableau1345[[#This Row],[Repère]]="","",VLOOKUP(Tableau1345[[#This Row],[Repère]],Tableau1[#All],4,FALSE))</f>
        <v/>
      </c>
      <c r="E68" s="13" t="str">
        <f>IF(Tableau1345[[#This Row],[Repère]]="","",VLOOKUP(Tableau1345[[#This Row],[Repère]],Tableau1[#All],5,FALSE))</f>
        <v/>
      </c>
      <c r="F68" s="13" t="str">
        <f>IF(Tableau1345[[#This Row],[Repère]]="","",VLOOKUP(Tableau1345[[#This Row],[Repère]],Tableau1[#All],6,FALSE))</f>
        <v/>
      </c>
      <c r="G68" s="13" t="str">
        <f>IF(Tableau1345[[#This Row],[Repère]]="","",VLOOKUP(Tableau1345[[#This Row],[Repère]],Tableau1[#All],7,FALSE))</f>
        <v/>
      </c>
      <c r="H68" s="13" t="str">
        <f>IF(Tableau1345[[#This Row],[Repère]]="","",VLOOKUP(Tableau1345[[#This Row],[Repère]],Tableau1[#All],8,FALSE))</f>
        <v/>
      </c>
      <c r="I68" s="13" t="str">
        <f>IF(Tableau1345[[#This Row],[Repère]]="","",VLOOKUP(Tableau1345[[#This Row],[Repère]],Tableau1[#All],9,FALSE))</f>
        <v/>
      </c>
      <c r="J68" s="13" t="str">
        <f>IF(Tableau1345[[#This Row],[Repère]]="","",VLOOKUP(Tableau1345[[#This Row],[Repère]],Tableau1[#All],10,FALSE))</f>
        <v/>
      </c>
      <c r="K68" s="13" t="str">
        <f>IF(Tableau1345[[#This Row],[Repère]]="","",VLOOKUP(Tableau1345[[#This Row],[Repère]],Tableau1[#All],11,FALSE))</f>
        <v/>
      </c>
      <c r="L68" s="14" t="str">
        <f>IF(Tableau1345[[#This Row],[Repère]]="","",VLOOKUP(Tableau1345[[#This Row],[Repère]],Tableau1[#All],12,FALSE))</f>
        <v/>
      </c>
    </row>
    <row r="69" spans="1:12" x14ac:dyDescent="0.3">
      <c r="A69" s="18"/>
      <c r="B69" s="19"/>
      <c r="C69" s="13" t="str">
        <f>IF(Tableau1345[[#This Row],[Repère]]="","",VLOOKUP(Tableau1345[[#This Row],[Repère]],Tableau1[#All],3,FALSE))</f>
        <v/>
      </c>
      <c r="D69" s="13" t="str">
        <f>IF(Tableau1345[[#This Row],[Repère]]="","",VLOOKUP(Tableau1345[[#This Row],[Repère]],Tableau1[#All],4,FALSE))</f>
        <v/>
      </c>
      <c r="E69" s="13" t="str">
        <f>IF(Tableau1345[[#This Row],[Repère]]="","",VLOOKUP(Tableau1345[[#This Row],[Repère]],Tableau1[#All],5,FALSE))</f>
        <v/>
      </c>
      <c r="F69" s="13" t="str">
        <f>IF(Tableau1345[[#This Row],[Repère]]="","",VLOOKUP(Tableau1345[[#This Row],[Repère]],Tableau1[#All],6,FALSE))</f>
        <v/>
      </c>
      <c r="G69" s="13" t="str">
        <f>IF(Tableau1345[[#This Row],[Repère]]="","",VLOOKUP(Tableau1345[[#This Row],[Repère]],Tableau1[#All],7,FALSE))</f>
        <v/>
      </c>
      <c r="H69" s="13" t="str">
        <f>IF(Tableau1345[[#This Row],[Repère]]="","",VLOOKUP(Tableau1345[[#This Row],[Repère]],Tableau1[#All],8,FALSE))</f>
        <v/>
      </c>
      <c r="I69" s="13" t="str">
        <f>IF(Tableau1345[[#This Row],[Repère]]="","",VLOOKUP(Tableau1345[[#This Row],[Repère]],Tableau1[#All],9,FALSE))</f>
        <v/>
      </c>
      <c r="J69" s="13" t="str">
        <f>IF(Tableau1345[[#This Row],[Repère]]="","",VLOOKUP(Tableau1345[[#This Row],[Repère]],Tableau1[#All],10,FALSE))</f>
        <v/>
      </c>
      <c r="K69" s="13" t="str">
        <f>IF(Tableau1345[[#This Row],[Repère]]="","",VLOOKUP(Tableau1345[[#This Row],[Repère]],Tableau1[#All],11,FALSE))</f>
        <v/>
      </c>
      <c r="L69" s="14" t="str">
        <f>IF(Tableau1345[[#This Row],[Repère]]="","",VLOOKUP(Tableau1345[[#This Row],[Repère]],Tableau1[#All],12,FALSE))</f>
        <v/>
      </c>
    </row>
    <row r="70" spans="1:12" x14ac:dyDescent="0.3">
      <c r="A70" s="18"/>
      <c r="B70" s="19"/>
      <c r="C70" s="13" t="str">
        <f>IF(Tableau1345[[#This Row],[Repère]]="","",VLOOKUP(Tableau1345[[#This Row],[Repère]],Tableau1[#All],3,FALSE))</f>
        <v/>
      </c>
      <c r="D70" s="13" t="str">
        <f>IF(Tableau1345[[#This Row],[Repère]]="","",VLOOKUP(Tableau1345[[#This Row],[Repère]],Tableau1[#All],4,FALSE))</f>
        <v/>
      </c>
      <c r="E70" s="13" t="str">
        <f>IF(Tableau1345[[#This Row],[Repère]]="","",VLOOKUP(Tableau1345[[#This Row],[Repère]],Tableau1[#All],5,FALSE))</f>
        <v/>
      </c>
      <c r="F70" s="13" t="str">
        <f>IF(Tableau1345[[#This Row],[Repère]]="","",VLOOKUP(Tableau1345[[#This Row],[Repère]],Tableau1[#All],6,FALSE))</f>
        <v/>
      </c>
      <c r="G70" s="13" t="str">
        <f>IF(Tableau1345[[#This Row],[Repère]]="","",VLOOKUP(Tableau1345[[#This Row],[Repère]],Tableau1[#All],7,FALSE))</f>
        <v/>
      </c>
      <c r="H70" s="13" t="str">
        <f>IF(Tableau1345[[#This Row],[Repère]]="","",VLOOKUP(Tableau1345[[#This Row],[Repère]],Tableau1[#All],8,FALSE))</f>
        <v/>
      </c>
      <c r="I70" s="13" t="str">
        <f>IF(Tableau1345[[#This Row],[Repère]]="","",VLOOKUP(Tableau1345[[#This Row],[Repère]],Tableau1[#All],9,FALSE))</f>
        <v/>
      </c>
      <c r="J70" s="13" t="str">
        <f>IF(Tableau1345[[#This Row],[Repère]]="","",VLOOKUP(Tableau1345[[#This Row],[Repère]],Tableau1[#All],10,FALSE))</f>
        <v/>
      </c>
      <c r="K70" s="13" t="str">
        <f>IF(Tableau1345[[#This Row],[Repère]]="","",VLOOKUP(Tableau1345[[#This Row],[Repère]],Tableau1[#All],11,FALSE))</f>
        <v/>
      </c>
      <c r="L70" s="14" t="str">
        <f>IF(Tableau1345[[#This Row],[Repère]]="","",VLOOKUP(Tableau1345[[#This Row],[Repère]],Tableau1[#All],12,FALSE))</f>
        <v/>
      </c>
    </row>
    <row r="71" spans="1:12" x14ac:dyDescent="0.3">
      <c r="A71" s="18"/>
      <c r="B71" s="19"/>
      <c r="C71" s="13" t="str">
        <f>IF(Tableau1345[[#This Row],[Repère]]="","",VLOOKUP(Tableau1345[[#This Row],[Repère]],Tableau1[#All],3,FALSE))</f>
        <v/>
      </c>
      <c r="D71" s="13" t="str">
        <f>IF(Tableau1345[[#This Row],[Repère]]="","",VLOOKUP(Tableau1345[[#This Row],[Repère]],Tableau1[#All],4,FALSE))</f>
        <v/>
      </c>
      <c r="E71" s="13" t="str">
        <f>IF(Tableau1345[[#This Row],[Repère]]="","",VLOOKUP(Tableau1345[[#This Row],[Repère]],Tableau1[#All],5,FALSE))</f>
        <v/>
      </c>
      <c r="F71" s="13" t="str">
        <f>IF(Tableau1345[[#This Row],[Repère]]="","",VLOOKUP(Tableau1345[[#This Row],[Repère]],Tableau1[#All],6,FALSE))</f>
        <v/>
      </c>
      <c r="G71" s="13" t="str">
        <f>IF(Tableau1345[[#This Row],[Repère]]="","",VLOOKUP(Tableau1345[[#This Row],[Repère]],Tableau1[#All],7,FALSE))</f>
        <v/>
      </c>
      <c r="H71" s="13" t="str">
        <f>IF(Tableau1345[[#This Row],[Repère]]="","",VLOOKUP(Tableau1345[[#This Row],[Repère]],Tableau1[#All],8,FALSE))</f>
        <v/>
      </c>
      <c r="I71" s="13" t="str">
        <f>IF(Tableau1345[[#This Row],[Repère]]="","",VLOOKUP(Tableau1345[[#This Row],[Repère]],Tableau1[#All],9,FALSE))</f>
        <v/>
      </c>
      <c r="J71" s="13" t="str">
        <f>IF(Tableau1345[[#This Row],[Repère]]="","",VLOOKUP(Tableau1345[[#This Row],[Repère]],Tableau1[#All],10,FALSE))</f>
        <v/>
      </c>
      <c r="K71" s="13" t="str">
        <f>IF(Tableau1345[[#This Row],[Repère]]="","",VLOOKUP(Tableau1345[[#This Row],[Repère]],Tableau1[#All],11,FALSE))</f>
        <v/>
      </c>
      <c r="L71" s="14" t="str">
        <f>IF(Tableau1345[[#This Row],[Repère]]="","",VLOOKUP(Tableau1345[[#This Row],[Repère]],Tableau1[#All],12,FALSE))</f>
        <v/>
      </c>
    </row>
    <row r="72" spans="1:12" x14ac:dyDescent="0.3">
      <c r="A72" s="18"/>
      <c r="B72" s="19"/>
      <c r="C72" s="13" t="str">
        <f>IF(Tableau1345[[#This Row],[Repère]]="","",VLOOKUP(Tableau1345[[#This Row],[Repère]],Tableau1[#All],3,FALSE))</f>
        <v/>
      </c>
      <c r="D72" s="13" t="str">
        <f>IF(Tableau1345[[#This Row],[Repère]]="","",VLOOKUP(Tableau1345[[#This Row],[Repère]],Tableau1[#All],4,FALSE))</f>
        <v/>
      </c>
      <c r="E72" s="13" t="str">
        <f>IF(Tableau1345[[#This Row],[Repère]]="","",VLOOKUP(Tableau1345[[#This Row],[Repère]],Tableau1[#All],5,FALSE))</f>
        <v/>
      </c>
      <c r="F72" s="13" t="str">
        <f>IF(Tableau1345[[#This Row],[Repère]]="","",VLOOKUP(Tableau1345[[#This Row],[Repère]],Tableau1[#All],6,FALSE))</f>
        <v/>
      </c>
      <c r="G72" s="13" t="str">
        <f>IF(Tableau1345[[#This Row],[Repère]]="","",VLOOKUP(Tableau1345[[#This Row],[Repère]],Tableau1[#All],7,FALSE))</f>
        <v/>
      </c>
      <c r="H72" s="13" t="str">
        <f>IF(Tableau1345[[#This Row],[Repère]]="","",VLOOKUP(Tableau1345[[#This Row],[Repère]],Tableau1[#All],8,FALSE))</f>
        <v/>
      </c>
      <c r="I72" s="13" t="str">
        <f>IF(Tableau1345[[#This Row],[Repère]]="","",VLOOKUP(Tableau1345[[#This Row],[Repère]],Tableau1[#All],9,FALSE))</f>
        <v/>
      </c>
      <c r="J72" s="13" t="str">
        <f>IF(Tableau1345[[#This Row],[Repère]]="","",VLOOKUP(Tableau1345[[#This Row],[Repère]],Tableau1[#All],10,FALSE))</f>
        <v/>
      </c>
      <c r="K72" s="13" t="str">
        <f>IF(Tableau1345[[#This Row],[Repère]]="","",VLOOKUP(Tableau1345[[#This Row],[Repère]],Tableau1[#All],11,FALSE))</f>
        <v/>
      </c>
      <c r="L72" s="14" t="str">
        <f>IF(Tableau1345[[#This Row],[Repère]]="","",VLOOKUP(Tableau1345[[#This Row],[Repère]],Tableau1[#All],12,FALSE))</f>
        <v/>
      </c>
    </row>
    <row r="73" spans="1:12" x14ac:dyDescent="0.3">
      <c r="A73" s="18"/>
      <c r="B73" s="19"/>
      <c r="C73" s="13" t="str">
        <f>IF(Tableau1345[[#This Row],[Repère]]="","",VLOOKUP(Tableau1345[[#This Row],[Repère]],Tableau1[#All],3,FALSE))</f>
        <v/>
      </c>
      <c r="D73" s="13" t="str">
        <f>IF(Tableau1345[[#This Row],[Repère]]="","",VLOOKUP(Tableau1345[[#This Row],[Repère]],Tableau1[#All],4,FALSE))</f>
        <v/>
      </c>
      <c r="E73" s="13" t="str">
        <f>IF(Tableau1345[[#This Row],[Repère]]="","",VLOOKUP(Tableau1345[[#This Row],[Repère]],Tableau1[#All],5,FALSE))</f>
        <v/>
      </c>
      <c r="F73" s="13" t="str">
        <f>IF(Tableau1345[[#This Row],[Repère]]="","",VLOOKUP(Tableau1345[[#This Row],[Repère]],Tableau1[#All],6,FALSE))</f>
        <v/>
      </c>
      <c r="G73" s="13" t="str">
        <f>IF(Tableau1345[[#This Row],[Repère]]="","",VLOOKUP(Tableau1345[[#This Row],[Repère]],Tableau1[#All],7,FALSE))</f>
        <v/>
      </c>
      <c r="H73" s="13" t="str">
        <f>IF(Tableau1345[[#This Row],[Repère]]="","",VLOOKUP(Tableau1345[[#This Row],[Repère]],Tableau1[#All],8,FALSE))</f>
        <v/>
      </c>
      <c r="I73" s="13" t="str">
        <f>IF(Tableau1345[[#This Row],[Repère]]="","",VLOOKUP(Tableau1345[[#This Row],[Repère]],Tableau1[#All],9,FALSE))</f>
        <v/>
      </c>
      <c r="J73" s="13" t="str">
        <f>IF(Tableau1345[[#This Row],[Repère]]="","",VLOOKUP(Tableau1345[[#This Row],[Repère]],Tableau1[#All],10,FALSE))</f>
        <v/>
      </c>
      <c r="K73" s="13" t="str">
        <f>IF(Tableau1345[[#This Row],[Repère]]="","",VLOOKUP(Tableau1345[[#This Row],[Repère]],Tableau1[#All],11,FALSE))</f>
        <v/>
      </c>
      <c r="L73" s="14" t="str">
        <f>IF(Tableau1345[[#This Row],[Repère]]="","",VLOOKUP(Tableau1345[[#This Row],[Repère]],Tableau1[#All],12,FALSE))</f>
        <v/>
      </c>
    </row>
    <row r="74" spans="1:12" x14ac:dyDescent="0.3">
      <c r="A74" s="18"/>
      <c r="B74" s="19"/>
      <c r="C74" s="13" t="str">
        <f>IF(Tableau1345[[#This Row],[Repère]]="","",VLOOKUP(Tableau1345[[#This Row],[Repère]],Tableau1[#All],3,FALSE))</f>
        <v/>
      </c>
      <c r="D74" s="13" t="str">
        <f>IF(Tableau1345[[#This Row],[Repère]]="","",VLOOKUP(Tableau1345[[#This Row],[Repère]],Tableau1[#All],4,FALSE))</f>
        <v/>
      </c>
      <c r="E74" s="13" t="str">
        <f>IF(Tableau1345[[#This Row],[Repère]]="","",VLOOKUP(Tableau1345[[#This Row],[Repère]],Tableau1[#All],5,FALSE))</f>
        <v/>
      </c>
      <c r="F74" s="13" t="str">
        <f>IF(Tableau1345[[#This Row],[Repère]]="","",VLOOKUP(Tableau1345[[#This Row],[Repère]],Tableau1[#All],6,FALSE))</f>
        <v/>
      </c>
      <c r="G74" s="13" t="str">
        <f>IF(Tableau1345[[#This Row],[Repère]]="","",VLOOKUP(Tableau1345[[#This Row],[Repère]],Tableau1[#All],7,FALSE))</f>
        <v/>
      </c>
      <c r="H74" s="13" t="str">
        <f>IF(Tableau1345[[#This Row],[Repère]]="","",VLOOKUP(Tableau1345[[#This Row],[Repère]],Tableau1[#All],8,FALSE))</f>
        <v/>
      </c>
      <c r="I74" s="13" t="str">
        <f>IF(Tableau1345[[#This Row],[Repère]]="","",VLOOKUP(Tableau1345[[#This Row],[Repère]],Tableau1[#All],9,FALSE))</f>
        <v/>
      </c>
      <c r="J74" s="13" t="str">
        <f>IF(Tableau1345[[#This Row],[Repère]]="","",VLOOKUP(Tableau1345[[#This Row],[Repère]],Tableau1[#All],10,FALSE))</f>
        <v/>
      </c>
      <c r="K74" s="13" t="str">
        <f>IF(Tableau1345[[#This Row],[Repère]]="","",VLOOKUP(Tableau1345[[#This Row],[Repère]],Tableau1[#All],11,FALSE))</f>
        <v/>
      </c>
      <c r="L74" s="14" t="str">
        <f>IF(Tableau1345[[#This Row],[Repère]]="","",VLOOKUP(Tableau1345[[#This Row],[Repère]],Tableau1[#All],12,FALSE))</f>
        <v/>
      </c>
    </row>
    <row r="75" spans="1:12" x14ac:dyDescent="0.3">
      <c r="A75" s="18"/>
      <c r="B75" s="19"/>
      <c r="C75" s="13" t="str">
        <f>IF(Tableau1345[[#This Row],[Repère]]="","",VLOOKUP(Tableau1345[[#This Row],[Repère]],Tableau1[#All],3,FALSE))</f>
        <v/>
      </c>
      <c r="D75" s="13" t="str">
        <f>IF(Tableau1345[[#This Row],[Repère]]="","",VLOOKUP(Tableau1345[[#This Row],[Repère]],Tableau1[#All],4,FALSE))</f>
        <v/>
      </c>
      <c r="E75" s="13" t="str">
        <f>IF(Tableau1345[[#This Row],[Repère]]="","",VLOOKUP(Tableau1345[[#This Row],[Repère]],Tableau1[#All],5,FALSE))</f>
        <v/>
      </c>
      <c r="F75" s="13" t="str">
        <f>IF(Tableau1345[[#This Row],[Repère]]="","",VLOOKUP(Tableau1345[[#This Row],[Repère]],Tableau1[#All],6,FALSE))</f>
        <v/>
      </c>
      <c r="G75" s="13" t="str">
        <f>IF(Tableau1345[[#This Row],[Repère]]="","",VLOOKUP(Tableau1345[[#This Row],[Repère]],Tableau1[#All],7,FALSE))</f>
        <v/>
      </c>
      <c r="H75" s="13" t="str">
        <f>IF(Tableau1345[[#This Row],[Repère]]="","",VLOOKUP(Tableau1345[[#This Row],[Repère]],Tableau1[#All],8,FALSE))</f>
        <v/>
      </c>
      <c r="I75" s="13" t="str">
        <f>IF(Tableau1345[[#This Row],[Repère]]="","",VLOOKUP(Tableau1345[[#This Row],[Repère]],Tableau1[#All],9,FALSE))</f>
        <v/>
      </c>
      <c r="J75" s="13" t="str">
        <f>IF(Tableau1345[[#This Row],[Repère]]="","",VLOOKUP(Tableau1345[[#This Row],[Repère]],Tableau1[#All],10,FALSE))</f>
        <v/>
      </c>
      <c r="K75" s="13" t="str">
        <f>IF(Tableau1345[[#This Row],[Repère]]="","",VLOOKUP(Tableau1345[[#This Row],[Repère]],Tableau1[#All],11,FALSE))</f>
        <v/>
      </c>
      <c r="L75" s="14" t="str">
        <f>IF(Tableau1345[[#This Row],[Repère]]="","",VLOOKUP(Tableau1345[[#This Row],[Repère]],Tableau1[#All],12,FALSE))</f>
        <v/>
      </c>
    </row>
    <row r="76" spans="1:12" x14ac:dyDescent="0.3">
      <c r="A76" s="18"/>
      <c r="B76" s="19"/>
      <c r="C76" s="13" t="str">
        <f>IF(Tableau1345[[#This Row],[Repère]]="","",VLOOKUP(Tableau1345[[#This Row],[Repère]],Tableau1[#All],3,FALSE))</f>
        <v/>
      </c>
      <c r="D76" s="13" t="str">
        <f>IF(Tableau1345[[#This Row],[Repère]]="","",VLOOKUP(Tableau1345[[#This Row],[Repère]],Tableau1[#All],4,FALSE))</f>
        <v/>
      </c>
      <c r="E76" s="13" t="str">
        <f>IF(Tableau1345[[#This Row],[Repère]]="","",VLOOKUP(Tableau1345[[#This Row],[Repère]],Tableau1[#All],5,FALSE))</f>
        <v/>
      </c>
      <c r="F76" s="13" t="str">
        <f>IF(Tableau1345[[#This Row],[Repère]]="","",VLOOKUP(Tableau1345[[#This Row],[Repère]],Tableau1[#All],6,FALSE))</f>
        <v/>
      </c>
      <c r="G76" s="13" t="str">
        <f>IF(Tableau1345[[#This Row],[Repère]]="","",VLOOKUP(Tableau1345[[#This Row],[Repère]],Tableau1[#All],7,FALSE))</f>
        <v/>
      </c>
      <c r="H76" s="13" t="str">
        <f>IF(Tableau1345[[#This Row],[Repère]]="","",VLOOKUP(Tableau1345[[#This Row],[Repère]],Tableau1[#All],8,FALSE))</f>
        <v/>
      </c>
      <c r="I76" s="13" t="str">
        <f>IF(Tableau1345[[#This Row],[Repère]]="","",VLOOKUP(Tableau1345[[#This Row],[Repère]],Tableau1[#All],9,FALSE))</f>
        <v/>
      </c>
      <c r="J76" s="13" t="str">
        <f>IF(Tableau1345[[#This Row],[Repère]]="","",VLOOKUP(Tableau1345[[#This Row],[Repère]],Tableau1[#All],10,FALSE))</f>
        <v/>
      </c>
      <c r="K76" s="13" t="str">
        <f>IF(Tableau1345[[#This Row],[Repère]]="","",VLOOKUP(Tableau1345[[#This Row],[Repère]],Tableau1[#All],11,FALSE))</f>
        <v/>
      </c>
      <c r="L76" s="14" t="str">
        <f>IF(Tableau1345[[#This Row],[Repère]]="","",VLOOKUP(Tableau1345[[#This Row],[Repère]],Tableau1[#All],12,FALSE))</f>
        <v/>
      </c>
    </row>
    <row r="77" spans="1:12" x14ac:dyDescent="0.3">
      <c r="A77" s="18"/>
      <c r="B77" s="19"/>
      <c r="C77" s="13" t="str">
        <f>IF(Tableau1345[[#This Row],[Repère]]="","",VLOOKUP(Tableau1345[[#This Row],[Repère]],Tableau1[#All],3,FALSE))</f>
        <v/>
      </c>
      <c r="D77" s="13" t="str">
        <f>IF(Tableau1345[[#This Row],[Repère]]="","",VLOOKUP(Tableau1345[[#This Row],[Repère]],Tableau1[#All],4,FALSE))</f>
        <v/>
      </c>
      <c r="E77" s="13" t="str">
        <f>IF(Tableau1345[[#This Row],[Repère]]="","",VLOOKUP(Tableau1345[[#This Row],[Repère]],Tableau1[#All],5,FALSE))</f>
        <v/>
      </c>
      <c r="F77" s="13" t="str">
        <f>IF(Tableau1345[[#This Row],[Repère]]="","",VLOOKUP(Tableau1345[[#This Row],[Repère]],Tableau1[#All],6,FALSE))</f>
        <v/>
      </c>
      <c r="G77" s="13" t="str">
        <f>IF(Tableau1345[[#This Row],[Repère]]="","",VLOOKUP(Tableau1345[[#This Row],[Repère]],Tableau1[#All],7,FALSE))</f>
        <v/>
      </c>
      <c r="H77" s="13" t="str">
        <f>IF(Tableau1345[[#This Row],[Repère]]="","",VLOOKUP(Tableau1345[[#This Row],[Repère]],Tableau1[#All],8,FALSE))</f>
        <v/>
      </c>
      <c r="I77" s="13" t="str">
        <f>IF(Tableau1345[[#This Row],[Repère]]="","",VLOOKUP(Tableau1345[[#This Row],[Repère]],Tableau1[#All],9,FALSE))</f>
        <v/>
      </c>
      <c r="J77" s="13" t="str">
        <f>IF(Tableau1345[[#This Row],[Repère]]="","",VLOOKUP(Tableau1345[[#This Row],[Repère]],Tableau1[#All],10,FALSE))</f>
        <v/>
      </c>
      <c r="K77" s="13" t="str">
        <f>IF(Tableau1345[[#This Row],[Repère]]="","",VLOOKUP(Tableau1345[[#This Row],[Repère]],Tableau1[#All],11,FALSE))</f>
        <v/>
      </c>
      <c r="L77" s="14" t="str">
        <f>IF(Tableau1345[[#This Row],[Repère]]="","",VLOOKUP(Tableau1345[[#This Row],[Repère]],Tableau1[#All],12,FALSE))</f>
        <v/>
      </c>
    </row>
    <row r="78" spans="1:12" x14ac:dyDescent="0.3">
      <c r="A78" s="18"/>
      <c r="B78" s="19"/>
      <c r="C78" s="13" t="str">
        <f>IF(Tableau1345[[#This Row],[Repère]]="","",VLOOKUP(Tableau1345[[#This Row],[Repère]],Tableau1[#All],3,FALSE))</f>
        <v/>
      </c>
      <c r="D78" s="13" t="str">
        <f>IF(Tableau1345[[#This Row],[Repère]]="","",VLOOKUP(Tableau1345[[#This Row],[Repère]],Tableau1[#All],4,FALSE))</f>
        <v/>
      </c>
      <c r="E78" s="13" t="str">
        <f>IF(Tableau1345[[#This Row],[Repère]]="","",VLOOKUP(Tableau1345[[#This Row],[Repère]],Tableau1[#All],5,FALSE))</f>
        <v/>
      </c>
      <c r="F78" s="13" t="str">
        <f>IF(Tableau1345[[#This Row],[Repère]]="","",VLOOKUP(Tableau1345[[#This Row],[Repère]],Tableau1[#All],6,FALSE))</f>
        <v/>
      </c>
      <c r="G78" s="13" t="str">
        <f>IF(Tableau1345[[#This Row],[Repère]]="","",VLOOKUP(Tableau1345[[#This Row],[Repère]],Tableau1[#All],7,FALSE))</f>
        <v/>
      </c>
      <c r="H78" s="13" t="str">
        <f>IF(Tableau1345[[#This Row],[Repère]]="","",VLOOKUP(Tableau1345[[#This Row],[Repère]],Tableau1[#All],8,FALSE))</f>
        <v/>
      </c>
      <c r="I78" s="13" t="str">
        <f>IF(Tableau1345[[#This Row],[Repère]]="","",VLOOKUP(Tableau1345[[#This Row],[Repère]],Tableau1[#All],9,FALSE))</f>
        <v/>
      </c>
      <c r="J78" s="13" t="str">
        <f>IF(Tableau1345[[#This Row],[Repère]]="","",VLOOKUP(Tableau1345[[#This Row],[Repère]],Tableau1[#All],10,FALSE))</f>
        <v/>
      </c>
      <c r="K78" s="13" t="str">
        <f>IF(Tableau1345[[#This Row],[Repère]]="","",VLOOKUP(Tableau1345[[#This Row],[Repère]],Tableau1[#All],11,FALSE))</f>
        <v/>
      </c>
      <c r="L78" s="14" t="str">
        <f>IF(Tableau1345[[#This Row],[Repère]]="","",VLOOKUP(Tableau1345[[#This Row],[Repère]],Tableau1[#All],12,FALSE))</f>
        <v/>
      </c>
    </row>
    <row r="79" spans="1:12" x14ac:dyDescent="0.3">
      <c r="A79" s="18"/>
      <c r="B79" s="19"/>
      <c r="C79" s="13" t="str">
        <f>IF(Tableau1345[[#This Row],[Repère]]="","",VLOOKUP(Tableau1345[[#This Row],[Repère]],Tableau1[#All],3,FALSE))</f>
        <v/>
      </c>
      <c r="D79" s="13" t="str">
        <f>IF(Tableau1345[[#This Row],[Repère]]="","",VLOOKUP(Tableau1345[[#This Row],[Repère]],Tableau1[#All],4,FALSE))</f>
        <v/>
      </c>
      <c r="E79" s="13" t="str">
        <f>IF(Tableau1345[[#This Row],[Repère]]="","",VLOOKUP(Tableau1345[[#This Row],[Repère]],Tableau1[#All],5,FALSE))</f>
        <v/>
      </c>
      <c r="F79" s="13" t="str">
        <f>IF(Tableau1345[[#This Row],[Repère]]="","",VLOOKUP(Tableau1345[[#This Row],[Repère]],Tableau1[#All],6,FALSE))</f>
        <v/>
      </c>
      <c r="G79" s="13" t="str">
        <f>IF(Tableau1345[[#This Row],[Repère]]="","",VLOOKUP(Tableau1345[[#This Row],[Repère]],Tableau1[#All],7,FALSE))</f>
        <v/>
      </c>
      <c r="H79" s="13" t="str">
        <f>IF(Tableau1345[[#This Row],[Repère]]="","",VLOOKUP(Tableau1345[[#This Row],[Repère]],Tableau1[#All],8,FALSE))</f>
        <v/>
      </c>
      <c r="I79" s="13" t="str">
        <f>IF(Tableau1345[[#This Row],[Repère]]="","",VLOOKUP(Tableau1345[[#This Row],[Repère]],Tableau1[#All],9,FALSE))</f>
        <v/>
      </c>
      <c r="J79" s="13" t="str">
        <f>IF(Tableau1345[[#This Row],[Repère]]="","",VLOOKUP(Tableau1345[[#This Row],[Repère]],Tableau1[#All],10,FALSE))</f>
        <v/>
      </c>
      <c r="K79" s="13" t="str">
        <f>IF(Tableau1345[[#This Row],[Repère]]="","",VLOOKUP(Tableau1345[[#This Row],[Repère]],Tableau1[#All],11,FALSE))</f>
        <v/>
      </c>
      <c r="L79" s="14" t="str">
        <f>IF(Tableau1345[[#This Row],[Repère]]="","",VLOOKUP(Tableau1345[[#This Row],[Repère]],Tableau1[#All],12,FALSE))</f>
        <v/>
      </c>
    </row>
    <row r="80" spans="1:12" x14ac:dyDescent="0.3">
      <c r="A80" s="18"/>
      <c r="B80" s="19"/>
      <c r="C80" s="13" t="str">
        <f>IF(Tableau1345[[#This Row],[Repère]]="","",VLOOKUP(Tableau1345[[#This Row],[Repère]],Tableau1[#All],3,FALSE))</f>
        <v/>
      </c>
      <c r="D80" s="13" t="str">
        <f>IF(Tableau1345[[#This Row],[Repère]]="","",VLOOKUP(Tableau1345[[#This Row],[Repère]],Tableau1[#All],4,FALSE))</f>
        <v/>
      </c>
      <c r="E80" s="13" t="str">
        <f>IF(Tableau1345[[#This Row],[Repère]]="","",VLOOKUP(Tableau1345[[#This Row],[Repère]],Tableau1[#All],5,FALSE))</f>
        <v/>
      </c>
      <c r="F80" s="13" t="str">
        <f>IF(Tableau1345[[#This Row],[Repère]]="","",VLOOKUP(Tableau1345[[#This Row],[Repère]],Tableau1[#All],6,FALSE))</f>
        <v/>
      </c>
      <c r="G80" s="13" t="str">
        <f>IF(Tableau1345[[#This Row],[Repère]]="","",VLOOKUP(Tableau1345[[#This Row],[Repère]],Tableau1[#All],7,FALSE))</f>
        <v/>
      </c>
      <c r="H80" s="13" t="str">
        <f>IF(Tableau1345[[#This Row],[Repère]]="","",VLOOKUP(Tableau1345[[#This Row],[Repère]],Tableau1[#All],8,FALSE))</f>
        <v/>
      </c>
      <c r="I80" s="13" t="str">
        <f>IF(Tableau1345[[#This Row],[Repère]]="","",VLOOKUP(Tableau1345[[#This Row],[Repère]],Tableau1[#All],9,FALSE))</f>
        <v/>
      </c>
      <c r="J80" s="13" t="str">
        <f>IF(Tableau1345[[#This Row],[Repère]]="","",VLOOKUP(Tableau1345[[#This Row],[Repère]],Tableau1[#All],10,FALSE))</f>
        <v/>
      </c>
      <c r="K80" s="13" t="str">
        <f>IF(Tableau1345[[#This Row],[Repère]]="","",VLOOKUP(Tableau1345[[#This Row],[Repère]],Tableau1[#All],11,FALSE))</f>
        <v/>
      </c>
      <c r="L80" s="14" t="str">
        <f>IF(Tableau1345[[#This Row],[Repère]]="","",VLOOKUP(Tableau1345[[#This Row],[Repère]],Tableau1[#All],12,FALSE))</f>
        <v/>
      </c>
    </row>
    <row r="81" spans="1:12" x14ac:dyDescent="0.3">
      <c r="A81" s="18"/>
      <c r="B81" s="19"/>
      <c r="C81" s="13" t="str">
        <f>IF(Tableau1345[[#This Row],[Repère]]="","",VLOOKUP(Tableau1345[[#This Row],[Repère]],Tableau1[#All],3,FALSE))</f>
        <v/>
      </c>
      <c r="D81" s="13" t="str">
        <f>IF(Tableau1345[[#This Row],[Repère]]="","",VLOOKUP(Tableau1345[[#This Row],[Repère]],Tableau1[#All],4,FALSE))</f>
        <v/>
      </c>
      <c r="E81" s="13" t="str">
        <f>IF(Tableau1345[[#This Row],[Repère]]="","",VLOOKUP(Tableau1345[[#This Row],[Repère]],Tableau1[#All],5,FALSE))</f>
        <v/>
      </c>
      <c r="F81" s="13" t="str">
        <f>IF(Tableau1345[[#This Row],[Repère]]="","",VLOOKUP(Tableau1345[[#This Row],[Repère]],Tableau1[#All],6,FALSE))</f>
        <v/>
      </c>
      <c r="G81" s="13" t="str">
        <f>IF(Tableau1345[[#This Row],[Repère]]="","",VLOOKUP(Tableau1345[[#This Row],[Repère]],Tableau1[#All],7,FALSE))</f>
        <v/>
      </c>
      <c r="H81" s="13" t="str">
        <f>IF(Tableau1345[[#This Row],[Repère]]="","",VLOOKUP(Tableau1345[[#This Row],[Repère]],Tableau1[#All],8,FALSE))</f>
        <v/>
      </c>
      <c r="I81" s="13" t="str">
        <f>IF(Tableau1345[[#This Row],[Repère]]="","",VLOOKUP(Tableau1345[[#This Row],[Repère]],Tableau1[#All],9,FALSE))</f>
        <v/>
      </c>
      <c r="J81" s="13" t="str">
        <f>IF(Tableau1345[[#This Row],[Repère]]="","",VLOOKUP(Tableau1345[[#This Row],[Repère]],Tableau1[#All],10,FALSE))</f>
        <v/>
      </c>
      <c r="K81" s="13" t="str">
        <f>IF(Tableau1345[[#This Row],[Repère]]="","",VLOOKUP(Tableau1345[[#This Row],[Repère]],Tableau1[#All],11,FALSE))</f>
        <v/>
      </c>
      <c r="L81" s="14" t="str">
        <f>IF(Tableau1345[[#This Row],[Repère]]="","",VLOOKUP(Tableau1345[[#This Row],[Repère]],Tableau1[#All],12,FALSE))</f>
        <v/>
      </c>
    </row>
    <row r="82" spans="1:12" x14ac:dyDescent="0.3">
      <c r="A82" s="18"/>
      <c r="B82" s="19"/>
      <c r="C82" s="13" t="str">
        <f>IF(Tableau1345[[#This Row],[Repère]]="","",VLOOKUP(Tableau1345[[#This Row],[Repère]],Tableau1[#All],3,FALSE))</f>
        <v/>
      </c>
      <c r="D82" s="13" t="str">
        <f>IF(Tableau1345[[#This Row],[Repère]]="","",VLOOKUP(Tableau1345[[#This Row],[Repère]],Tableau1[#All],4,FALSE))</f>
        <v/>
      </c>
      <c r="E82" s="13" t="str">
        <f>IF(Tableau1345[[#This Row],[Repère]]="","",VLOOKUP(Tableau1345[[#This Row],[Repère]],Tableau1[#All],5,FALSE))</f>
        <v/>
      </c>
      <c r="F82" s="13" t="str">
        <f>IF(Tableau1345[[#This Row],[Repère]]="","",VLOOKUP(Tableau1345[[#This Row],[Repère]],Tableau1[#All],6,FALSE))</f>
        <v/>
      </c>
      <c r="G82" s="13" t="str">
        <f>IF(Tableau1345[[#This Row],[Repère]]="","",VLOOKUP(Tableau1345[[#This Row],[Repère]],Tableau1[#All],7,FALSE))</f>
        <v/>
      </c>
      <c r="H82" s="13" t="str">
        <f>IF(Tableau1345[[#This Row],[Repère]]="","",VLOOKUP(Tableau1345[[#This Row],[Repère]],Tableau1[#All],8,FALSE))</f>
        <v/>
      </c>
      <c r="I82" s="13" t="str">
        <f>IF(Tableau1345[[#This Row],[Repère]]="","",VLOOKUP(Tableau1345[[#This Row],[Repère]],Tableau1[#All],9,FALSE))</f>
        <v/>
      </c>
      <c r="J82" s="13" t="str">
        <f>IF(Tableau1345[[#This Row],[Repère]]="","",VLOOKUP(Tableau1345[[#This Row],[Repère]],Tableau1[#All],10,FALSE))</f>
        <v/>
      </c>
      <c r="K82" s="13" t="str">
        <f>IF(Tableau1345[[#This Row],[Repère]]="","",VLOOKUP(Tableau1345[[#This Row],[Repère]],Tableau1[#All],11,FALSE))</f>
        <v/>
      </c>
      <c r="L82" s="14" t="str">
        <f>IF(Tableau1345[[#This Row],[Repère]]="","",VLOOKUP(Tableau1345[[#This Row],[Repère]],Tableau1[#All],12,FALSE))</f>
        <v/>
      </c>
    </row>
    <row r="83" spans="1:12" x14ac:dyDescent="0.3">
      <c r="A83" s="18"/>
      <c r="B83" s="19"/>
      <c r="C83" s="13" t="str">
        <f>IF(Tableau1345[[#This Row],[Repère]]="","",VLOOKUP(Tableau1345[[#This Row],[Repère]],Tableau1[#All],3,FALSE))</f>
        <v/>
      </c>
      <c r="D83" s="13" t="str">
        <f>IF(Tableau1345[[#This Row],[Repère]]="","",VLOOKUP(Tableau1345[[#This Row],[Repère]],Tableau1[#All],4,FALSE))</f>
        <v/>
      </c>
      <c r="E83" s="13" t="str">
        <f>IF(Tableau1345[[#This Row],[Repère]]="","",VLOOKUP(Tableau1345[[#This Row],[Repère]],Tableau1[#All],5,FALSE))</f>
        <v/>
      </c>
      <c r="F83" s="13" t="str">
        <f>IF(Tableau1345[[#This Row],[Repère]]="","",VLOOKUP(Tableau1345[[#This Row],[Repère]],Tableau1[#All],6,FALSE))</f>
        <v/>
      </c>
      <c r="G83" s="13" t="str">
        <f>IF(Tableau1345[[#This Row],[Repère]]="","",VLOOKUP(Tableau1345[[#This Row],[Repère]],Tableau1[#All],7,FALSE))</f>
        <v/>
      </c>
      <c r="H83" s="13" t="str">
        <f>IF(Tableau1345[[#This Row],[Repère]]="","",VLOOKUP(Tableau1345[[#This Row],[Repère]],Tableau1[#All],8,FALSE))</f>
        <v/>
      </c>
      <c r="I83" s="13" t="str">
        <f>IF(Tableau1345[[#This Row],[Repère]]="","",VLOOKUP(Tableau1345[[#This Row],[Repère]],Tableau1[#All],9,FALSE))</f>
        <v/>
      </c>
      <c r="J83" s="13" t="str">
        <f>IF(Tableau1345[[#This Row],[Repère]]="","",VLOOKUP(Tableau1345[[#This Row],[Repère]],Tableau1[#All],10,FALSE))</f>
        <v/>
      </c>
      <c r="K83" s="13" t="str">
        <f>IF(Tableau1345[[#This Row],[Repère]]="","",VLOOKUP(Tableau1345[[#This Row],[Repère]],Tableau1[#All],11,FALSE))</f>
        <v/>
      </c>
      <c r="L83" s="14" t="str">
        <f>IF(Tableau1345[[#This Row],[Repère]]="","",VLOOKUP(Tableau1345[[#This Row],[Repère]],Tableau1[#All],12,FALSE))</f>
        <v/>
      </c>
    </row>
    <row r="84" spans="1:12" x14ac:dyDescent="0.3">
      <c r="A84" s="18"/>
      <c r="B84" s="19"/>
      <c r="C84" s="13" t="str">
        <f>IF(Tableau1345[[#This Row],[Repère]]="","",VLOOKUP(Tableau1345[[#This Row],[Repère]],Tableau1[#All],3,FALSE))</f>
        <v/>
      </c>
      <c r="D84" s="13" t="str">
        <f>IF(Tableau1345[[#This Row],[Repère]]="","",VLOOKUP(Tableau1345[[#This Row],[Repère]],Tableau1[#All],4,FALSE))</f>
        <v/>
      </c>
      <c r="E84" s="13" t="str">
        <f>IF(Tableau1345[[#This Row],[Repère]]="","",VLOOKUP(Tableau1345[[#This Row],[Repère]],Tableau1[#All],5,FALSE))</f>
        <v/>
      </c>
      <c r="F84" s="13" t="str">
        <f>IF(Tableau1345[[#This Row],[Repère]]="","",VLOOKUP(Tableau1345[[#This Row],[Repère]],Tableau1[#All],6,FALSE))</f>
        <v/>
      </c>
      <c r="G84" s="13" t="str">
        <f>IF(Tableau1345[[#This Row],[Repère]]="","",VLOOKUP(Tableau1345[[#This Row],[Repère]],Tableau1[#All],7,FALSE))</f>
        <v/>
      </c>
      <c r="H84" s="13" t="str">
        <f>IF(Tableau1345[[#This Row],[Repère]]="","",VLOOKUP(Tableau1345[[#This Row],[Repère]],Tableau1[#All],8,FALSE))</f>
        <v/>
      </c>
      <c r="I84" s="13" t="str">
        <f>IF(Tableau1345[[#This Row],[Repère]]="","",VLOOKUP(Tableau1345[[#This Row],[Repère]],Tableau1[#All],9,FALSE))</f>
        <v/>
      </c>
      <c r="J84" s="13" t="str">
        <f>IF(Tableau1345[[#This Row],[Repère]]="","",VLOOKUP(Tableau1345[[#This Row],[Repère]],Tableau1[#All],10,FALSE))</f>
        <v/>
      </c>
      <c r="K84" s="13" t="str">
        <f>IF(Tableau1345[[#This Row],[Repère]]="","",VLOOKUP(Tableau1345[[#This Row],[Repère]],Tableau1[#All],11,FALSE))</f>
        <v/>
      </c>
      <c r="L84" s="14" t="str">
        <f>IF(Tableau1345[[#This Row],[Repère]]="","",VLOOKUP(Tableau1345[[#This Row],[Repère]],Tableau1[#All],12,FALSE))</f>
        <v/>
      </c>
    </row>
    <row r="85" spans="1:12" x14ac:dyDescent="0.3">
      <c r="A85" s="18"/>
      <c r="B85" s="19"/>
      <c r="C85" s="13" t="str">
        <f>IF(Tableau1345[[#This Row],[Repère]]="","",VLOOKUP(Tableau1345[[#This Row],[Repère]],Tableau1[#All],3,FALSE))</f>
        <v/>
      </c>
      <c r="D85" s="13" t="str">
        <f>IF(Tableau1345[[#This Row],[Repère]]="","",VLOOKUP(Tableau1345[[#This Row],[Repère]],Tableau1[#All],4,FALSE))</f>
        <v/>
      </c>
      <c r="E85" s="13" t="str">
        <f>IF(Tableau1345[[#This Row],[Repère]]="","",VLOOKUP(Tableau1345[[#This Row],[Repère]],Tableau1[#All],5,FALSE))</f>
        <v/>
      </c>
      <c r="F85" s="13" t="str">
        <f>IF(Tableau1345[[#This Row],[Repère]]="","",VLOOKUP(Tableau1345[[#This Row],[Repère]],Tableau1[#All],6,FALSE))</f>
        <v/>
      </c>
      <c r="G85" s="13" t="str">
        <f>IF(Tableau1345[[#This Row],[Repère]]="","",VLOOKUP(Tableau1345[[#This Row],[Repère]],Tableau1[#All],7,FALSE))</f>
        <v/>
      </c>
      <c r="H85" s="13" t="str">
        <f>IF(Tableau1345[[#This Row],[Repère]]="","",VLOOKUP(Tableau1345[[#This Row],[Repère]],Tableau1[#All],8,FALSE))</f>
        <v/>
      </c>
      <c r="I85" s="13" t="str">
        <f>IF(Tableau1345[[#This Row],[Repère]]="","",VLOOKUP(Tableau1345[[#This Row],[Repère]],Tableau1[#All],9,FALSE))</f>
        <v/>
      </c>
      <c r="J85" s="13" t="str">
        <f>IF(Tableau1345[[#This Row],[Repère]]="","",VLOOKUP(Tableau1345[[#This Row],[Repère]],Tableau1[#All],10,FALSE))</f>
        <v/>
      </c>
      <c r="K85" s="13" t="str">
        <f>IF(Tableau1345[[#This Row],[Repère]]="","",VLOOKUP(Tableau1345[[#This Row],[Repère]],Tableau1[#All],11,FALSE))</f>
        <v/>
      </c>
      <c r="L85" s="14" t="str">
        <f>IF(Tableau1345[[#This Row],[Repère]]="","",VLOOKUP(Tableau1345[[#This Row],[Repère]],Tableau1[#All],12,FALSE))</f>
        <v/>
      </c>
    </row>
    <row r="86" spans="1:12" x14ac:dyDescent="0.3">
      <c r="A86" s="18"/>
      <c r="B86" s="19"/>
      <c r="C86" s="13" t="str">
        <f>IF(Tableau1345[[#This Row],[Repère]]="","",VLOOKUP(Tableau1345[[#This Row],[Repère]],Tableau1[#All],3,FALSE))</f>
        <v/>
      </c>
      <c r="D86" s="13" t="str">
        <f>IF(Tableau1345[[#This Row],[Repère]]="","",VLOOKUP(Tableau1345[[#This Row],[Repère]],Tableau1[#All],4,FALSE))</f>
        <v/>
      </c>
      <c r="E86" s="13" t="str">
        <f>IF(Tableau1345[[#This Row],[Repère]]="","",VLOOKUP(Tableau1345[[#This Row],[Repère]],Tableau1[#All],5,FALSE))</f>
        <v/>
      </c>
      <c r="F86" s="13" t="str">
        <f>IF(Tableau1345[[#This Row],[Repère]]="","",VLOOKUP(Tableau1345[[#This Row],[Repère]],Tableau1[#All],6,FALSE))</f>
        <v/>
      </c>
      <c r="G86" s="13" t="str">
        <f>IF(Tableau1345[[#This Row],[Repère]]="","",VLOOKUP(Tableau1345[[#This Row],[Repère]],Tableau1[#All],7,FALSE))</f>
        <v/>
      </c>
      <c r="H86" s="13" t="str">
        <f>IF(Tableau1345[[#This Row],[Repère]]="","",VLOOKUP(Tableau1345[[#This Row],[Repère]],Tableau1[#All],8,FALSE))</f>
        <v/>
      </c>
      <c r="I86" s="13" t="str">
        <f>IF(Tableau1345[[#This Row],[Repère]]="","",VLOOKUP(Tableau1345[[#This Row],[Repère]],Tableau1[#All],9,FALSE))</f>
        <v/>
      </c>
      <c r="J86" s="13" t="str">
        <f>IF(Tableau1345[[#This Row],[Repère]]="","",VLOOKUP(Tableau1345[[#This Row],[Repère]],Tableau1[#All],10,FALSE))</f>
        <v/>
      </c>
      <c r="K86" s="13" t="str">
        <f>IF(Tableau1345[[#This Row],[Repère]]="","",VLOOKUP(Tableau1345[[#This Row],[Repère]],Tableau1[#All],11,FALSE))</f>
        <v/>
      </c>
      <c r="L86" s="14" t="str">
        <f>IF(Tableau1345[[#This Row],[Repère]]="","",VLOOKUP(Tableau1345[[#This Row],[Repère]],Tableau1[#All],12,FALSE))</f>
        <v/>
      </c>
    </row>
    <row r="87" spans="1:12" x14ac:dyDescent="0.3">
      <c r="A87" s="18"/>
      <c r="B87" s="19"/>
      <c r="C87" s="13" t="str">
        <f>IF(Tableau1345[[#This Row],[Repère]]="","",VLOOKUP(Tableau1345[[#This Row],[Repère]],Tableau1[#All],3,FALSE))</f>
        <v/>
      </c>
      <c r="D87" s="13" t="str">
        <f>IF(Tableau1345[[#This Row],[Repère]]="","",VLOOKUP(Tableau1345[[#This Row],[Repère]],Tableau1[#All],4,FALSE))</f>
        <v/>
      </c>
      <c r="E87" s="13" t="str">
        <f>IF(Tableau1345[[#This Row],[Repère]]="","",VLOOKUP(Tableau1345[[#This Row],[Repère]],Tableau1[#All],5,FALSE))</f>
        <v/>
      </c>
      <c r="F87" s="13" t="str">
        <f>IF(Tableau1345[[#This Row],[Repère]]="","",VLOOKUP(Tableau1345[[#This Row],[Repère]],Tableau1[#All],6,FALSE))</f>
        <v/>
      </c>
      <c r="G87" s="13" t="str">
        <f>IF(Tableau1345[[#This Row],[Repère]]="","",VLOOKUP(Tableau1345[[#This Row],[Repère]],Tableau1[#All],7,FALSE))</f>
        <v/>
      </c>
      <c r="H87" s="13" t="str">
        <f>IF(Tableau1345[[#This Row],[Repère]]="","",VLOOKUP(Tableau1345[[#This Row],[Repère]],Tableau1[#All],8,FALSE))</f>
        <v/>
      </c>
      <c r="I87" s="13" t="str">
        <f>IF(Tableau1345[[#This Row],[Repère]]="","",VLOOKUP(Tableau1345[[#This Row],[Repère]],Tableau1[#All],9,FALSE))</f>
        <v/>
      </c>
      <c r="J87" s="13" t="str">
        <f>IF(Tableau1345[[#This Row],[Repère]]="","",VLOOKUP(Tableau1345[[#This Row],[Repère]],Tableau1[#All],10,FALSE))</f>
        <v/>
      </c>
      <c r="K87" s="13" t="str">
        <f>IF(Tableau1345[[#This Row],[Repère]]="","",VLOOKUP(Tableau1345[[#This Row],[Repère]],Tableau1[#All],11,FALSE))</f>
        <v/>
      </c>
      <c r="L87" s="14" t="str">
        <f>IF(Tableau1345[[#This Row],[Repère]]="","",VLOOKUP(Tableau1345[[#This Row],[Repère]],Tableau1[#All],12,FALSE))</f>
        <v/>
      </c>
    </row>
    <row r="88" spans="1:12" x14ac:dyDescent="0.3">
      <c r="A88" s="18"/>
      <c r="B88" s="19"/>
      <c r="C88" s="13" t="str">
        <f>IF(Tableau1345[[#This Row],[Repère]]="","",VLOOKUP(Tableau1345[[#This Row],[Repère]],Tableau1[#All],3,FALSE))</f>
        <v/>
      </c>
      <c r="D88" s="13" t="str">
        <f>IF(Tableau1345[[#This Row],[Repère]]="","",VLOOKUP(Tableau1345[[#This Row],[Repère]],Tableau1[#All],4,FALSE))</f>
        <v/>
      </c>
      <c r="E88" s="13" t="str">
        <f>IF(Tableau1345[[#This Row],[Repère]]="","",VLOOKUP(Tableau1345[[#This Row],[Repère]],Tableau1[#All],5,FALSE))</f>
        <v/>
      </c>
      <c r="F88" s="13" t="str">
        <f>IF(Tableau1345[[#This Row],[Repère]]="","",VLOOKUP(Tableau1345[[#This Row],[Repère]],Tableau1[#All],6,FALSE))</f>
        <v/>
      </c>
      <c r="G88" s="13" t="str">
        <f>IF(Tableau1345[[#This Row],[Repère]]="","",VLOOKUP(Tableau1345[[#This Row],[Repère]],Tableau1[#All],7,FALSE))</f>
        <v/>
      </c>
      <c r="H88" s="13" t="str">
        <f>IF(Tableau1345[[#This Row],[Repère]]="","",VLOOKUP(Tableau1345[[#This Row],[Repère]],Tableau1[#All],8,FALSE))</f>
        <v/>
      </c>
      <c r="I88" s="13" t="str">
        <f>IF(Tableau1345[[#This Row],[Repère]]="","",VLOOKUP(Tableau1345[[#This Row],[Repère]],Tableau1[#All],9,FALSE))</f>
        <v/>
      </c>
      <c r="J88" s="13" t="str">
        <f>IF(Tableau1345[[#This Row],[Repère]]="","",VLOOKUP(Tableau1345[[#This Row],[Repère]],Tableau1[#All],10,FALSE))</f>
        <v/>
      </c>
      <c r="K88" s="13" t="str">
        <f>IF(Tableau1345[[#This Row],[Repère]]="","",VLOOKUP(Tableau1345[[#This Row],[Repère]],Tableau1[#All],11,FALSE))</f>
        <v/>
      </c>
      <c r="L88" s="14" t="str">
        <f>IF(Tableau1345[[#This Row],[Repère]]="","",VLOOKUP(Tableau1345[[#This Row],[Repère]],Tableau1[#All],12,FALSE))</f>
        <v/>
      </c>
    </row>
    <row r="89" spans="1:12" x14ac:dyDescent="0.3">
      <c r="A89" s="18"/>
      <c r="B89" s="19"/>
      <c r="C89" s="13" t="str">
        <f>IF(Tableau1345[[#This Row],[Repère]]="","",VLOOKUP(Tableau1345[[#This Row],[Repère]],Tableau1[#All],3,FALSE))</f>
        <v/>
      </c>
      <c r="D89" s="13" t="str">
        <f>IF(Tableau1345[[#This Row],[Repère]]="","",VLOOKUP(Tableau1345[[#This Row],[Repère]],Tableau1[#All],4,FALSE))</f>
        <v/>
      </c>
      <c r="E89" s="13" t="str">
        <f>IF(Tableau1345[[#This Row],[Repère]]="","",VLOOKUP(Tableau1345[[#This Row],[Repère]],Tableau1[#All],5,FALSE))</f>
        <v/>
      </c>
      <c r="F89" s="13" t="str">
        <f>IF(Tableau1345[[#This Row],[Repère]]="","",VLOOKUP(Tableau1345[[#This Row],[Repère]],Tableau1[#All],6,FALSE))</f>
        <v/>
      </c>
      <c r="G89" s="13" t="str">
        <f>IF(Tableau1345[[#This Row],[Repère]]="","",VLOOKUP(Tableau1345[[#This Row],[Repère]],Tableau1[#All],7,FALSE))</f>
        <v/>
      </c>
      <c r="H89" s="13" t="str">
        <f>IF(Tableau1345[[#This Row],[Repère]]="","",VLOOKUP(Tableau1345[[#This Row],[Repère]],Tableau1[#All],8,FALSE))</f>
        <v/>
      </c>
      <c r="I89" s="13" t="str">
        <f>IF(Tableau1345[[#This Row],[Repère]]="","",VLOOKUP(Tableau1345[[#This Row],[Repère]],Tableau1[#All],9,FALSE))</f>
        <v/>
      </c>
      <c r="J89" s="13" t="str">
        <f>IF(Tableau1345[[#This Row],[Repère]]="","",VLOOKUP(Tableau1345[[#This Row],[Repère]],Tableau1[#All],10,FALSE))</f>
        <v/>
      </c>
      <c r="K89" s="13" t="str">
        <f>IF(Tableau1345[[#This Row],[Repère]]="","",VLOOKUP(Tableau1345[[#This Row],[Repère]],Tableau1[#All],11,FALSE))</f>
        <v/>
      </c>
      <c r="L89" s="14" t="str">
        <f>IF(Tableau1345[[#This Row],[Repère]]="","",VLOOKUP(Tableau1345[[#This Row],[Repère]],Tableau1[#All],12,FALSE))</f>
        <v/>
      </c>
    </row>
    <row r="90" spans="1:12" x14ac:dyDescent="0.3">
      <c r="A90" s="18"/>
      <c r="B90" s="19"/>
      <c r="C90" s="13" t="str">
        <f>IF(Tableau1345[[#This Row],[Repère]]="","",VLOOKUP(Tableau1345[[#This Row],[Repère]],Tableau1[#All],3,FALSE))</f>
        <v/>
      </c>
      <c r="D90" s="13" t="str">
        <f>IF(Tableau1345[[#This Row],[Repère]]="","",VLOOKUP(Tableau1345[[#This Row],[Repère]],Tableau1[#All],4,FALSE))</f>
        <v/>
      </c>
      <c r="E90" s="13" t="str">
        <f>IF(Tableau1345[[#This Row],[Repère]]="","",VLOOKUP(Tableau1345[[#This Row],[Repère]],Tableau1[#All],5,FALSE))</f>
        <v/>
      </c>
      <c r="F90" s="13" t="str">
        <f>IF(Tableau1345[[#This Row],[Repère]]="","",VLOOKUP(Tableau1345[[#This Row],[Repère]],Tableau1[#All],6,FALSE))</f>
        <v/>
      </c>
      <c r="G90" s="13" t="str">
        <f>IF(Tableau1345[[#This Row],[Repère]]="","",VLOOKUP(Tableau1345[[#This Row],[Repère]],Tableau1[#All],7,FALSE))</f>
        <v/>
      </c>
      <c r="H90" s="13" t="str">
        <f>IF(Tableau1345[[#This Row],[Repère]]="","",VLOOKUP(Tableau1345[[#This Row],[Repère]],Tableau1[#All],8,FALSE))</f>
        <v/>
      </c>
      <c r="I90" s="13" t="str">
        <f>IF(Tableau1345[[#This Row],[Repère]]="","",VLOOKUP(Tableau1345[[#This Row],[Repère]],Tableau1[#All],9,FALSE))</f>
        <v/>
      </c>
      <c r="J90" s="13" t="str">
        <f>IF(Tableau1345[[#This Row],[Repère]]="","",VLOOKUP(Tableau1345[[#This Row],[Repère]],Tableau1[#All],10,FALSE))</f>
        <v/>
      </c>
      <c r="K90" s="13" t="str">
        <f>IF(Tableau1345[[#This Row],[Repère]]="","",VLOOKUP(Tableau1345[[#This Row],[Repère]],Tableau1[#All],11,FALSE))</f>
        <v/>
      </c>
      <c r="L90" s="14" t="str">
        <f>IF(Tableau1345[[#This Row],[Repère]]="","",VLOOKUP(Tableau1345[[#This Row],[Repère]],Tableau1[#All],12,FALSE))</f>
        <v/>
      </c>
    </row>
    <row r="91" spans="1:12" x14ac:dyDescent="0.3">
      <c r="A91" s="18"/>
      <c r="B91" s="19"/>
      <c r="C91" s="13" t="str">
        <f>IF(Tableau1345[[#This Row],[Repère]]="","",VLOOKUP(Tableau1345[[#This Row],[Repère]],Tableau1[#All],3,FALSE))</f>
        <v/>
      </c>
      <c r="D91" s="13" t="str">
        <f>IF(Tableau1345[[#This Row],[Repère]]="","",VLOOKUP(Tableau1345[[#This Row],[Repère]],Tableau1[#All],4,FALSE))</f>
        <v/>
      </c>
      <c r="E91" s="13" t="str">
        <f>IF(Tableau1345[[#This Row],[Repère]]="","",VLOOKUP(Tableau1345[[#This Row],[Repère]],Tableau1[#All],5,FALSE))</f>
        <v/>
      </c>
      <c r="F91" s="13" t="str">
        <f>IF(Tableau1345[[#This Row],[Repère]]="","",VLOOKUP(Tableau1345[[#This Row],[Repère]],Tableau1[#All],6,FALSE))</f>
        <v/>
      </c>
      <c r="G91" s="13" t="str">
        <f>IF(Tableau1345[[#This Row],[Repère]]="","",VLOOKUP(Tableau1345[[#This Row],[Repère]],Tableau1[#All],7,FALSE))</f>
        <v/>
      </c>
      <c r="H91" s="13" t="str">
        <f>IF(Tableau1345[[#This Row],[Repère]]="","",VLOOKUP(Tableau1345[[#This Row],[Repère]],Tableau1[#All],8,FALSE))</f>
        <v/>
      </c>
      <c r="I91" s="13" t="str">
        <f>IF(Tableau1345[[#This Row],[Repère]]="","",VLOOKUP(Tableau1345[[#This Row],[Repère]],Tableau1[#All],9,FALSE))</f>
        <v/>
      </c>
      <c r="J91" s="13" t="str">
        <f>IF(Tableau1345[[#This Row],[Repère]]="","",VLOOKUP(Tableau1345[[#This Row],[Repère]],Tableau1[#All],10,FALSE))</f>
        <v/>
      </c>
      <c r="K91" s="13" t="str">
        <f>IF(Tableau1345[[#This Row],[Repère]]="","",VLOOKUP(Tableau1345[[#This Row],[Repère]],Tableau1[#All],11,FALSE))</f>
        <v/>
      </c>
      <c r="L91" s="14" t="str">
        <f>IF(Tableau1345[[#This Row],[Repère]]="","",VLOOKUP(Tableau1345[[#This Row],[Repère]],Tableau1[#All],12,FALSE))</f>
        <v/>
      </c>
    </row>
    <row r="92" spans="1:12" x14ac:dyDescent="0.3">
      <c r="A92" s="18"/>
      <c r="B92" s="19"/>
      <c r="C92" s="13" t="str">
        <f>IF(Tableau1345[[#This Row],[Repère]]="","",VLOOKUP(Tableau1345[[#This Row],[Repère]],Tableau1[#All],3,FALSE))</f>
        <v/>
      </c>
      <c r="D92" s="13" t="str">
        <f>IF(Tableau1345[[#This Row],[Repère]]="","",VLOOKUP(Tableau1345[[#This Row],[Repère]],Tableau1[#All],4,FALSE))</f>
        <v/>
      </c>
      <c r="E92" s="13" t="str">
        <f>IF(Tableau1345[[#This Row],[Repère]]="","",VLOOKUP(Tableau1345[[#This Row],[Repère]],Tableau1[#All],5,FALSE))</f>
        <v/>
      </c>
      <c r="F92" s="13" t="str">
        <f>IF(Tableau1345[[#This Row],[Repère]]="","",VLOOKUP(Tableau1345[[#This Row],[Repère]],Tableau1[#All],6,FALSE))</f>
        <v/>
      </c>
      <c r="G92" s="13" t="str">
        <f>IF(Tableau1345[[#This Row],[Repère]]="","",VLOOKUP(Tableau1345[[#This Row],[Repère]],Tableau1[#All],7,FALSE))</f>
        <v/>
      </c>
      <c r="H92" s="13" t="str">
        <f>IF(Tableau1345[[#This Row],[Repère]]="","",VLOOKUP(Tableau1345[[#This Row],[Repère]],Tableau1[#All],8,FALSE))</f>
        <v/>
      </c>
      <c r="I92" s="13" t="str">
        <f>IF(Tableau1345[[#This Row],[Repère]]="","",VLOOKUP(Tableau1345[[#This Row],[Repère]],Tableau1[#All],9,FALSE))</f>
        <v/>
      </c>
      <c r="J92" s="13" t="str">
        <f>IF(Tableau1345[[#This Row],[Repère]]="","",VLOOKUP(Tableau1345[[#This Row],[Repère]],Tableau1[#All],10,FALSE))</f>
        <v/>
      </c>
      <c r="K92" s="13" t="str">
        <f>IF(Tableau1345[[#This Row],[Repère]]="","",VLOOKUP(Tableau1345[[#This Row],[Repère]],Tableau1[#All],11,FALSE))</f>
        <v/>
      </c>
      <c r="L92" s="14" t="str">
        <f>IF(Tableau1345[[#This Row],[Repère]]="","",VLOOKUP(Tableau1345[[#This Row],[Repère]],Tableau1[#All],12,FALSE))</f>
        <v/>
      </c>
    </row>
    <row r="93" spans="1:12" x14ac:dyDescent="0.3">
      <c r="A93" s="18"/>
      <c r="B93" s="19"/>
      <c r="C93" s="13" t="str">
        <f>IF(Tableau1345[[#This Row],[Repère]]="","",VLOOKUP(Tableau1345[[#This Row],[Repère]],Tableau1[#All],3,FALSE))</f>
        <v/>
      </c>
      <c r="D93" s="13" t="str">
        <f>IF(Tableau1345[[#This Row],[Repère]]="","",VLOOKUP(Tableau1345[[#This Row],[Repère]],Tableau1[#All],4,FALSE))</f>
        <v/>
      </c>
      <c r="E93" s="13" t="str">
        <f>IF(Tableau1345[[#This Row],[Repère]]="","",VLOOKUP(Tableau1345[[#This Row],[Repère]],Tableau1[#All],5,FALSE))</f>
        <v/>
      </c>
      <c r="F93" s="13" t="str">
        <f>IF(Tableau1345[[#This Row],[Repère]]="","",VLOOKUP(Tableau1345[[#This Row],[Repère]],Tableau1[#All],6,FALSE))</f>
        <v/>
      </c>
      <c r="G93" s="13" t="str">
        <f>IF(Tableau1345[[#This Row],[Repère]]="","",VLOOKUP(Tableau1345[[#This Row],[Repère]],Tableau1[#All],7,FALSE))</f>
        <v/>
      </c>
      <c r="H93" s="13" t="str">
        <f>IF(Tableau1345[[#This Row],[Repère]]="","",VLOOKUP(Tableau1345[[#This Row],[Repère]],Tableau1[#All],8,FALSE))</f>
        <v/>
      </c>
      <c r="I93" s="13" t="str">
        <f>IF(Tableau1345[[#This Row],[Repère]]="","",VLOOKUP(Tableau1345[[#This Row],[Repère]],Tableau1[#All],9,FALSE))</f>
        <v/>
      </c>
      <c r="J93" s="13" t="str">
        <f>IF(Tableau1345[[#This Row],[Repère]]="","",VLOOKUP(Tableau1345[[#This Row],[Repère]],Tableau1[#All],10,FALSE))</f>
        <v/>
      </c>
      <c r="K93" s="13" t="str">
        <f>IF(Tableau1345[[#This Row],[Repère]]="","",VLOOKUP(Tableau1345[[#This Row],[Repère]],Tableau1[#All],11,FALSE))</f>
        <v/>
      </c>
      <c r="L93" s="14" t="str">
        <f>IF(Tableau1345[[#This Row],[Repère]]="","",VLOOKUP(Tableau1345[[#This Row],[Repère]],Tableau1[#All],12,FALSE))</f>
        <v/>
      </c>
    </row>
    <row r="94" spans="1:12" x14ac:dyDescent="0.3">
      <c r="A94" s="18"/>
      <c r="B94" s="19"/>
      <c r="C94" s="13" t="str">
        <f>IF(Tableau1345[[#This Row],[Repère]]="","",VLOOKUP(Tableau1345[[#This Row],[Repère]],Tableau1[#All],3,FALSE))</f>
        <v/>
      </c>
      <c r="D94" s="13" t="str">
        <f>IF(Tableau1345[[#This Row],[Repère]]="","",VLOOKUP(Tableau1345[[#This Row],[Repère]],Tableau1[#All],4,FALSE))</f>
        <v/>
      </c>
      <c r="E94" s="13" t="str">
        <f>IF(Tableau1345[[#This Row],[Repère]]="","",VLOOKUP(Tableau1345[[#This Row],[Repère]],Tableau1[#All],5,FALSE))</f>
        <v/>
      </c>
      <c r="F94" s="13" t="str">
        <f>IF(Tableau1345[[#This Row],[Repère]]="","",VLOOKUP(Tableau1345[[#This Row],[Repère]],Tableau1[#All],6,FALSE))</f>
        <v/>
      </c>
      <c r="G94" s="13" t="str">
        <f>IF(Tableau1345[[#This Row],[Repère]]="","",VLOOKUP(Tableau1345[[#This Row],[Repère]],Tableau1[#All],7,FALSE))</f>
        <v/>
      </c>
      <c r="H94" s="13" t="str">
        <f>IF(Tableau1345[[#This Row],[Repère]]="","",VLOOKUP(Tableau1345[[#This Row],[Repère]],Tableau1[#All],8,FALSE))</f>
        <v/>
      </c>
      <c r="I94" s="13" t="str">
        <f>IF(Tableau1345[[#This Row],[Repère]]="","",VLOOKUP(Tableau1345[[#This Row],[Repère]],Tableau1[#All],9,FALSE))</f>
        <v/>
      </c>
      <c r="J94" s="13" t="str">
        <f>IF(Tableau1345[[#This Row],[Repère]]="","",VLOOKUP(Tableau1345[[#This Row],[Repère]],Tableau1[#All],10,FALSE))</f>
        <v/>
      </c>
      <c r="K94" s="13" t="str">
        <f>IF(Tableau1345[[#This Row],[Repère]]="","",VLOOKUP(Tableau1345[[#This Row],[Repère]],Tableau1[#All],11,FALSE))</f>
        <v/>
      </c>
      <c r="L94" s="14" t="str">
        <f>IF(Tableau1345[[#This Row],[Repère]]="","",VLOOKUP(Tableau1345[[#This Row],[Repère]],Tableau1[#All],12,FALSE))</f>
        <v/>
      </c>
    </row>
    <row r="95" spans="1:12" x14ac:dyDescent="0.3">
      <c r="A95" s="18"/>
      <c r="B95" s="19"/>
      <c r="C95" s="13" t="str">
        <f>IF(Tableau1345[[#This Row],[Repère]]="","",VLOOKUP(Tableau1345[[#This Row],[Repère]],Tableau1[#All],3,FALSE))</f>
        <v/>
      </c>
      <c r="D95" s="13" t="str">
        <f>IF(Tableau1345[[#This Row],[Repère]]="","",VLOOKUP(Tableau1345[[#This Row],[Repère]],Tableau1[#All],4,FALSE))</f>
        <v/>
      </c>
      <c r="E95" s="13" t="str">
        <f>IF(Tableau1345[[#This Row],[Repère]]="","",VLOOKUP(Tableau1345[[#This Row],[Repère]],Tableau1[#All],5,FALSE))</f>
        <v/>
      </c>
      <c r="F95" s="13" t="str">
        <f>IF(Tableau1345[[#This Row],[Repère]]="","",VLOOKUP(Tableau1345[[#This Row],[Repère]],Tableau1[#All],6,FALSE))</f>
        <v/>
      </c>
      <c r="G95" s="13" t="str">
        <f>IF(Tableau1345[[#This Row],[Repère]]="","",VLOOKUP(Tableau1345[[#This Row],[Repère]],Tableau1[#All],7,FALSE))</f>
        <v/>
      </c>
      <c r="H95" s="13" t="str">
        <f>IF(Tableau1345[[#This Row],[Repère]]="","",VLOOKUP(Tableau1345[[#This Row],[Repère]],Tableau1[#All],8,FALSE))</f>
        <v/>
      </c>
      <c r="I95" s="13" t="str">
        <f>IF(Tableau1345[[#This Row],[Repère]]="","",VLOOKUP(Tableau1345[[#This Row],[Repère]],Tableau1[#All],9,FALSE))</f>
        <v/>
      </c>
      <c r="J95" s="13" t="str">
        <f>IF(Tableau1345[[#This Row],[Repère]]="","",VLOOKUP(Tableau1345[[#This Row],[Repère]],Tableau1[#All],10,FALSE))</f>
        <v/>
      </c>
      <c r="K95" s="13" t="str">
        <f>IF(Tableau1345[[#This Row],[Repère]]="","",VLOOKUP(Tableau1345[[#This Row],[Repère]],Tableau1[#All],11,FALSE))</f>
        <v/>
      </c>
      <c r="L95" s="14" t="str">
        <f>IF(Tableau1345[[#This Row],[Repère]]="","",VLOOKUP(Tableau1345[[#This Row],[Repère]],Tableau1[#All],12,FALSE))</f>
        <v/>
      </c>
    </row>
    <row r="96" spans="1:12" x14ac:dyDescent="0.3">
      <c r="A96" s="18"/>
      <c r="B96" s="19"/>
      <c r="C96" s="13" t="str">
        <f>IF(Tableau1345[[#This Row],[Repère]]="","",VLOOKUP(Tableau1345[[#This Row],[Repère]],Tableau1[#All],3,FALSE))</f>
        <v/>
      </c>
      <c r="D96" s="13" t="str">
        <f>IF(Tableau1345[[#This Row],[Repère]]="","",VLOOKUP(Tableau1345[[#This Row],[Repère]],Tableau1[#All],4,FALSE))</f>
        <v/>
      </c>
      <c r="E96" s="13" t="str">
        <f>IF(Tableau1345[[#This Row],[Repère]]="","",VLOOKUP(Tableau1345[[#This Row],[Repère]],Tableau1[#All],5,FALSE))</f>
        <v/>
      </c>
      <c r="F96" s="13" t="str">
        <f>IF(Tableau1345[[#This Row],[Repère]]="","",VLOOKUP(Tableau1345[[#This Row],[Repère]],Tableau1[#All],6,FALSE))</f>
        <v/>
      </c>
      <c r="G96" s="13" t="str">
        <f>IF(Tableau1345[[#This Row],[Repère]]="","",VLOOKUP(Tableau1345[[#This Row],[Repère]],Tableau1[#All],7,FALSE))</f>
        <v/>
      </c>
      <c r="H96" s="13" t="str">
        <f>IF(Tableau1345[[#This Row],[Repère]]="","",VLOOKUP(Tableau1345[[#This Row],[Repère]],Tableau1[#All],8,FALSE))</f>
        <v/>
      </c>
      <c r="I96" s="13" t="str">
        <f>IF(Tableau1345[[#This Row],[Repère]]="","",VLOOKUP(Tableau1345[[#This Row],[Repère]],Tableau1[#All],9,FALSE))</f>
        <v/>
      </c>
      <c r="J96" s="13" t="str">
        <f>IF(Tableau1345[[#This Row],[Repère]]="","",VLOOKUP(Tableau1345[[#This Row],[Repère]],Tableau1[#All],10,FALSE))</f>
        <v/>
      </c>
      <c r="K96" s="13" t="str">
        <f>IF(Tableau1345[[#This Row],[Repère]]="","",VLOOKUP(Tableau1345[[#This Row],[Repère]],Tableau1[#All],11,FALSE))</f>
        <v/>
      </c>
      <c r="L96" s="14" t="str">
        <f>IF(Tableau1345[[#This Row],[Repère]]="","",VLOOKUP(Tableau1345[[#This Row],[Repère]],Tableau1[#All],12,FALSE))</f>
        <v/>
      </c>
    </row>
    <row r="97" spans="1:12" x14ac:dyDescent="0.3">
      <c r="A97" s="18"/>
      <c r="B97" s="19"/>
      <c r="C97" s="13" t="str">
        <f>IF(Tableau1345[[#This Row],[Repère]]="","",VLOOKUP(Tableau1345[[#This Row],[Repère]],Tableau1[#All],3,FALSE))</f>
        <v/>
      </c>
      <c r="D97" s="13" t="str">
        <f>IF(Tableau1345[[#This Row],[Repère]]="","",VLOOKUP(Tableau1345[[#This Row],[Repère]],Tableau1[#All],4,FALSE))</f>
        <v/>
      </c>
      <c r="E97" s="13" t="str">
        <f>IF(Tableau1345[[#This Row],[Repère]]="","",VLOOKUP(Tableau1345[[#This Row],[Repère]],Tableau1[#All],5,FALSE))</f>
        <v/>
      </c>
      <c r="F97" s="13" t="str">
        <f>IF(Tableau1345[[#This Row],[Repère]]="","",VLOOKUP(Tableau1345[[#This Row],[Repère]],Tableau1[#All],6,FALSE))</f>
        <v/>
      </c>
      <c r="G97" s="13" t="str">
        <f>IF(Tableau1345[[#This Row],[Repère]]="","",VLOOKUP(Tableau1345[[#This Row],[Repère]],Tableau1[#All],7,FALSE))</f>
        <v/>
      </c>
      <c r="H97" s="13" t="str">
        <f>IF(Tableau1345[[#This Row],[Repère]]="","",VLOOKUP(Tableau1345[[#This Row],[Repère]],Tableau1[#All],8,FALSE))</f>
        <v/>
      </c>
      <c r="I97" s="13" t="str">
        <f>IF(Tableau1345[[#This Row],[Repère]]="","",VLOOKUP(Tableau1345[[#This Row],[Repère]],Tableau1[#All],9,FALSE))</f>
        <v/>
      </c>
      <c r="J97" s="13" t="str">
        <f>IF(Tableau1345[[#This Row],[Repère]]="","",VLOOKUP(Tableau1345[[#This Row],[Repère]],Tableau1[#All],10,FALSE))</f>
        <v/>
      </c>
      <c r="K97" s="13" t="str">
        <f>IF(Tableau1345[[#This Row],[Repère]]="","",VLOOKUP(Tableau1345[[#This Row],[Repère]],Tableau1[#All],11,FALSE))</f>
        <v/>
      </c>
      <c r="L97" s="14" t="str">
        <f>IF(Tableau1345[[#This Row],[Repère]]="","",VLOOKUP(Tableau1345[[#This Row],[Repère]],Tableau1[#All],12,FALSE))</f>
        <v/>
      </c>
    </row>
    <row r="98" spans="1:12" x14ac:dyDescent="0.3">
      <c r="A98" s="18"/>
      <c r="B98" s="19"/>
      <c r="C98" s="13" t="str">
        <f>IF(Tableau1345[[#This Row],[Repère]]="","",VLOOKUP(Tableau1345[[#This Row],[Repère]],Tableau1[#All],3,FALSE))</f>
        <v/>
      </c>
      <c r="D98" s="13" t="str">
        <f>IF(Tableau1345[[#This Row],[Repère]]="","",VLOOKUP(Tableau1345[[#This Row],[Repère]],Tableau1[#All],4,FALSE))</f>
        <v/>
      </c>
      <c r="E98" s="13" t="str">
        <f>IF(Tableau1345[[#This Row],[Repère]]="","",VLOOKUP(Tableau1345[[#This Row],[Repère]],Tableau1[#All],5,FALSE))</f>
        <v/>
      </c>
      <c r="F98" s="13" t="str">
        <f>IF(Tableau1345[[#This Row],[Repère]]="","",VLOOKUP(Tableau1345[[#This Row],[Repère]],Tableau1[#All],6,FALSE))</f>
        <v/>
      </c>
      <c r="G98" s="13" t="str">
        <f>IF(Tableau1345[[#This Row],[Repère]]="","",VLOOKUP(Tableau1345[[#This Row],[Repère]],Tableau1[#All],7,FALSE))</f>
        <v/>
      </c>
      <c r="H98" s="13" t="str">
        <f>IF(Tableau1345[[#This Row],[Repère]]="","",VLOOKUP(Tableau1345[[#This Row],[Repère]],Tableau1[#All],8,FALSE))</f>
        <v/>
      </c>
      <c r="I98" s="13" t="str">
        <f>IF(Tableau1345[[#This Row],[Repère]]="","",VLOOKUP(Tableau1345[[#This Row],[Repère]],Tableau1[#All],9,FALSE))</f>
        <v/>
      </c>
      <c r="J98" s="13" t="str">
        <f>IF(Tableau1345[[#This Row],[Repère]]="","",VLOOKUP(Tableau1345[[#This Row],[Repère]],Tableau1[#All],10,FALSE))</f>
        <v/>
      </c>
      <c r="K98" s="13" t="str">
        <f>IF(Tableau1345[[#This Row],[Repère]]="","",VLOOKUP(Tableau1345[[#This Row],[Repère]],Tableau1[#All],11,FALSE))</f>
        <v/>
      </c>
      <c r="L98" s="14" t="str">
        <f>IF(Tableau1345[[#This Row],[Repère]]="","",VLOOKUP(Tableau1345[[#This Row],[Repère]],Tableau1[#All],12,FALSE))</f>
        <v/>
      </c>
    </row>
    <row r="99" spans="1:12" x14ac:dyDescent="0.3">
      <c r="A99" s="18"/>
      <c r="B99" s="19"/>
      <c r="C99" s="13" t="str">
        <f>IF(Tableau1345[[#This Row],[Repère]]="","",VLOOKUP(Tableau1345[[#This Row],[Repère]],Tableau1[#All],3,FALSE))</f>
        <v/>
      </c>
      <c r="D99" s="13" t="str">
        <f>IF(Tableau1345[[#This Row],[Repère]]="","",VLOOKUP(Tableau1345[[#This Row],[Repère]],Tableau1[#All],4,FALSE))</f>
        <v/>
      </c>
      <c r="E99" s="13" t="str">
        <f>IF(Tableau1345[[#This Row],[Repère]]="","",VLOOKUP(Tableau1345[[#This Row],[Repère]],Tableau1[#All],5,FALSE))</f>
        <v/>
      </c>
      <c r="F99" s="13" t="str">
        <f>IF(Tableau1345[[#This Row],[Repère]]="","",VLOOKUP(Tableau1345[[#This Row],[Repère]],Tableau1[#All],6,FALSE))</f>
        <v/>
      </c>
      <c r="G99" s="13" t="str">
        <f>IF(Tableau1345[[#This Row],[Repère]]="","",VLOOKUP(Tableau1345[[#This Row],[Repère]],Tableau1[#All],7,FALSE))</f>
        <v/>
      </c>
      <c r="H99" s="13" t="str">
        <f>IF(Tableau1345[[#This Row],[Repère]]="","",VLOOKUP(Tableau1345[[#This Row],[Repère]],Tableau1[#All],8,FALSE))</f>
        <v/>
      </c>
      <c r="I99" s="13" t="str">
        <f>IF(Tableau1345[[#This Row],[Repère]]="","",VLOOKUP(Tableau1345[[#This Row],[Repère]],Tableau1[#All],9,FALSE))</f>
        <v/>
      </c>
      <c r="J99" s="13" t="str">
        <f>IF(Tableau1345[[#This Row],[Repère]]="","",VLOOKUP(Tableau1345[[#This Row],[Repère]],Tableau1[#All],10,FALSE))</f>
        <v/>
      </c>
      <c r="K99" s="13" t="str">
        <f>IF(Tableau1345[[#This Row],[Repère]]="","",VLOOKUP(Tableau1345[[#This Row],[Repère]],Tableau1[#All],11,FALSE))</f>
        <v/>
      </c>
      <c r="L99" s="14" t="str">
        <f>IF(Tableau1345[[#This Row],[Repère]]="","",VLOOKUP(Tableau1345[[#This Row],[Repère]],Tableau1[#All],12,FALSE))</f>
        <v/>
      </c>
    </row>
    <row r="100" spans="1:12" x14ac:dyDescent="0.3">
      <c r="A100" s="18"/>
      <c r="B100" s="19"/>
      <c r="C100" s="13" t="str">
        <f>IF(Tableau1345[[#This Row],[Repère]]="","",VLOOKUP(Tableau1345[[#This Row],[Repère]],Tableau1[#All],3,FALSE))</f>
        <v/>
      </c>
      <c r="D100" s="13" t="str">
        <f>IF(Tableau1345[[#This Row],[Repère]]="","",VLOOKUP(Tableau1345[[#This Row],[Repère]],Tableau1[#All],4,FALSE))</f>
        <v/>
      </c>
      <c r="E100" s="13" t="str">
        <f>IF(Tableau1345[[#This Row],[Repère]]="","",VLOOKUP(Tableau1345[[#This Row],[Repère]],Tableau1[#All],5,FALSE))</f>
        <v/>
      </c>
      <c r="F100" s="13" t="str">
        <f>IF(Tableau1345[[#This Row],[Repère]]="","",VLOOKUP(Tableau1345[[#This Row],[Repère]],Tableau1[#All],6,FALSE))</f>
        <v/>
      </c>
      <c r="G100" s="13" t="str">
        <f>IF(Tableau1345[[#This Row],[Repère]]="","",VLOOKUP(Tableau1345[[#This Row],[Repère]],Tableau1[#All],7,FALSE))</f>
        <v/>
      </c>
      <c r="H100" s="13" t="str">
        <f>IF(Tableau1345[[#This Row],[Repère]]="","",VLOOKUP(Tableau1345[[#This Row],[Repère]],Tableau1[#All],8,FALSE))</f>
        <v/>
      </c>
      <c r="I100" s="13" t="str">
        <f>IF(Tableau1345[[#This Row],[Repère]]="","",VLOOKUP(Tableau1345[[#This Row],[Repère]],Tableau1[#All],9,FALSE))</f>
        <v/>
      </c>
      <c r="J100" s="13" t="str">
        <f>IF(Tableau1345[[#This Row],[Repère]]="","",VLOOKUP(Tableau1345[[#This Row],[Repère]],Tableau1[#All],10,FALSE))</f>
        <v/>
      </c>
      <c r="K100" s="13" t="str">
        <f>IF(Tableau1345[[#This Row],[Repère]]="","",VLOOKUP(Tableau1345[[#This Row],[Repère]],Tableau1[#All],11,FALSE))</f>
        <v/>
      </c>
      <c r="L100" s="14" t="str">
        <f>IF(Tableau1345[[#This Row],[Repère]]="","",VLOOKUP(Tableau1345[[#This Row],[Repère]],Tableau1[#All],12,FALSE))</f>
        <v/>
      </c>
    </row>
    <row r="101" spans="1:12" x14ac:dyDescent="0.3">
      <c r="A101" s="18"/>
      <c r="B101" s="19"/>
      <c r="C101" s="13" t="str">
        <f>IF(Tableau1345[[#This Row],[Repère]]="","",VLOOKUP(Tableau1345[[#This Row],[Repère]],Tableau1[#All],3,FALSE))</f>
        <v/>
      </c>
      <c r="D101" s="13" t="str">
        <f>IF(Tableau1345[[#This Row],[Repère]]="","",VLOOKUP(Tableau1345[[#This Row],[Repère]],Tableau1[#All],4,FALSE))</f>
        <v/>
      </c>
      <c r="E101" s="13" t="str">
        <f>IF(Tableau1345[[#This Row],[Repère]]="","",VLOOKUP(Tableau1345[[#This Row],[Repère]],Tableau1[#All],5,FALSE))</f>
        <v/>
      </c>
      <c r="F101" s="13" t="str">
        <f>IF(Tableau1345[[#This Row],[Repère]]="","",VLOOKUP(Tableau1345[[#This Row],[Repère]],Tableau1[#All],6,FALSE))</f>
        <v/>
      </c>
      <c r="G101" s="13" t="str">
        <f>IF(Tableau1345[[#This Row],[Repère]]="","",VLOOKUP(Tableau1345[[#This Row],[Repère]],Tableau1[#All],7,FALSE))</f>
        <v/>
      </c>
      <c r="H101" s="13" t="str">
        <f>IF(Tableau1345[[#This Row],[Repère]]="","",VLOOKUP(Tableau1345[[#This Row],[Repère]],Tableau1[#All],8,FALSE))</f>
        <v/>
      </c>
      <c r="I101" s="13" t="str">
        <f>IF(Tableau1345[[#This Row],[Repère]]="","",VLOOKUP(Tableau1345[[#This Row],[Repère]],Tableau1[#All],9,FALSE))</f>
        <v/>
      </c>
      <c r="J101" s="13" t="str">
        <f>IF(Tableau1345[[#This Row],[Repère]]="","",VLOOKUP(Tableau1345[[#This Row],[Repère]],Tableau1[#All],10,FALSE))</f>
        <v/>
      </c>
      <c r="K101" s="13" t="str">
        <f>IF(Tableau1345[[#This Row],[Repère]]="","",VLOOKUP(Tableau1345[[#This Row],[Repère]],Tableau1[#All],11,FALSE))</f>
        <v/>
      </c>
      <c r="L101" s="14" t="str">
        <f>IF(Tableau1345[[#This Row],[Repère]]="","",VLOOKUP(Tableau1345[[#This Row],[Repère]],Tableau1[#All],12,FALSE))</f>
        <v/>
      </c>
    </row>
  </sheetData>
  <sheetProtection algorithmName="SHA-512" hashValue="8QZMTcjr9OGh7FwGMcpkpyN2YiWzO4vjTU+77Q9MwTOeD//NiFjBqr99ElyqwHEZnlUvnl289wubnTVCSpxAyA==" saltValue="IVWk9pRTjDowVdskB+4Uiw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AC0F-E17D-44DD-A497-E7E5B0CA3530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IF(Tableau13456[[#This Row],[Repère]]="","",VLOOKUP(Tableau13456[[#This Row],[Repère]],Tableau1[#All],3,FALSE))</f>
        <v/>
      </c>
      <c r="D2" s="13" t="str">
        <f>IF(Tableau13456[[#This Row],[Repère]]="","",VLOOKUP(Tableau13456[[#This Row],[Repère]],Tableau1[#All],4,FALSE))</f>
        <v/>
      </c>
      <c r="E2" s="13" t="str">
        <f>IF(Tableau13456[[#This Row],[Repère]]="","",VLOOKUP(Tableau13456[[#This Row],[Repère]],Tableau1[#All],5,FALSE))</f>
        <v/>
      </c>
      <c r="F2" s="13" t="str">
        <f>IF(Tableau13456[[#This Row],[Repère]]="","",VLOOKUP(Tableau13456[[#This Row],[Repère]],Tableau1[#All],6,FALSE))</f>
        <v/>
      </c>
      <c r="G2" s="13" t="str">
        <f>IF(Tableau13456[[#This Row],[Repère]]="","",VLOOKUP(Tableau13456[[#This Row],[Repère]],Tableau1[#All],7,FALSE))</f>
        <v/>
      </c>
      <c r="H2" s="13" t="str">
        <f>IF(Tableau13456[[#This Row],[Repère]]="","",VLOOKUP(Tableau13456[[#This Row],[Repère]],Tableau1[#All],8,FALSE))</f>
        <v/>
      </c>
      <c r="I2" s="13" t="str">
        <f>IF(Tableau13456[[#This Row],[Repère]]="","",VLOOKUP(Tableau13456[[#This Row],[Repère]],Tableau1[#All],9,FALSE))</f>
        <v/>
      </c>
      <c r="J2" s="13" t="str">
        <f>IF(Tableau13456[[#This Row],[Repère]]="","",VLOOKUP(Tableau13456[[#This Row],[Repère]],Tableau1[#All],10,FALSE))</f>
        <v/>
      </c>
      <c r="K2" s="13" t="str">
        <f>IF(Tableau13456[[#This Row],[Repère]]="","",VLOOKUP(Tableau13456[[#This Row],[Repère]],Tableau1[#All],11,FALSE))</f>
        <v/>
      </c>
      <c r="L2" s="13" t="str">
        <f>IF(Tableau13456[[#This Row],[Repère]]="","",VLOOKUP(Tableau13456[[#This Row],[Repère]],Tableau1[#All],12,FALSE))</f>
        <v/>
      </c>
    </row>
    <row r="3" spans="1:12" x14ac:dyDescent="0.3">
      <c r="A3" s="18"/>
      <c r="B3" s="19"/>
      <c r="C3" s="13" t="str">
        <f>IF(Tableau13456[[#This Row],[Repère]]="","",VLOOKUP(Tableau13456[[#This Row],[Repère]],Tableau1[#All],3,FALSE))</f>
        <v/>
      </c>
      <c r="D3" s="13" t="str">
        <f>IF(Tableau13456[[#This Row],[Repère]]="","",VLOOKUP(Tableau13456[[#This Row],[Repère]],Tableau1[#All],4,FALSE))</f>
        <v/>
      </c>
      <c r="E3" s="13" t="str">
        <f>IF(Tableau13456[[#This Row],[Repère]]="","",VLOOKUP(Tableau13456[[#This Row],[Repère]],Tableau1[#All],5,FALSE))</f>
        <v/>
      </c>
      <c r="F3" s="13" t="str">
        <f>IF(Tableau13456[[#This Row],[Repère]]="","",VLOOKUP(Tableau13456[[#This Row],[Repère]],Tableau1[#All],6,FALSE))</f>
        <v/>
      </c>
      <c r="G3" s="13" t="str">
        <f>IF(Tableau13456[[#This Row],[Repère]]="","",VLOOKUP(Tableau13456[[#This Row],[Repère]],Tableau1[#All],7,FALSE))</f>
        <v/>
      </c>
      <c r="H3" s="13" t="str">
        <f>IF(Tableau13456[[#This Row],[Repère]]="","",VLOOKUP(Tableau13456[[#This Row],[Repère]],Tableau1[#All],8,FALSE))</f>
        <v/>
      </c>
      <c r="I3" s="13" t="str">
        <f>IF(Tableau13456[[#This Row],[Repère]]="","",VLOOKUP(Tableau13456[[#This Row],[Repère]],Tableau1[#All],9,FALSE))</f>
        <v/>
      </c>
      <c r="J3" s="13" t="str">
        <f>IF(Tableau13456[[#This Row],[Repère]]="","",VLOOKUP(Tableau13456[[#This Row],[Repère]],Tableau1[#All],10,FALSE))</f>
        <v/>
      </c>
      <c r="K3" s="13" t="str">
        <f>IF(Tableau13456[[#This Row],[Repère]]="","",VLOOKUP(Tableau13456[[#This Row],[Repère]],Tableau1[#All],11,FALSE))</f>
        <v/>
      </c>
      <c r="L3" s="14" t="str">
        <f>IF(Tableau13456[[#This Row],[Repère]]="","",VLOOKUP(Tableau13456[[#This Row],[Repère]],Tableau1[#All],12,FALSE))</f>
        <v/>
      </c>
    </row>
    <row r="4" spans="1:12" x14ac:dyDescent="0.3">
      <c r="A4" s="18"/>
      <c r="B4" s="19"/>
      <c r="C4" s="13" t="str">
        <f>IF(Tableau13456[[#This Row],[Repère]]="","",VLOOKUP(Tableau13456[[#This Row],[Repère]],Tableau1[#All],3,FALSE))</f>
        <v/>
      </c>
      <c r="D4" s="13" t="str">
        <f>IF(Tableau13456[[#This Row],[Repère]]="","",VLOOKUP(Tableau13456[[#This Row],[Repère]],Tableau1[#All],4,FALSE))</f>
        <v/>
      </c>
      <c r="E4" s="13" t="str">
        <f>IF(Tableau13456[[#This Row],[Repère]]="","",VLOOKUP(Tableau13456[[#This Row],[Repère]],Tableau1[#All],5,FALSE))</f>
        <v/>
      </c>
      <c r="F4" s="13" t="str">
        <f>IF(Tableau13456[[#This Row],[Repère]]="","",VLOOKUP(Tableau13456[[#This Row],[Repère]],Tableau1[#All],6,FALSE))</f>
        <v/>
      </c>
      <c r="G4" s="13" t="str">
        <f>IF(Tableau13456[[#This Row],[Repère]]="","",VLOOKUP(Tableau13456[[#This Row],[Repère]],Tableau1[#All],7,FALSE))</f>
        <v/>
      </c>
      <c r="H4" s="13" t="str">
        <f>IF(Tableau13456[[#This Row],[Repère]]="","",VLOOKUP(Tableau13456[[#This Row],[Repère]],Tableau1[#All],8,FALSE))</f>
        <v/>
      </c>
      <c r="I4" s="13" t="str">
        <f>IF(Tableau13456[[#This Row],[Repère]]="","",VLOOKUP(Tableau13456[[#This Row],[Repère]],Tableau1[#All],9,FALSE))</f>
        <v/>
      </c>
      <c r="J4" s="13" t="str">
        <f>IF(Tableau13456[[#This Row],[Repère]]="","",VLOOKUP(Tableau13456[[#This Row],[Repère]],Tableau1[#All],10,FALSE))</f>
        <v/>
      </c>
      <c r="K4" s="13" t="str">
        <f>IF(Tableau13456[[#This Row],[Repère]]="","",VLOOKUP(Tableau13456[[#This Row],[Repère]],Tableau1[#All],11,FALSE))</f>
        <v/>
      </c>
      <c r="L4" s="14" t="str">
        <f>IF(Tableau13456[[#This Row],[Repère]]="","",VLOOKUP(Tableau13456[[#This Row],[Repère]],Tableau1[#All],12,FALSE))</f>
        <v/>
      </c>
    </row>
    <row r="5" spans="1:12" x14ac:dyDescent="0.3">
      <c r="A5" s="18"/>
      <c r="B5" s="19"/>
      <c r="C5" s="13" t="str">
        <f>IF(Tableau13456[[#This Row],[Repère]]="","",VLOOKUP(Tableau13456[[#This Row],[Repère]],Tableau1[#All],3,FALSE))</f>
        <v/>
      </c>
      <c r="D5" s="13" t="str">
        <f>IF(Tableau13456[[#This Row],[Repère]]="","",VLOOKUP(Tableau13456[[#This Row],[Repère]],Tableau1[#All],4,FALSE))</f>
        <v/>
      </c>
      <c r="E5" s="13" t="str">
        <f>IF(Tableau13456[[#This Row],[Repère]]="","",VLOOKUP(Tableau13456[[#This Row],[Repère]],Tableau1[#All],5,FALSE))</f>
        <v/>
      </c>
      <c r="F5" s="13" t="str">
        <f>IF(Tableau13456[[#This Row],[Repère]]="","",VLOOKUP(Tableau13456[[#This Row],[Repère]],Tableau1[#All],6,FALSE))</f>
        <v/>
      </c>
      <c r="G5" s="13" t="str">
        <f>IF(Tableau13456[[#This Row],[Repère]]="","",VLOOKUP(Tableau13456[[#This Row],[Repère]],Tableau1[#All],7,FALSE))</f>
        <v/>
      </c>
      <c r="H5" s="13" t="str">
        <f>IF(Tableau13456[[#This Row],[Repère]]="","",VLOOKUP(Tableau13456[[#This Row],[Repère]],Tableau1[#All],8,FALSE))</f>
        <v/>
      </c>
      <c r="I5" s="13" t="str">
        <f>IF(Tableau13456[[#This Row],[Repère]]="","",VLOOKUP(Tableau13456[[#This Row],[Repère]],Tableau1[#All],9,FALSE))</f>
        <v/>
      </c>
      <c r="J5" s="13" t="str">
        <f>IF(Tableau13456[[#This Row],[Repère]]="","",VLOOKUP(Tableau13456[[#This Row],[Repère]],Tableau1[#All],10,FALSE))</f>
        <v/>
      </c>
      <c r="K5" s="13" t="str">
        <f>IF(Tableau13456[[#This Row],[Repère]]="","",VLOOKUP(Tableau13456[[#This Row],[Repère]],Tableau1[#All],11,FALSE))</f>
        <v/>
      </c>
      <c r="L5" s="14" t="str">
        <f>IF(Tableau13456[[#This Row],[Repère]]="","",VLOOKUP(Tableau13456[[#This Row],[Repère]],Tableau1[#All],12,FALSE))</f>
        <v/>
      </c>
    </row>
    <row r="6" spans="1:12" x14ac:dyDescent="0.3">
      <c r="A6" s="18"/>
      <c r="B6" s="19"/>
      <c r="C6" s="13" t="str">
        <f>IF(Tableau13456[[#This Row],[Repère]]="","",VLOOKUP(Tableau13456[[#This Row],[Repère]],Tableau1[#All],3,FALSE))</f>
        <v/>
      </c>
      <c r="D6" s="13" t="str">
        <f>IF(Tableau13456[[#This Row],[Repère]]="","",VLOOKUP(Tableau13456[[#This Row],[Repère]],Tableau1[#All],4,FALSE))</f>
        <v/>
      </c>
      <c r="E6" s="13" t="str">
        <f>IF(Tableau13456[[#This Row],[Repère]]="","",VLOOKUP(Tableau13456[[#This Row],[Repère]],Tableau1[#All],5,FALSE))</f>
        <v/>
      </c>
      <c r="F6" s="13" t="str">
        <f>IF(Tableau13456[[#This Row],[Repère]]="","",VLOOKUP(Tableau13456[[#This Row],[Repère]],Tableau1[#All],6,FALSE))</f>
        <v/>
      </c>
      <c r="G6" s="13" t="str">
        <f>IF(Tableau13456[[#This Row],[Repère]]="","",VLOOKUP(Tableau13456[[#This Row],[Repère]],Tableau1[#All],7,FALSE))</f>
        <v/>
      </c>
      <c r="H6" s="13" t="str">
        <f>IF(Tableau13456[[#This Row],[Repère]]="","",VLOOKUP(Tableau13456[[#This Row],[Repère]],Tableau1[#All],8,FALSE))</f>
        <v/>
      </c>
      <c r="I6" s="13" t="str">
        <f>IF(Tableau13456[[#This Row],[Repère]]="","",VLOOKUP(Tableau13456[[#This Row],[Repère]],Tableau1[#All],9,FALSE))</f>
        <v/>
      </c>
      <c r="J6" s="13" t="str">
        <f>IF(Tableau13456[[#This Row],[Repère]]="","",VLOOKUP(Tableau13456[[#This Row],[Repère]],Tableau1[#All],10,FALSE))</f>
        <v/>
      </c>
      <c r="K6" s="13" t="str">
        <f>IF(Tableau13456[[#This Row],[Repère]]="","",VLOOKUP(Tableau13456[[#This Row],[Repère]],Tableau1[#All],11,FALSE))</f>
        <v/>
      </c>
      <c r="L6" s="14" t="str">
        <f>IF(Tableau13456[[#This Row],[Repère]]="","",VLOOKUP(Tableau13456[[#This Row],[Repère]],Tableau1[#All],12,FALSE))</f>
        <v/>
      </c>
    </row>
    <row r="7" spans="1:12" x14ac:dyDescent="0.3">
      <c r="A7" s="18"/>
      <c r="B7" s="19"/>
      <c r="C7" s="13" t="str">
        <f>IF(Tableau13456[[#This Row],[Repère]]="","",VLOOKUP(Tableau13456[[#This Row],[Repère]],Tableau1[#All],3,FALSE))</f>
        <v/>
      </c>
      <c r="D7" s="13" t="str">
        <f>IF(Tableau13456[[#This Row],[Repère]]="","",VLOOKUP(Tableau13456[[#This Row],[Repère]],Tableau1[#All],4,FALSE))</f>
        <v/>
      </c>
      <c r="E7" s="13" t="str">
        <f>IF(Tableau13456[[#This Row],[Repère]]="","",VLOOKUP(Tableau13456[[#This Row],[Repère]],Tableau1[#All],5,FALSE))</f>
        <v/>
      </c>
      <c r="F7" s="13" t="str">
        <f>IF(Tableau13456[[#This Row],[Repère]]="","",VLOOKUP(Tableau13456[[#This Row],[Repère]],Tableau1[#All],6,FALSE))</f>
        <v/>
      </c>
      <c r="G7" s="13" t="str">
        <f>IF(Tableau13456[[#This Row],[Repère]]="","",VLOOKUP(Tableau13456[[#This Row],[Repère]],Tableau1[#All],7,FALSE))</f>
        <v/>
      </c>
      <c r="H7" s="13" t="str">
        <f>IF(Tableau13456[[#This Row],[Repère]]="","",VLOOKUP(Tableau13456[[#This Row],[Repère]],Tableau1[#All],8,FALSE))</f>
        <v/>
      </c>
      <c r="I7" s="13" t="str">
        <f>IF(Tableau13456[[#This Row],[Repère]]="","",VLOOKUP(Tableau13456[[#This Row],[Repère]],Tableau1[#All],9,FALSE))</f>
        <v/>
      </c>
      <c r="J7" s="13" t="str">
        <f>IF(Tableau13456[[#This Row],[Repère]]="","",VLOOKUP(Tableau13456[[#This Row],[Repère]],Tableau1[#All],10,FALSE))</f>
        <v/>
      </c>
      <c r="K7" s="13" t="str">
        <f>IF(Tableau13456[[#This Row],[Repère]]="","",VLOOKUP(Tableau13456[[#This Row],[Repère]],Tableau1[#All],11,FALSE))</f>
        <v/>
      </c>
      <c r="L7" s="14" t="str">
        <f>IF(Tableau13456[[#This Row],[Repère]]="","",VLOOKUP(Tableau13456[[#This Row],[Repère]],Tableau1[#All],12,FALSE))</f>
        <v/>
      </c>
    </row>
    <row r="8" spans="1:12" x14ac:dyDescent="0.3">
      <c r="A8" s="18"/>
      <c r="B8" s="19"/>
      <c r="C8" s="13" t="str">
        <f>IF(Tableau13456[[#This Row],[Repère]]="","",VLOOKUP(Tableau13456[[#This Row],[Repère]],Tableau1[#All],3,FALSE))</f>
        <v/>
      </c>
      <c r="D8" s="13" t="str">
        <f>IF(Tableau13456[[#This Row],[Repère]]="","",VLOOKUP(Tableau13456[[#This Row],[Repère]],Tableau1[#All],4,FALSE))</f>
        <v/>
      </c>
      <c r="E8" s="13" t="str">
        <f>IF(Tableau13456[[#This Row],[Repère]]="","",VLOOKUP(Tableau13456[[#This Row],[Repère]],Tableau1[#All],5,FALSE))</f>
        <v/>
      </c>
      <c r="F8" s="13" t="str">
        <f>IF(Tableau13456[[#This Row],[Repère]]="","",VLOOKUP(Tableau13456[[#This Row],[Repère]],Tableau1[#All],6,FALSE))</f>
        <v/>
      </c>
      <c r="G8" s="13" t="str">
        <f>IF(Tableau13456[[#This Row],[Repère]]="","",VLOOKUP(Tableau13456[[#This Row],[Repère]],Tableau1[#All],7,FALSE))</f>
        <v/>
      </c>
      <c r="H8" s="13" t="str">
        <f>IF(Tableau13456[[#This Row],[Repère]]="","",VLOOKUP(Tableau13456[[#This Row],[Repère]],Tableau1[#All],8,FALSE))</f>
        <v/>
      </c>
      <c r="I8" s="13" t="str">
        <f>IF(Tableau13456[[#This Row],[Repère]]="","",VLOOKUP(Tableau13456[[#This Row],[Repère]],Tableau1[#All],9,FALSE))</f>
        <v/>
      </c>
      <c r="J8" s="13" t="str">
        <f>IF(Tableau13456[[#This Row],[Repère]]="","",VLOOKUP(Tableau13456[[#This Row],[Repère]],Tableau1[#All],10,FALSE))</f>
        <v/>
      </c>
      <c r="K8" s="13" t="str">
        <f>IF(Tableau13456[[#This Row],[Repère]]="","",VLOOKUP(Tableau13456[[#This Row],[Repère]],Tableau1[#All],11,FALSE))</f>
        <v/>
      </c>
      <c r="L8" s="14" t="str">
        <f>IF(Tableau13456[[#This Row],[Repère]]="","",VLOOKUP(Tableau13456[[#This Row],[Repère]],Tableau1[#All],12,FALSE))</f>
        <v/>
      </c>
    </row>
    <row r="9" spans="1:12" x14ac:dyDescent="0.3">
      <c r="A9" s="18"/>
      <c r="B9" s="19"/>
      <c r="C9" s="13" t="str">
        <f>IF(Tableau13456[[#This Row],[Repère]]="","",VLOOKUP(Tableau13456[[#This Row],[Repère]],Tableau1[#All],3,FALSE))</f>
        <v/>
      </c>
      <c r="D9" s="13" t="str">
        <f>IF(Tableau13456[[#This Row],[Repère]]="","",VLOOKUP(Tableau13456[[#This Row],[Repère]],Tableau1[#All],4,FALSE))</f>
        <v/>
      </c>
      <c r="E9" s="13" t="str">
        <f>IF(Tableau13456[[#This Row],[Repère]]="","",VLOOKUP(Tableau13456[[#This Row],[Repère]],Tableau1[#All],5,FALSE))</f>
        <v/>
      </c>
      <c r="F9" s="13" t="str">
        <f>IF(Tableau13456[[#This Row],[Repère]]="","",VLOOKUP(Tableau13456[[#This Row],[Repère]],Tableau1[#All],6,FALSE))</f>
        <v/>
      </c>
      <c r="G9" s="13" t="str">
        <f>IF(Tableau13456[[#This Row],[Repère]]="","",VLOOKUP(Tableau13456[[#This Row],[Repère]],Tableau1[#All],7,FALSE))</f>
        <v/>
      </c>
      <c r="H9" s="13" t="str">
        <f>IF(Tableau13456[[#This Row],[Repère]]="","",VLOOKUP(Tableau13456[[#This Row],[Repère]],Tableau1[#All],8,FALSE))</f>
        <v/>
      </c>
      <c r="I9" s="13" t="str">
        <f>IF(Tableau13456[[#This Row],[Repère]]="","",VLOOKUP(Tableau13456[[#This Row],[Repère]],Tableau1[#All],9,FALSE))</f>
        <v/>
      </c>
      <c r="J9" s="13" t="str">
        <f>IF(Tableau13456[[#This Row],[Repère]]="","",VLOOKUP(Tableau13456[[#This Row],[Repère]],Tableau1[#All],10,FALSE))</f>
        <v/>
      </c>
      <c r="K9" s="13" t="str">
        <f>IF(Tableau13456[[#This Row],[Repère]]="","",VLOOKUP(Tableau13456[[#This Row],[Repère]],Tableau1[#All],11,FALSE))</f>
        <v/>
      </c>
      <c r="L9" s="14" t="str">
        <f>IF(Tableau13456[[#This Row],[Repère]]="","",VLOOKUP(Tableau13456[[#This Row],[Repère]],Tableau1[#All],12,FALSE))</f>
        <v/>
      </c>
    </row>
    <row r="10" spans="1:12" x14ac:dyDescent="0.3">
      <c r="A10" s="18"/>
      <c r="B10" s="19"/>
      <c r="C10" s="13" t="str">
        <f>IF(Tableau13456[[#This Row],[Repère]]="","",VLOOKUP(Tableau13456[[#This Row],[Repère]],Tableau1[#All],3,FALSE))</f>
        <v/>
      </c>
      <c r="D10" s="13" t="str">
        <f>IF(Tableau13456[[#This Row],[Repère]]="","",VLOOKUP(Tableau13456[[#This Row],[Repère]],Tableau1[#All],4,FALSE))</f>
        <v/>
      </c>
      <c r="E10" s="13" t="str">
        <f>IF(Tableau13456[[#This Row],[Repère]]="","",VLOOKUP(Tableau13456[[#This Row],[Repère]],Tableau1[#All],5,FALSE))</f>
        <v/>
      </c>
      <c r="F10" s="13" t="str">
        <f>IF(Tableau13456[[#This Row],[Repère]]="","",VLOOKUP(Tableau13456[[#This Row],[Repère]],Tableau1[#All],6,FALSE))</f>
        <v/>
      </c>
      <c r="G10" s="13" t="str">
        <f>IF(Tableau13456[[#This Row],[Repère]]="","",VLOOKUP(Tableau13456[[#This Row],[Repère]],Tableau1[#All],7,FALSE))</f>
        <v/>
      </c>
      <c r="H10" s="13" t="str">
        <f>IF(Tableau13456[[#This Row],[Repère]]="","",VLOOKUP(Tableau13456[[#This Row],[Repère]],Tableau1[#All],8,FALSE))</f>
        <v/>
      </c>
      <c r="I10" s="13" t="str">
        <f>IF(Tableau13456[[#This Row],[Repère]]="","",VLOOKUP(Tableau13456[[#This Row],[Repère]],Tableau1[#All],9,FALSE))</f>
        <v/>
      </c>
      <c r="J10" s="13" t="str">
        <f>IF(Tableau13456[[#This Row],[Repère]]="","",VLOOKUP(Tableau13456[[#This Row],[Repère]],Tableau1[#All],10,FALSE))</f>
        <v/>
      </c>
      <c r="K10" s="13" t="str">
        <f>IF(Tableau13456[[#This Row],[Repère]]="","",VLOOKUP(Tableau13456[[#This Row],[Repère]],Tableau1[#All],11,FALSE))</f>
        <v/>
      </c>
      <c r="L10" s="14" t="str">
        <f>IF(Tableau13456[[#This Row],[Repère]]="","",VLOOKUP(Tableau13456[[#This Row],[Repère]],Tableau1[#All],12,FALSE))</f>
        <v/>
      </c>
    </row>
    <row r="11" spans="1:12" x14ac:dyDescent="0.3">
      <c r="A11" s="18"/>
      <c r="B11" s="19"/>
      <c r="C11" s="13" t="str">
        <f>IF(Tableau13456[[#This Row],[Repère]]="","",VLOOKUP(Tableau13456[[#This Row],[Repère]],Tableau1[#All],3,FALSE))</f>
        <v/>
      </c>
      <c r="D11" s="13" t="str">
        <f>IF(Tableau13456[[#This Row],[Repère]]="","",VLOOKUP(Tableau13456[[#This Row],[Repère]],Tableau1[#All],4,FALSE))</f>
        <v/>
      </c>
      <c r="E11" s="13" t="str">
        <f>IF(Tableau13456[[#This Row],[Repère]]="","",VLOOKUP(Tableau13456[[#This Row],[Repère]],Tableau1[#All],5,FALSE))</f>
        <v/>
      </c>
      <c r="F11" s="13" t="str">
        <f>IF(Tableau13456[[#This Row],[Repère]]="","",VLOOKUP(Tableau13456[[#This Row],[Repère]],Tableau1[#All],6,FALSE))</f>
        <v/>
      </c>
      <c r="G11" s="13" t="str">
        <f>IF(Tableau13456[[#This Row],[Repère]]="","",VLOOKUP(Tableau13456[[#This Row],[Repère]],Tableau1[#All],7,FALSE))</f>
        <v/>
      </c>
      <c r="H11" s="13" t="str">
        <f>IF(Tableau13456[[#This Row],[Repère]]="","",VLOOKUP(Tableau13456[[#This Row],[Repère]],Tableau1[#All],8,FALSE))</f>
        <v/>
      </c>
      <c r="I11" s="13" t="str">
        <f>IF(Tableau13456[[#This Row],[Repère]]="","",VLOOKUP(Tableau13456[[#This Row],[Repère]],Tableau1[#All],9,FALSE))</f>
        <v/>
      </c>
      <c r="J11" s="13" t="str">
        <f>IF(Tableau13456[[#This Row],[Repère]]="","",VLOOKUP(Tableau13456[[#This Row],[Repère]],Tableau1[#All],10,FALSE))</f>
        <v/>
      </c>
      <c r="K11" s="13" t="str">
        <f>IF(Tableau13456[[#This Row],[Repère]]="","",VLOOKUP(Tableau13456[[#This Row],[Repère]],Tableau1[#All],11,FALSE))</f>
        <v/>
      </c>
      <c r="L11" s="14" t="str">
        <f>IF(Tableau13456[[#This Row],[Repère]]="","",VLOOKUP(Tableau13456[[#This Row],[Repère]],Tableau1[#All],12,FALSE))</f>
        <v/>
      </c>
    </row>
    <row r="12" spans="1:12" x14ac:dyDescent="0.3">
      <c r="A12" s="18"/>
      <c r="B12" s="19"/>
      <c r="C12" s="13" t="str">
        <f>IF(Tableau13456[[#This Row],[Repère]]="","",VLOOKUP(Tableau13456[[#This Row],[Repère]],Tableau1[#All],3,FALSE))</f>
        <v/>
      </c>
      <c r="D12" s="13" t="str">
        <f>IF(Tableau13456[[#This Row],[Repère]]="","",VLOOKUP(Tableau13456[[#This Row],[Repère]],Tableau1[#All],4,FALSE))</f>
        <v/>
      </c>
      <c r="E12" s="13" t="str">
        <f>IF(Tableau13456[[#This Row],[Repère]]="","",VLOOKUP(Tableau13456[[#This Row],[Repère]],Tableau1[#All],5,FALSE))</f>
        <v/>
      </c>
      <c r="F12" s="13" t="str">
        <f>IF(Tableau13456[[#This Row],[Repère]]="","",VLOOKUP(Tableau13456[[#This Row],[Repère]],Tableau1[#All],6,FALSE))</f>
        <v/>
      </c>
      <c r="G12" s="13" t="str">
        <f>IF(Tableau13456[[#This Row],[Repère]]="","",VLOOKUP(Tableau13456[[#This Row],[Repère]],Tableau1[#All],7,FALSE))</f>
        <v/>
      </c>
      <c r="H12" s="13" t="str">
        <f>IF(Tableau13456[[#This Row],[Repère]]="","",VLOOKUP(Tableau13456[[#This Row],[Repère]],Tableau1[#All],8,FALSE))</f>
        <v/>
      </c>
      <c r="I12" s="13" t="str">
        <f>IF(Tableau13456[[#This Row],[Repère]]="","",VLOOKUP(Tableau13456[[#This Row],[Repère]],Tableau1[#All],9,FALSE))</f>
        <v/>
      </c>
      <c r="J12" s="13" t="str">
        <f>IF(Tableau13456[[#This Row],[Repère]]="","",VLOOKUP(Tableau13456[[#This Row],[Repère]],Tableau1[#All],10,FALSE))</f>
        <v/>
      </c>
      <c r="K12" s="13" t="str">
        <f>IF(Tableau13456[[#This Row],[Repère]]="","",VLOOKUP(Tableau13456[[#This Row],[Repère]],Tableau1[#All],11,FALSE))</f>
        <v/>
      </c>
      <c r="L12" s="14" t="str">
        <f>IF(Tableau13456[[#This Row],[Repère]]="","",VLOOKUP(Tableau13456[[#This Row],[Repère]],Tableau1[#All],12,FALSE))</f>
        <v/>
      </c>
    </row>
    <row r="13" spans="1:12" x14ac:dyDescent="0.3">
      <c r="A13" s="18"/>
      <c r="B13" s="19"/>
      <c r="C13" s="13" t="str">
        <f>IF(Tableau13456[[#This Row],[Repère]]="","",VLOOKUP(Tableau13456[[#This Row],[Repère]],Tableau1[#All],3,FALSE))</f>
        <v/>
      </c>
      <c r="D13" s="13" t="str">
        <f>IF(Tableau13456[[#This Row],[Repère]]="","",VLOOKUP(Tableau13456[[#This Row],[Repère]],Tableau1[#All],4,FALSE))</f>
        <v/>
      </c>
      <c r="E13" s="13" t="str">
        <f>IF(Tableau13456[[#This Row],[Repère]]="","",VLOOKUP(Tableau13456[[#This Row],[Repère]],Tableau1[#All],5,FALSE))</f>
        <v/>
      </c>
      <c r="F13" s="13" t="str">
        <f>IF(Tableau13456[[#This Row],[Repère]]="","",VLOOKUP(Tableau13456[[#This Row],[Repère]],Tableau1[#All],6,FALSE))</f>
        <v/>
      </c>
      <c r="G13" s="13" t="str">
        <f>IF(Tableau13456[[#This Row],[Repère]]="","",VLOOKUP(Tableau13456[[#This Row],[Repère]],Tableau1[#All],7,FALSE))</f>
        <v/>
      </c>
      <c r="H13" s="13" t="str">
        <f>IF(Tableau13456[[#This Row],[Repère]]="","",VLOOKUP(Tableau13456[[#This Row],[Repère]],Tableau1[#All],8,FALSE))</f>
        <v/>
      </c>
      <c r="I13" s="13" t="str">
        <f>IF(Tableau13456[[#This Row],[Repère]]="","",VLOOKUP(Tableau13456[[#This Row],[Repère]],Tableau1[#All],9,FALSE))</f>
        <v/>
      </c>
      <c r="J13" s="13" t="str">
        <f>IF(Tableau13456[[#This Row],[Repère]]="","",VLOOKUP(Tableau13456[[#This Row],[Repère]],Tableau1[#All],10,FALSE))</f>
        <v/>
      </c>
      <c r="K13" s="13" t="str">
        <f>IF(Tableau13456[[#This Row],[Repère]]="","",VLOOKUP(Tableau13456[[#This Row],[Repère]],Tableau1[#All],11,FALSE))</f>
        <v/>
      </c>
      <c r="L13" s="14" t="str">
        <f>IF(Tableau13456[[#This Row],[Repère]]="","",VLOOKUP(Tableau13456[[#This Row],[Repère]],Tableau1[#All],12,FALSE))</f>
        <v/>
      </c>
    </row>
    <row r="14" spans="1:12" x14ac:dyDescent="0.3">
      <c r="A14" s="18"/>
      <c r="B14" s="19"/>
      <c r="C14" s="13" t="str">
        <f>IF(Tableau13456[[#This Row],[Repère]]="","",VLOOKUP(Tableau13456[[#This Row],[Repère]],Tableau1[#All],3,FALSE))</f>
        <v/>
      </c>
      <c r="D14" s="13" t="str">
        <f>IF(Tableau13456[[#This Row],[Repère]]="","",VLOOKUP(Tableau13456[[#This Row],[Repère]],Tableau1[#All],4,FALSE))</f>
        <v/>
      </c>
      <c r="E14" s="13" t="str">
        <f>IF(Tableau13456[[#This Row],[Repère]]="","",VLOOKUP(Tableau13456[[#This Row],[Repère]],Tableau1[#All],5,FALSE))</f>
        <v/>
      </c>
      <c r="F14" s="13" t="str">
        <f>IF(Tableau13456[[#This Row],[Repère]]="","",VLOOKUP(Tableau13456[[#This Row],[Repère]],Tableau1[#All],6,FALSE))</f>
        <v/>
      </c>
      <c r="G14" s="13" t="str">
        <f>IF(Tableau13456[[#This Row],[Repère]]="","",VLOOKUP(Tableau13456[[#This Row],[Repère]],Tableau1[#All],7,FALSE))</f>
        <v/>
      </c>
      <c r="H14" s="13" t="str">
        <f>IF(Tableau13456[[#This Row],[Repère]]="","",VLOOKUP(Tableau13456[[#This Row],[Repère]],Tableau1[#All],8,FALSE))</f>
        <v/>
      </c>
      <c r="I14" s="13" t="str">
        <f>IF(Tableau13456[[#This Row],[Repère]]="","",VLOOKUP(Tableau13456[[#This Row],[Repère]],Tableau1[#All],9,FALSE))</f>
        <v/>
      </c>
      <c r="J14" s="13" t="str">
        <f>IF(Tableau13456[[#This Row],[Repère]]="","",VLOOKUP(Tableau13456[[#This Row],[Repère]],Tableau1[#All],10,FALSE))</f>
        <v/>
      </c>
      <c r="K14" s="13" t="str">
        <f>IF(Tableau13456[[#This Row],[Repère]]="","",VLOOKUP(Tableau13456[[#This Row],[Repère]],Tableau1[#All],11,FALSE))</f>
        <v/>
      </c>
      <c r="L14" s="14" t="str">
        <f>IF(Tableau13456[[#This Row],[Repère]]="","",VLOOKUP(Tableau13456[[#This Row],[Repère]],Tableau1[#All],12,FALSE))</f>
        <v/>
      </c>
    </row>
    <row r="15" spans="1:12" x14ac:dyDescent="0.3">
      <c r="A15" s="18"/>
      <c r="B15" s="19"/>
      <c r="C15" s="13" t="str">
        <f>IF(Tableau13456[[#This Row],[Repère]]="","",VLOOKUP(Tableau13456[[#This Row],[Repère]],Tableau1[#All],3,FALSE))</f>
        <v/>
      </c>
      <c r="D15" s="13" t="str">
        <f>IF(Tableau13456[[#This Row],[Repère]]="","",VLOOKUP(Tableau13456[[#This Row],[Repère]],Tableau1[#All],4,FALSE))</f>
        <v/>
      </c>
      <c r="E15" s="13" t="str">
        <f>IF(Tableau13456[[#This Row],[Repère]]="","",VLOOKUP(Tableau13456[[#This Row],[Repère]],Tableau1[#All],5,FALSE))</f>
        <v/>
      </c>
      <c r="F15" s="13" t="str">
        <f>IF(Tableau13456[[#This Row],[Repère]]="","",VLOOKUP(Tableau13456[[#This Row],[Repère]],Tableau1[#All],6,FALSE))</f>
        <v/>
      </c>
      <c r="G15" s="13" t="str">
        <f>IF(Tableau13456[[#This Row],[Repère]]="","",VLOOKUP(Tableau13456[[#This Row],[Repère]],Tableau1[#All],7,FALSE))</f>
        <v/>
      </c>
      <c r="H15" s="13" t="str">
        <f>IF(Tableau13456[[#This Row],[Repère]]="","",VLOOKUP(Tableau13456[[#This Row],[Repère]],Tableau1[#All],8,FALSE))</f>
        <v/>
      </c>
      <c r="I15" s="13" t="str">
        <f>IF(Tableau13456[[#This Row],[Repère]]="","",VLOOKUP(Tableau13456[[#This Row],[Repère]],Tableau1[#All],9,FALSE))</f>
        <v/>
      </c>
      <c r="J15" s="13" t="str">
        <f>IF(Tableau13456[[#This Row],[Repère]]="","",VLOOKUP(Tableau13456[[#This Row],[Repère]],Tableau1[#All],10,FALSE))</f>
        <v/>
      </c>
      <c r="K15" s="13" t="str">
        <f>IF(Tableau13456[[#This Row],[Repère]]="","",VLOOKUP(Tableau13456[[#This Row],[Repère]],Tableau1[#All],11,FALSE))</f>
        <v/>
      </c>
      <c r="L15" s="14" t="str">
        <f>IF(Tableau13456[[#This Row],[Repère]]="","",VLOOKUP(Tableau13456[[#This Row],[Repère]],Tableau1[#All],12,FALSE))</f>
        <v/>
      </c>
    </row>
    <row r="16" spans="1:12" x14ac:dyDescent="0.3">
      <c r="A16" s="18"/>
      <c r="B16" s="19"/>
      <c r="C16" s="13" t="str">
        <f>IF(Tableau13456[[#This Row],[Repère]]="","",VLOOKUP(Tableau13456[[#This Row],[Repère]],Tableau1[#All],3,FALSE))</f>
        <v/>
      </c>
      <c r="D16" s="13" t="str">
        <f>IF(Tableau13456[[#This Row],[Repère]]="","",VLOOKUP(Tableau13456[[#This Row],[Repère]],Tableau1[#All],4,FALSE))</f>
        <v/>
      </c>
      <c r="E16" s="13" t="str">
        <f>IF(Tableau13456[[#This Row],[Repère]]="","",VLOOKUP(Tableau13456[[#This Row],[Repère]],Tableau1[#All],5,FALSE))</f>
        <v/>
      </c>
      <c r="F16" s="13" t="str">
        <f>IF(Tableau13456[[#This Row],[Repère]]="","",VLOOKUP(Tableau13456[[#This Row],[Repère]],Tableau1[#All],6,FALSE))</f>
        <v/>
      </c>
      <c r="G16" s="13" t="str">
        <f>IF(Tableau13456[[#This Row],[Repère]]="","",VLOOKUP(Tableau13456[[#This Row],[Repère]],Tableau1[#All],7,FALSE))</f>
        <v/>
      </c>
      <c r="H16" s="13" t="str">
        <f>IF(Tableau13456[[#This Row],[Repère]]="","",VLOOKUP(Tableau13456[[#This Row],[Repère]],Tableau1[#All],8,FALSE))</f>
        <v/>
      </c>
      <c r="I16" s="13" t="str">
        <f>IF(Tableau13456[[#This Row],[Repère]]="","",VLOOKUP(Tableau13456[[#This Row],[Repère]],Tableau1[#All],9,FALSE))</f>
        <v/>
      </c>
      <c r="J16" s="13" t="str">
        <f>IF(Tableau13456[[#This Row],[Repère]]="","",VLOOKUP(Tableau13456[[#This Row],[Repère]],Tableau1[#All],10,FALSE))</f>
        <v/>
      </c>
      <c r="K16" s="13" t="str">
        <f>IF(Tableau13456[[#This Row],[Repère]]="","",VLOOKUP(Tableau13456[[#This Row],[Repère]],Tableau1[#All],11,FALSE))</f>
        <v/>
      </c>
      <c r="L16" s="14" t="str">
        <f>IF(Tableau13456[[#This Row],[Repère]]="","",VLOOKUP(Tableau13456[[#This Row],[Repère]],Tableau1[#All],12,FALSE))</f>
        <v/>
      </c>
    </row>
    <row r="17" spans="1:12" x14ac:dyDescent="0.3">
      <c r="A17" s="18"/>
      <c r="B17" s="19"/>
      <c r="C17" s="13" t="str">
        <f>IF(Tableau13456[[#This Row],[Repère]]="","",VLOOKUP(Tableau13456[[#This Row],[Repère]],Tableau1[#All],3,FALSE))</f>
        <v/>
      </c>
      <c r="D17" s="13" t="str">
        <f>IF(Tableau13456[[#This Row],[Repère]]="","",VLOOKUP(Tableau13456[[#This Row],[Repère]],Tableau1[#All],4,FALSE))</f>
        <v/>
      </c>
      <c r="E17" s="13" t="str">
        <f>IF(Tableau13456[[#This Row],[Repère]]="","",VLOOKUP(Tableau13456[[#This Row],[Repère]],Tableau1[#All],5,FALSE))</f>
        <v/>
      </c>
      <c r="F17" s="13" t="str">
        <f>IF(Tableau13456[[#This Row],[Repère]]="","",VLOOKUP(Tableau13456[[#This Row],[Repère]],Tableau1[#All],6,FALSE))</f>
        <v/>
      </c>
      <c r="G17" s="13" t="str">
        <f>IF(Tableau13456[[#This Row],[Repère]]="","",VLOOKUP(Tableau13456[[#This Row],[Repère]],Tableau1[#All],7,FALSE))</f>
        <v/>
      </c>
      <c r="H17" s="13" t="str">
        <f>IF(Tableau13456[[#This Row],[Repère]]="","",VLOOKUP(Tableau13456[[#This Row],[Repère]],Tableau1[#All],8,FALSE))</f>
        <v/>
      </c>
      <c r="I17" s="13" t="str">
        <f>IF(Tableau13456[[#This Row],[Repère]]="","",VLOOKUP(Tableau13456[[#This Row],[Repère]],Tableau1[#All],9,FALSE))</f>
        <v/>
      </c>
      <c r="J17" s="13" t="str">
        <f>IF(Tableau13456[[#This Row],[Repère]]="","",VLOOKUP(Tableau13456[[#This Row],[Repère]],Tableau1[#All],10,FALSE))</f>
        <v/>
      </c>
      <c r="K17" s="13" t="str">
        <f>IF(Tableau13456[[#This Row],[Repère]]="","",VLOOKUP(Tableau13456[[#This Row],[Repère]],Tableau1[#All],11,FALSE))</f>
        <v/>
      </c>
      <c r="L17" s="14" t="str">
        <f>IF(Tableau13456[[#This Row],[Repère]]="","",VLOOKUP(Tableau13456[[#This Row],[Repère]],Tableau1[#All],12,FALSE))</f>
        <v/>
      </c>
    </row>
    <row r="18" spans="1:12" x14ac:dyDescent="0.3">
      <c r="A18" s="18"/>
      <c r="B18" s="19"/>
      <c r="C18" s="13" t="str">
        <f>IF(Tableau13456[[#This Row],[Repère]]="","",VLOOKUP(Tableau13456[[#This Row],[Repère]],Tableau1[#All],3,FALSE))</f>
        <v/>
      </c>
      <c r="D18" s="13" t="str">
        <f>IF(Tableau13456[[#This Row],[Repère]]="","",VLOOKUP(Tableau13456[[#This Row],[Repère]],Tableau1[#All],4,FALSE))</f>
        <v/>
      </c>
      <c r="E18" s="13" t="str">
        <f>IF(Tableau13456[[#This Row],[Repère]]="","",VLOOKUP(Tableau13456[[#This Row],[Repère]],Tableau1[#All],5,FALSE))</f>
        <v/>
      </c>
      <c r="F18" s="13" t="str">
        <f>IF(Tableau13456[[#This Row],[Repère]]="","",VLOOKUP(Tableau13456[[#This Row],[Repère]],Tableau1[#All],6,FALSE))</f>
        <v/>
      </c>
      <c r="G18" s="13" t="str">
        <f>IF(Tableau13456[[#This Row],[Repère]]="","",VLOOKUP(Tableau13456[[#This Row],[Repère]],Tableau1[#All],7,FALSE))</f>
        <v/>
      </c>
      <c r="H18" s="13" t="str">
        <f>IF(Tableau13456[[#This Row],[Repère]]="","",VLOOKUP(Tableau13456[[#This Row],[Repère]],Tableau1[#All],8,FALSE))</f>
        <v/>
      </c>
      <c r="I18" s="13" t="str">
        <f>IF(Tableau13456[[#This Row],[Repère]]="","",VLOOKUP(Tableau13456[[#This Row],[Repère]],Tableau1[#All],9,FALSE))</f>
        <v/>
      </c>
      <c r="J18" s="13" t="str">
        <f>IF(Tableau13456[[#This Row],[Repère]]="","",VLOOKUP(Tableau13456[[#This Row],[Repère]],Tableau1[#All],10,FALSE))</f>
        <v/>
      </c>
      <c r="K18" s="13" t="str">
        <f>IF(Tableau13456[[#This Row],[Repère]]="","",VLOOKUP(Tableau13456[[#This Row],[Repère]],Tableau1[#All],11,FALSE))</f>
        <v/>
      </c>
      <c r="L18" s="14" t="str">
        <f>IF(Tableau13456[[#This Row],[Repère]]="","",VLOOKUP(Tableau13456[[#This Row],[Repère]],Tableau1[#All],12,FALSE))</f>
        <v/>
      </c>
    </row>
    <row r="19" spans="1:12" x14ac:dyDescent="0.3">
      <c r="A19" s="18"/>
      <c r="B19" s="19"/>
      <c r="C19" s="13" t="str">
        <f>IF(Tableau13456[[#This Row],[Repère]]="","",VLOOKUP(Tableau13456[[#This Row],[Repère]],Tableau1[#All],3,FALSE))</f>
        <v/>
      </c>
      <c r="D19" s="13" t="str">
        <f>IF(Tableau13456[[#This Row],[Repère]]="","",VLOOKUP(Tableau13456[[#This Row],[Repère]],Tableau1[#All],4,FALSE))</f>
        <v/>
      </c>
      <c r="E19" s="13" t="str">
        <f>IF(Tableau13456[[#This Row],[Repère]]="","",VLOOKUP(Tableau13456[[#This Row],[Repère]],Tableau1[#All],5,FALSE))</f>
        <v/>
      </c>
      <c r="F19" s="13" t="str">
        <f>IF(Tableau13456[[#This Row],[Repère]]="","",VLOOKUP(Tableau13456[[#This Row],[Repère]],Tableau1[#All],6,FALSE))</f>
        <v/>
      </c>
      <c r="G19" s="13" t="str">
        <f>IF(Tableau13456[[#This Row],[Repère]]="","",VLOOKUP(Tableau13456[[#This Row],[Repère]],Tableau1[#All],7,FALSE))</f>
        <v/>
      </c>
      <c r="H19" s="13" t="str">
        <f>IF(Tableau13456[[#This Row],[Repère]]="","",VLOOKUP(Tableau13456[[#This Row],[Repère]],Tableau1[#All],8,FALSE))</f>
        <v/>
      </c>
      <c r="I19" s="13" t="str">
        <f>IF(Tableau13456[[#This Row],[Repère]]="","",VLOOKUP(Tableau13456[[#This Row],[Repère]],Tableau1[#All],9,FALSE))</f>
        <v/>
      </c>
      <c r="J19" s="13" t="str">
        <f>IF(Tableau13456[[#This Row],[Repère]]="","",VLOOKUP(Tableau13456[[#This Row],[Repère]],Tableau1[#All],10,FALSE))</f>
        <v/>
      </c>
      <c r="K19" s="13" t="str">
        <f>IF(Tableau13456[[#This Row],[Repère]]="","",VLOOKUP(Tableau13456[[#This Row],[Repère]],Tableau1[#All],11,FALSE))</f>
        <v/>
      </c>
      <c r="L19" s="14" t="str">
        <f>IF(Tableau13456[[#This Row],[Repère]]="","",VLOOKUP(Tableau13456[[#This Row],[Repère]],Tableau1[#All],12,FALSE))</f>
        <v/>
      </c>
    </row>
    <row r="20" spans="1:12" x14ac:dyDescent="0.3">
      <c r="A20" s="18"/>
      <c r="B20" s="19"/>
      <c r="C20" s="13" t="str">
        <f>IF(Tableau13456[[#This Row],[Repère]]="","",VLOOKUP(Tableau13456[[#This Row],[Repère]],Tableau1[#All],3,FALSE))</f>
        <v/>
      </c>
      <c r="D20" s="13" t="str">
        <f>IF(Tableau13456[[#This Row],[Repère]]="","",VLOOKUP(Tableau13456[[#This Row],[Repère]],Tableau1[#All],4,FALSE))</f>
        <v/>
      </c>
      <c r="E20" s="13" t="str">
        <f>IF(Tableau13456[[#This Row],[Repère]]="","",VLOOKUP(Tableau13456[[#This Row],[Repère]],Tableau1[#All],5,FALSE))</f>
        <v/>
      </c>
      <c r="F20" s="13" t="str">
        <f>IF(Tableau13456[[#This Row],[Repère]]="","",VLOOKUP(Tableau13456[[#This Row],[Repère]],Tableau1[#All],6,FALSE))</f>
        <v/>
      </c>
      <c r="G20" s="13" t="str">
        <f>IF(Tableau13456[[#This Row],[Repère]]="","",VLOOKUP(Tableau13456[[#This Row],[Repère]],Tableau1[#All],7,FALSE))</f>
        <v/>
      </c>
      <c r="H20" s="13" t="str">
        <f>IF(Tableau13456[[#This Row],[Repère]]="","",VLOOKUP(Tableau13456[[#This Row],[Repère]],Tableau1[#All],8,FALSE))</f>
        <v/>
      </c>
      <c r="I20" s="13" t="str">
        <f>IF(Tableau13456[[#This Row],[Repère]]="","",VLOOKUP(Tableau13456[[#This Row],[Repère]],Tableau1[#All],9,FALSE))</f>
        <v/>
      </c>
      <c r="J20" s="13" t="str">
        <f>IF(Tableau13456[[#This Row],[Repère]]="","",VLOOKUP(Tableau13456[[#This Row],[Repère]],Tableau1[#All],10,FALSE))</f>
        <v/>
      </c>
      <c r="K20" s="13" t="str">
        <f>IF(Tableau13456[[#This Row],[Repère]]="","",VLOOKUP(Tableau13456[[#This Row],[Repère]],Tableau1[#All],11,FALSE))</f>
        <v/>
      </c>
      <c r="L20" s="14" t="str">
        <f>IF(Tableau13456[[#This Row],[Repère]]="","",VLOOKUP(Tableau13456[[#This Row],[Repère]],Tableau1[#All],12,FALSE))</f>
        <v/>
      </c>
    </row>
    <row r="21" spans="1:12" x14ac:dyDescent="0.3">
      <c r="A21" s="18"/>
      <c r="B21" s="19"/>
      <c r="C21" s="13" t="str">
        <f>IF(Tableau13456[[#This Row],[Repère]]="","",VLOOKUP(Tableau13456[[#This Row],[Repère]],Tableau1[#All],3,FALSE))</f>
        <v/>
      </c>
      <c r="D21" s="13" t="str">
        <f>IF(Tableau13456[[#This Row],[Repère]]="","",VLOOKUP(Tableau13456[[#This Row],[Repère]],Tableau1[#All],4,FALSE))</f>
        <v/>
      </c>
      <c r="E21" s="13" t="str">
        <f>IF(Tableau13456[[#This Row],[Repère]]="","",VLOOKUP(Tableau13456[[#This Row],[Repère]],Tableau1[#All],5,FALSE))</f>
        <v/>
      </c>
      <c r="F21" s="13" t="str">
        <f>IF(Tableau13456[[#This Row],[Repère]]="","",VLOOKUP(Tableau13456[[#This Row],[Repère]],Tableau1[#All],6,FALSE))</f>
        <v/>
      </c>
      <c r="G21" s="13" t="str">
        <f>IF(Tableau13456[[#This Row],[Repère]]="","",VLOOKUP(Tableau13456[[#This Row],[Repère]],Tableau1[#All],7,FALSE))</f>
        <v/>
      </c>
      <c r="H21" s="13" t="str">
        <f>IF(Tableau13456[[#This Row],[Repère]]="","",VLOOKUP(Tableau13456[[#This Row],[Repère]],Tableau1[#All],8,FALSE))</f>
        <v/>
      </c>
      <c r="I21" s="13" t="str">
        <f>IF(Tableau13456[[#This Row],[Repère]]="","",VLOOKUP(Tableau13456[[#This Row],[Repère]],Tableau1[#All],9,FALSE))</f>
        <v/>
      </c>
      <c r="J21" s="13" t="str">
        <f>IF(Tableau13456[[#This Row],[Repère]]="","",VLOOKUP(Tableau13456[[#This Row],[Repère]],Tableau1[#All],10,FALSE))</f>
        <v/>
      </c>
      <c r="K21" s="13" t="str">
        <f>IF(Tableau13456[[#This Row],[Repère]]="","",VLOOKUP(Tableau13456[[#This Row],[Repère]],Tableau1[#All],11,FALSE))</f>
        <v/>
      </c>
      <c r="L21" s="14" t="str">
        <f>IF(Tableau13456[[#This Row],[Repère]]="","",VLOOKUP(Tableau13456[[#This Row],[Repère]],Tableau1[#All],12,FALSE))</f>
        <v/>
      </c>
    </row>
    <row r="22" spans="1:12" x14ac:dyDescent="0.3">
      <c r="A22" s="18"/>
      <c r="B22" s="19"/>
      <c r="C22" s="13" t="str">
        <f>IF(Tableau13456[[#This Row],[Repère]]="","",VLOOKUP(Tableau13456[[#This Row],[Repère]],Tableau1[#All],3,FALSE))</f>
        <v/>
      </c>
      <c r="D22" s="13" t="str">
        <f>IF(Tableau13456[[#This Row],[Repère]]="","",VLOOKUP(Tableau13456[[#This Row],[Repère]],Tableau1[#All],4,FALSE))</f>
        <v/>
      </c>
      <c r="E22" s="13" t="str">
        <f>IF(Tableau13456[[#This Row],[Repère]]="","",VLOOKUP(Tableau13456[[#This Row],[Repère]],Tableau1[#All],5,FALSE))</f>
        <v/>
      </c>
      <c r="F22" s="13" t="str">
        <f>IF(Tableau13456[[#This Row],[Repère]]="","",VLOOKUP(Tableau13456[[#This Row],[Repère]],Tableau1[#All],6,FALSE))</f>
        <v/>
      </c>
      <c r="G22" s="13" t="str">
        <f>IF(Tableau13456[[#This Row],[Repère]]="","",VLOOKUP(Tableau13456[[#This Row],[Repère]],Tableau1[#All],7,FALSE))</f>
        <v/>
      </c>
      <c r="H22" s="13" t="str">
        <f>IF(Tableau13456[[#This Row],[Repère]]="","",VLOOKUP(Tableau13456[[#This Row],[Repère]],Tableau1[#All],8,FALSE))</f>
        <v/>
      </c>
      <c r="I22" s="13" t="str">
        <f>IF(Tableau13456[[#This Row],[Repère]]="","",VLOOKUP(Tableau13456[[#This Row],[Repère]],Tableau1[#All],9,FALSE))</f>
        <v/>
      </c>
      <c r="J22" s="13" t="str">
        <f>IF(Tableau13456[[#This Row],[Repère]]="","",VLOOKUP(Tableau13456[[#This Row],[Repère]],Tableau1[#All],10,FALSE))</f>
        <v/>
      </c>
      <c r="K22" s="13" t="str">
        <f>IF(Tableau13456[[#This Row],[Repère]]="","",VLOOKUP(Tableau13456[[#This Row],[Repère]],Tableau1[#All],11,FALSE))</f>
        <v/>
      </c>
      <c r="L22" s="14" t="str">
        <f>IF(Tableau13456[[#This Row],[Repère]]="","",VLOOKUP(Tableau13456[[#This Row],[Repère]],Tableau1[#All],12,FALSE))</f>
        <v/>
      </c>
    </row>
    <row r="23" spans="1:12" x14ac:dyDescent="0.3">
      <c r="A23" s="18"/>
      <c r="B23" s="19"/>
      <c r="C23" s="13" t="str">
        <f>IF(Tableau13456[[#This Row],[Repère]]="","",VLOOKUP(Tableau13456[[#This Row],[Repère]],Tableau1[#All],3,FALSE))</f>
        <v/>
      </c>
      <c r="D23" s="13" t="str">
        <f>IF(Tableau13456[[#This Row],[Repère]]="","",VLOOKUP(Tableau13456[[#This Row],[Repère]],Tableau1[#All],4,FALSE))</f>
        <v/>
      </c>
      <c r="E23" s="13" t="str">
        <f>IF(Tableau13456[[#This Row],[Repère]]="","",VLOOKUP(Tableau13456[[#This Row],[Repère]],Tableau1[#All],5,FALSE))</f>
        <v/>
      </c>
      <c r="F23" s="13" t="str">
        <f>IF(Tableau13456[[#This Row],[Repère]]="","",VLOOKUP(Tableau13456[[#This Row],[Repère]],Tableau1[#All],6,FALSE))</f>
        <v/>
      </c>
      <c r="G23" s="13" t="str">
        <f>IF(Tableau13456[[#This Row],[Repère]]="","",VLOOKUP(Tableau13456[[#This Row],[Repère]],Tableau1[#All],7,FALSE))</f>
        <v/>
      </c>
      <c r="H23" s="13" t="str">
        <f>IF(Tableau13456[[#This Row],[Repère]]="","",VLOOKUP(Tableau13456[[#This Row],[Repère]],Tableau1[#All],8,FALSE))</f>
        <v/>
      </c>
      <c r="I23" s="13" t="str">
        <f>IF(Tableau13456[[#This Row],[Repère]]="","",VLOOKUP(Tableau13456[[#This Row],[Repère]],Tableau1[#All],9,FALSE))</f>
        <v/>
      </c>
      <c r="J23" s="13" t="str">
        <f>IF(Tableau13456[[#This Row],[Repère]]="","",VLOOKUP(Tableau13456[[#This Row],[Repère]],Tableau1[#All],10,FALSE))</f>
        <v/>
      </c>
      <c r="K23" s="13" t="str">
        <f>IF(Tableau13456[[#This Row],[Repère]]="","",VLOOKUP(Tableau13456[[#This Row],[Repère]],Tableau1[#All],11,FALSE))</f>
        <v/>
      </c>
      <c r="L23" s="14" t="str">
        <f>IF(Tableau13456[[#This Row],[Repère]]="","",VLOOKUP(Tableau13456[[#This Row],[Repère]],Tableau1[#All],12,FALSE))</f>
        <v/>
      </c>
    </row>
    <row r="24" spans="1:12" x14ac:dyDescent="0.3">
      <c r="A24" s="18"/>
      <c r="B24" s="19"/>
      <c r="C24" s="13" t="str">
        <f>IF(Tableau13456[[#This Row],[Repère]]="","",VLOOKUP(Tableau13456[[#This Row],[Repère]],Tableau1[#All],3,FALSE))</f>
        <v/>
      </c>
      <c r="D24" s="13" t="str">
        <f>IF(Tableau13456[[#This Row],[Repère]]="","",VLOOKUP(Tableau13456[[#This Row],[Repère]],Tableau1[#All],4,FALSE))</f>
        <v/>
      </c>
      <c r="E24" s="13" t="str">
        <f>IF(Tableau13456[[#This Row],[Repère]]="","",VLOOKUP(Tableau13456[[#This Row],[Repère]],Tableau1[#All],5,FALSE))</f>
        <v/>
      </c>
      <c r="F24" s="13" t="str">
        <f>IF(Tableau13456[[#This Row],[Repère]]="","",VLOOKUP(Tableau13456[[#This Row],[Repère]],Tableau1[#All],6,FALSE))</f>
        <v/>
      </c>
      <c r="G24" s="13" t="str">
        <f>IF(Tableau13456[[#This Row],[Repère]]="","",VLOOKUP(Tableau13456[[#This Row],[Repère]],Tableau1[#All],7,FALSE))</f>
        <v/>
      </c>
      <c r="H24" s="13" t="str">
        <f>IF(Tableau13456[[#This Row],[Repère]]="","",VLOOKUP(Tableau13456[[#This Row],[Repère]],Tableau1[#All],8,FALSE))</f>
        <v/>
      </c>
      <c r="I24" s="13" t="str">
        <f>IF(Tableau13456[[#This Row],[Repère]]="","",VLOOKUP(Tableau13456[[#This Row],[Repère]],Tableau1[#All],9,FALSE))</f>
        <v/>
      </c>
      <c r="J24" s="13" t="str">
        <f>IF(Tableau13456[[#This Row],[Repère]]="","",VLOOKUP(Tableau13456[[#This Row],[Repère]],Tableau1[#All],10,FALSE))</f>
        <v/>
      </c>
      <c r="K24" s="13" t="str">
        <f>IF(Tableau13456[[#This Row],[Repère]]="","",VLOOKUP(Tableau13456[[#This Row],[Repère]],Tableau1[#All],11,FALSE))</f>
        <v/>
      </c>
      <c r="L24" s="14" t="str">
        <f>IF(Tableau13456[[#This Row],[Repère]]="","",VLOOKUP(Tableau13456[[#This Row],[Repère]],Tableau1[#All],12,FALSE))</f>
        <v/>
      </c>
    </row>
    <row r="25" spans="1:12" x14ac:dyDescent="0.3">
      <c r="A25" s="18"/>
      <c r="B25" s="19"/>
      <c r="C25" s="13" t="str">
        <f>IF(Tableau13456[[#This Row],[Repère]]="","",VLOOKUP(Tableau13456[[#This Row],[Repère]],Tableau1[#All],3,FALSE))</f>
        <v/>
      </c>
      <c r="D25" s="13" t="str">
        <f>IF(Tableau13456[[#This Row],[Repère]]="","",VLOOKUP(Tableau13456[[#This Row],[Repère]],Tableau1[#All],4,FALSE))</f>
        <v/>
      </c>
      <c r="E25" s="13" t="str">
        <f>IF(Tableau13456[[#This Row],[Repère]]="","",VLOOKUP(Tableau13456[[#This Row],[Repère]],Tableau1[#All],5,FALSE))</f>
        <v/>
      </c>
      <c r="F25" s="13" t="str">
        <f>IF(Tableau13456[[#This Row],[Repère]]="","",VLOOKUP(Tableau13456[[#This Row],[Repère]],Tableau1[#All],6,FALSE))</f>
        <v/>
      </c>
      <c r="G25" s="13" t="str">
        <f>IF(Tableau13456[[#This Row],[Repère]]="","",VLOOKUP(Tableau13456[[#This Row],[Repère]],Tableau1[#All],7,FALSE))</f>
        <v/>
      </c>
      <c r="H25" s="13" t="str">
        <f>IF(Tableau13456[[#This Row],[Repère]]="","",VLOOKUP(Tableau13456[[#This Row],[Repère]],Tableau1[#All],8,FALSE))</f>
        <v/>
      </c>
      <c r="I25" s="13" t="str">
        <f>IF(Tableau13456[[#This Row],[Repère]]="","",VLOOKUP(Tableau13456[[#This Row],[Repère]],Tableau1[#All],9,FALSE))</f>
        <v/>
      </c>
      <c r="J25" s="13" t="str">
        <f>IF(Tableau13456[[#This Row],[Repère]]="","",VLOOKUP(Tableau13456[[#This Row],[Repère]],Tableau1[#All],10,FALSE))</f>
        <v/>
      </c>
      <c r="K25" s="13" t="str">
        <f>IF(Tableau13456[[#This Row],[Repère]]="","",VLOOKUP(Tableau13456[[#This Row],[Repère]],Tableau1[#All],11,FALSE))</f>
        <v/>
      </c>
      <c r="L25" s="14" t="str">
        <f>IF(Tableau13456[[#This Row],[Repère]]="","",VLOOKUP(Tableau13456[[#This Row],[Repère]],Tableau1[#All],12,FALSE))</f>
        <v/>
      </c>
    </row>
    <row r="26" spans="1:12" x14ac:dyDescent="0.3">
      <c r="A26" s="18"/>
      <c r="B26" s="19"/>
      <c r="C26" s="13" t="str">
        <f>IF(Tableau13456[[#This Row],[Repère]]="","",VLOOKUP(Tableau13456[[#This Row],[Repère]],Tableau1[#All],3,FALSE))</f>
        <v/>
      </c>
      <c r="D26" s="13" t="str">
        <f>IF(Tableau13456[[#This Row],[Repère]]="","",VLOOKUP(Tableau13456[[#This Row],[Repère]],Tableau1[#All],4,FALSE))</f>
        <v/>
      </c>
      <c r="E26" s="13" t="str">
        <f>IF(Tableau13456[[#This Row],[Repère]]="","",VLOOKUP(Tableau13456[[#This Row],[Repère]],Tableau1[#All],5,FALSE))</f>
        <v/>
      </c>
      <c r="F26" s="13" t="str">
        <f>IF(Tableau13456[[#This Row],[Repère]]="","",VLOOKUP(Tableau13456[[#This Row],[Repère]],Tableau1[#All],6,FALSE))</f>
        <v/>
      </c>
      <c r="G26" s="13" t="str">
        <f>IF(Tableau13456[[#This Row],[Repère]]="","",VLOOKUP(Tableau13456[[#This Row],[Repère]],Tableau1[#All],7,FALSE))</f>
        <v/>
      </c>
      <c r="H26" s="13" t="str">
        <f>IF(Tableau13456[[#This Row],[Repère]]="","",VLOOKUP(Tableau13456[[#This Row],[Repère]],Tableau1[#All],8,FALSE))</f>
        <v/>
      </c>
      <c r="I26" s="13" t="str">
        <f>IF(Tableau13456[[#This Row],[Repère]]="","",VLOOKUP(Tableau13456[[#This Row],[Repère]],Tableau1[#All],9,FALSE))</f>
        <v/>
      </c>
      <c r="J26" s="13" t="str">
        <f>IF(Tableau13456[[#This Row],[Repère]]="","",VLOOKUP(Tableau13456[[#This Row],[Repère]],Tableau1[#All],10,FALSE))</f>
        <v/>
      </c>
      <c r="K26" s="13" t="str">
        <f>IF(Tableau13456[[#This Row],[Repère]]="","",VLOOKUP(Tableau13456[[#This Row],[Repère]],Tableau1[#All],11,FALSE))</f>
        <v/>
      </c>
      <c r="L26" s="14" t="str">
        <f>IF(Tableau13456[[#This Row],[Repère]]="","",VLOOKUP(Tableau13456[[#This Row],[Repère]],Tableau1[#All],12,FALSE))</f>
        <v/>
      </c>
    </row>
    <row r="27" spans="1:12" x14ac:dyDescent="0.3">
      <c r="A27" s="18"/>
      <c r="B27" s="19"/>
      <c r="C27" s="13" t="str">
        <f>IF(Tableau13456[[#This Row],[Repère]]="","",VLOOKUP(Tableau13456[[#This Row],[Repère]],Tableau1[#All],3,FALSE))</f>
        <v/>
      </c>
      <c r="D27" s="13" t="str">
        <f>IF(Tableau13456[[#This Row],[Repère]]="","",VLOOKUP(Tableau13456[[#This Row],[Repère]],Tableau1[#All],4,FALSE))</f>
        <v/>
      </c>
      <c r="E27" s="13" t="str">
        <f>IF(Tableau13456[[#This Row],[Repère]]="","",VLOOKUP(Tableau13456[[#This Row],[Repère]],Tableau1[#All],5,FALSE))</f>
        <v/>
      </c>
      <c r="F27" s="13" t="str">
        <f>IF(Tableau13456[[#This Row],[Repère]]="","",VLOOKUP(Tableau13456[[#This Row],[Repère]],Tableau1[#All],6,FALSE))</f>
        <v/>
      </c>
      <c r="G27" s="13" t="str">
        <f>IF(Tableau13456[[#This Row],[Repère]]="","",VLOOKUP(Tableau13456[[#This Row],[Repère]],Tableau1[#All],7,FALSE))</f>
        <v/>
      </c>
      <c r="H27" s="13" t="str">
        <f>IF(Tableau13456[[#This Row],[Repère]]="","",VLOOKUP(Tableau13456[[#This Row],[Repère]],Tableau1[#All],8,FALSE))</f>
        <v/>
      </c>
      <c r="I27" s="13" t="str">
        <f>IF(Tableau13456[[#This Row],[Repère]]="","",VLOOKUP(Tableau13456[[#This Row],[Repère]],Tableau1[#All],9,FALSE))</f>
        <v/>
      </c>
      <c r="J27" s="13" t="str">
        <f>IF(Tableau13456[[#This Row],[Repère]]="","",VLOOKUP(Tableau13456[[#This Row],[Repère]],Tableau1[#All],10,FALSE))</f>
        <v/>
      </c>
      <c r="K27" s="13" t="str">
        <f>IF(Tableau13456[[#This Row],[Repère]]="","",VLOOKUP(Tableau13456[[#This Row],[Repère]],Tableau1[#All],11,FALSE))</f>
        <v/>
      </c>
      <c r="L27" s="14" t="str">
        <f>IF(Tableau13456[[#This Row],[Repère]]="","",VLOOKUP(Tableau13456[[#This Row],[Repère]],Tableau1[#All],12,FALSE))</f>
        <v/>
      </c>
    </row>
    <row r="28" spans="1:12" x14ac:dyDescent="0.3">
      <c r="A28" s="18"/>
      <c r="B28" s="19"/>
      <c r="C28" s="13" t="str">
        <f>IF(Tableau13456[[#This Row],[Repère]]="","",VLOOKUP(Tableau13456[[#This Row],[Repère]],Tableau1[#All],3,FALSE))</f>
        <v/>
      </c>
      <c r="D28" s="13" t="str">
        <f>IF(Tableau13456[[#This Row],[Repère]]="","",VLOOKUP(Tableau13456[[#This Row],[Repère]],Tableau1[#All],4,FALSE))</f>
        <v/>
      </c>
      <c r="E28" s="13" t="str">
        <f>IF(Tableau13456[[#This Row],[Repère]]="","",VLOOKUP(Tableau13456[[#This Row],[Repère]],Tableau1[#All],5,FALSE))</f>
        <v/>
      </c>
      <c r="F28" s="13" t="str">
        <f>IF(Tableau13456[[#This Row],[Repère]]="","",VLOOKUP(Tableau13456[[#This Row],[Repère]],Tableau1[#All],6,FALSE))</f>
        <v/>
      </c>
      <c r="G28" s="13" t="str">
        <f>IF(Tableau13456[[#This Row],[Repère]]="","",VLOOKUP(Tableau13456[[#This Row],[Repère]],Tableau1[#All],7,FALSE))</f>
        <v/>
      </c>
      <c r="H28" s="13" t="str">
        <f>IF(Tableau13456[[#This Row],[Repère]]="","",VLOOKUP(Tableau13456[[#This Row],[Repère]],Tableau1[#All],8,FALSE))</f>
        <v/>
      </c>
      <c r="I28" s="13" t="str">
        <f>IF(Tableau13456[[#This Row],[Repère]]="","",VLOOKUP(Tableau13456[[#This Row],[Repère]],Tableau1[#All],9,FALSE))</f>
        <v/>
      </c>
      <c r="J28" s="13" t="str">
        <f>IF(Tableau13456[[#This Row],[Repère]]="","",VLOOKUP(Tableau13456[[#This Row],[Repère]],Tableau1[#All],10,FALSE))</f>
        <v/>
      </c>
      <c r="K28" s="13" t="str">
        <f>IF(Tableau13456[[#This Row],[Repère]]="","",VLOOKUP(Tableau13456[[#This Row],[Repère]],Tableau1[#All],11,FALSE))</f>
        <v/>
      </c>
      <c r="L28" s="14" t="str">
        <f>IF(Tableau13456[[#This Row],[Repère]]="","",VLOOKUP(Tableau13456[[#This Row],[Repère]],Tableau1[#All],12,FALSE))</f>
        <v/>
      </c>
    </row>
    <row r="29" spans="1:12" x14ac:dyDescent="0.3">
      <c r="A29" s="18"/>
      <c r="B29" s="19"/>
      <c r="C29" s="13" t="str">
        <f>IF(Tableau13456[[#This Row],[Repère]]="","",VLOOKUP(Tableau13456[[#This Row],[Repère]],Tableau1[#All],3,FALSE))</f>
        <v/>
      </c>
      <c r="D29" s="13" t="str">
        <f>IF(Tableau13456[[#This Row],[Repère]]="","",VLOOKUP(Tableau13456[[#This Row],[Repère]],Tableau1[#All],4,FALSE))</f>
        <v/>
      </c>
      <c r="E29" s="13" t="str">
        <f>IF(Tableau13456[[#This Row],[Repère]]="","",VLOOKUP(Tableau13456[[#This Row],[Repère]],Tableau1[#All],5,FALSE))</f>
        <v/>
      </c>
      <c r="F29" s="13" t="str">
        <f>IF(Tableau13456[[#This Row],[Repère]]="","",VLOOKUP(Tableau13456[[#This Row],[Repère]],Tableau1[#All],6,FALSE))</f>
        <v/>
      </c>
      <c r="G29" s="13" t="str">
        <f>IF(Tableau13456[[#This Row],[Repère]]="","",VLOOKUP(Tableau13456[[#This Row],[Repère]],Tableau1[#All],7,FALSE))</f>
        <v/>
      </c>
      <c r="H29" s="13" t="str">
        <f>IF(Tableau13456[[#This Row],[Repère]]="","",VLOOKUP(Tableau13456[[#This Row],[Repère]],Tableau1[#All],8,FALSE))</f>
        <v/>
      </c>
      <c r="I29" s="13" t="str">
        <f>IF(Tableau13456[[#This Row],[Repère]]="","",VLOOKUP(Tableau13456[[#This Row],[Repère]],Tableau1[#All],9,FALSE))</f>
        <v/>
      </c>
      <c r="J29" s="13" t="str">
        <f>IF(Tableau13456[[#This Row],[Repère]]="","",VLOOKUP(Tableau13456[[#This Row],[Repère]],Tableau1[#All],10,FALSE))</f>
        <v/>
      </c>
      <c r="K29" s="13" t="str">
        <f>IF(Tableau13456[[#This Row],[Repère]]="","",VLOOKUP(Tableau13456[[#This Row],[Repère]],Tableau1[#All],11,FALSE))</f>
        <v/>
      </c>
      <c r="L29" s="14" t="str">
        <f>IF(Tableau13456[[#This Row],[Repère]]="","",VLOOKUP(Tableau13456[[#This Row],[Repère]],Tableau1[#All],12,FALSE))</f>
        <v/>
      </c>
    </row>
    <row r="30" spans="1:12" x14ac:dyDescent="0.3">
      <c r="A30" s="18"/>
      <c r="B30" s="19"/>
      <c r="C30" s="13" t="str">
        <f>IF(Tableau13456[[#This Row],[Repère]]="","",VLOOKUP(Tableau13456[[#This Row],[Repère]],Tableau1[#All],3,FALSE))</f>
        <v/>
      </c>
      <c r="D30" s="13" t="str">
        <f>IF(Tableau13456[[#This Row],[Repère]]="","",VLOOKUP(Tableau13456[[#This Row],[Repère]],Tableau1[#All],4,FALSE))</f>
        <v/>
      </c>
      <c r="E30" s="13" t="str">
        <f>IF(Tableau13456[[#This Row],[Repère]]="","",VLOOKUP(Tableau13456[[#This Row],[Repère]],Tableau1[#All],5,FALSE))</f>
        <v/>
      </c>
      <c r="F30" s="13" t="str">
        <f>IF(Tableau13456[[#This Row],[Repère]]="","",VLOOKUP(Tableau13456[[#This Row],[Repère]],Tableau1[#All],6,FALSE))</f>
        <v/>
      </c>
      <c r="G30" s="13" t="str">
        <f>IF(Tableau13456[[#This Row],[Repère]]="","",VLOOKUP(Tableau13456[[#This Row],[Repère]],Tableau1[#All],7,FALSE))</f>
        <v/>
      </c>
      <c r="H30" s="13" t="str">
        <f>IF(Tableau13456[[#This Row],[Repère]]="","",VLOOKUP(Tableau13456[[#This Row],[Repère]],Tableau1[#All],8,FALSE))</f>
        <v/>
      </c>
      <c r="I30" s="13" t="str">
        <f>IF(Tableau13456[[#This Row],[Repère]]="","",VLOOKUP(Tableau13456[[#This Row],[Repère]],Tableau1[#All],9,FALSE))</f>
        <v/>
      </c>
      <c r="J30" s="13" t="str">
        <f>IF(Tableau13456[[#This Row],[Repère]]="","",VLOOKUP(Tableau13456[[#This Row],[Repère]],Tableau1[#All],10,FALSE))</f>
        <v/>
      </c>
      <c r="K30" s="13" t="str">
        <f>IF(Tableau13456[[#This Row],[Repère]]="","",VLOOKUP(Tableau13456[[#This Row],[Repère]],Tableau1[#All],11,FALSE))</f>
        <v/>
      </c>
      <c r="L30" s="14" t="str">
        <f>IF(Tableau13456[[#This Row],[Repère]]="","",VLOOKUP(Tableau13456[[#This Row],[Repère]],Tableau1[#All],12,FALSE))</f>
        <v/>
      </c>
    </row>
    <row r="31" spans="1:12" x14ac:dyDescent="0.3">
      <c r="A31" s="18"/>
      <c r="B31" s="19"/>
      <c r="C31" s="13" t="str">
        <f>IF(Tableau13456[[#This Row],[Repère]]="","",VLOOKUP(Tableau13456[[#This Row],[Repère]],Tableau1[#All],3,FALSE))</f>
        <v/>
      </c>
      <c r="D31" s="13" t="str">
        <f>IF(Tableau13456[[#This Row],[Repère]]="","",VLOOKUP(Tableau13456[[#This Row],[Repère]],Tableau1[#All],4,FALSE))</f>
        <v/>
      </c>
      <c r="E31" s="13" t="str">
        <f>IF(Tableau13456[[#This Row],[Repère]]="","",VLOOKUP(Tableau13456[[#This Row],[Repère]],Tableau1[#All],5,FALSE))</f>
        <v/>
      </c>
      <c r="F31" s="13" t="str">
        <f>IF(Tableau13456[[#This Row],[Repère]]="","",VLOOKUP(Tableau13456[[#This Row],[Repère]],Tableau1[#All],6,FALSE))</f>
        <v/>
      </c>
      <c r="G31" s="13" t="str">
        <f>IF(Tableau13456[[#This Row],[Repère]]="","",VLOOKUP(Tableau13456[[#This Row],[Repère]],Tableau1[#All],7,FALSE))</f>
        <v/>
      </c>
      <c r="H31" s="13" t="str">
        <f>IF(Tableau13456[[#This Row],[Repère]]="","",VLOOKUP(Tableau13456[[#This Row],[Repère]],Tableau1[#All],8,FALSE))</f>
        <v/>
      </c>
      <c r="I31" s="13" t="str">
        <f>IF(Tableau13456[[#This Row],[Repère]]="","",VLOOKUP(Tableau13456[[#This Row],[Repère]],Tableau1[#All],9,FALSE))</f>
        <v/>
      </c>
      <c r="J31" s="13" t="str">
        <f>IF(Tableau13456[[#This Row],[Repère]]="","",VLOOKUP(Tableau13456[[#This Row],[Repère]],Tableau1[#All],10,FALSE))</f>
        <v/>
      </c>
      <c r="K31" s="13" t="str">
        <f>IF(Tableau13456[[#This Row],[Repère]]="","",VLOOKUP(Tableau13456[[#This Row],[Repère]],Tableau1[#All],11,FALSE))</f>
        <v/>
      </c>
      <c r="L31" s="14" t="str">
        <f>IF(Tableau13456[[#This Row],[Repère]]="","",VLOOKUP(Tableau13456[[#This Row],[Repère]],Tableau1[#All],12,FALSE))</f>
        <v/>
      </c>
    </row>
    <row r="32" spans="1:12" x14ac:dyDescent="0.3">
      <c r="A32" s="18"/>
      <c r="B32" s="19"/>
      <c r="C32" s="13" t="str">
        <f>IF(Tableau13456[[#This Row],[Repère]]="","",VLOOKUP(Tableau13456[[#This Row],[Repère]],Tableau1[#All],3,FALSE))</f>
        <v/>
      </c>
      <c r="D32" s="13" t="str">
        <f>IF(Tableau13456[[#This Row],[Repère]]="","",VLOOKUP(Tableau13456[[#This Row],[Repère]],Tableau1[#All],4,FALSE))</f>
        <v/>
      </c>
      <c r="E32" s="13" t="str">
        <f>IF(Tableau13456[[#This Row],[Repère]]="","",VLOOKUP(Tableau13456[[#This Row],[Repère]],Tableau1[#All],5,FALSE))</f>
        <v/>
      </c>
      <c r="F32" s="13" t="str">
        <f>IF(Tableau13456[[#This Row],[Repère]]="","",VLOOKUP(Tableau13456[[#This Row],[Repère]],Tableau1[#All],6,FALSE))</f>
        <v/>
      </c>
      <c r="G32" s="13" t="str">
        <f>IF(Tableau13456[[#This Row],[Repère]]="","",VLOOKUP(Tableau13456[[#This Row],[Repère]],Tableau1[#All],7,FALSE))</f>
        <v/>
      </c>
      <c r="H32" s="13" t="str">
        <f>IF(Tableau13456[[#This Row],[Repère]]="","",VLOOKUP(Tableau13456[[#This Row],[Repère]],Tableau1[#All],8,FALSE))</f>
        <v/>
      </c>
      <c r="I32" s="13" t="str">
        <f>IF(Tableau13456[[#This Row],[Repère]]="","",VLOOKUP(Tableau13456[[#This Row],[Repère]],Tableau1[#All],9,FALSE))</f>
        <v/>
      </c>
      <c r="J32" s="13" t="str">
        <f>IF(Tableau13456[[#This Row],[Repère]]="","",VLOOKUP(Tableau13456[[#This Row],[Repère]],Tableau1[#All],10,FALSE))</f>
        <v/>
      </c>
      <c r="K32" s="13" t="str">
        <f>IF(Tableau13456[[#This Row],[Repère]]="","",VLOOKUP(Tableau13456[[#This Row],[Repère]],Tableau1[#All],11,FALSE))</f>
        <v/>
      </c>
      <c r="L32" s="14" t="str">
        <f>IF(Tableau13456[[#This Row],[Repère]]="","",VLOOKUP(Tableau13456[[#This Row],[Repère]],Tableau1[#All],12,FALSE))</f>
        <v/>
      </c>
    </row>
    <row r="33" spans="1:12" x14ac:dyDescent="0.3">
      <c r="A33" s="18"/>
      <c r="B33" s="19"/>
      <c r="C33" s="13" t="str">
        <f>IF(Tableau13456[[#This Row],[Repère]]="","",VLOOKUP(Tableau13456[[#This Row],[Repère]],Tableau1[#All],3,FALSE))</f>
        <v/>
      </c>
      <c r="D33" s="13" t="str">
        <f>IF(Tableau13456[[#This Row],[Repère]]="","",VLOOKUP(Tableau13456[[#This Row],[Repère]],Tableau1[#All],4,FALSE))</f>
        <v/>
      </c>
      <c r="E33" s="13" t="str">
        <f>IF(Tableau13456[[#This Row],[Repère]]="","",VLOOKUP(Tableau13456[[#This Row],[Repère]],Tableau1[#All],5,FALSE))</f>
        <v/>
      </c>
      <c r="F33" s="13" t="str">
        <f>IF(Tableau13456[[#This Row],[Repère]]="","",VLOOKUP(Tableau13456[[#This Row],[Repère]],Tableau1[#All],6,FALSE))</f>
        <v/>
      </c>
      <c r="G33" s="13" t="str">
        <f>IF(Tableau13456[[#This Row],[Repère]]="","",VLOOKUP(Tableau13456[[#This Row],[Repère]],Tableau1[#All],7,FALSE))</f>
        <v/>
      </c>
      <c r="H33" s="13" t="str">
        <f>IF(Tableau13456[[#This Row],[Repère]]="","",VLOOKUP(Tableau13456[[#This Row],[Repère]],Tableau1[#All],8,FALSE))</f>
        <v/>
      </c>
      <c r="I33" s="13" t="str">
        <f>IF(Tableau13456[[#This Row],[Repère]]="","",VLOOKUP(Tableau13456[[#This Row],[Repère]],Tableau1[#All],9,FALSE))</f>
        <v/>
      </c>
      <c r="J33" s="13" t="str">
        <f>IF(Tableau13456[[#This Row],[Repère]]="","",VLOOKUP(Tableau13456[[#This Row],[Repère]],Tableau1[#All],10,FALSE))</f>
        <v/>
      </c>
      <c r="K33" s="13" t="str">
        <f>IF(Tableau13456[[#This Row],[Repère]]="","",VLOOKUP(Tableau13456[[#This Row],[Repère]],Tableau1[#All],11,FALSE))</f>
        <v/>
      </c>
      <c r="L33" s="14" t="str">
        <f>IF(Tableau13456[[#This Row],[Repère]]="","",VLOOKUP(Tableau13456[[#This Row],[Repère]],Tableau1[#All],12,FALSE))</f>
        <v/>
      </c>
    </row>
    <row r="34" spans="1:12" x14ac:dyDescent="0.3">
      <c r="A34" s="18"/>
      <c r="B34" s="19"/>
      <c r="C34" s="13" t="str">
        <f>IF(Tableau13456[[#This Row],[Repère]]="","",VLOOKUP(Tableau13456[[#This Row],[Repère]],Tableau1[#All],3,FALSE))</f>
        <v/>
      </c>
      <c r="D34" s="13" t="str">
        <f>IF(Tableau13456[[#This Row],[Repère]]="","",VLOOKUP(Tableau13456[[#This Row],[Repère]],Tableau1[#All],4,FALSE))</f>
        <v/>
      </c>
      <c r="E34" s="13" t="str">
        <f>IF(Tableau13456[[#This Row],[Repère]]="","",VLOOKUP(Tableau13456[[#This Row],[Repère]],Tableau1[#All],5,FALSE))</f>
        <v/>
      </c>
      <c r="F34" s="13" t="str">
        <f>IF(Tableau13456[[#This Row],[Repère]]="","",VLOOKUP(Tableau13456[[#This Row],[Repère]],Tableau1[#All],6,FALSE))</f>
        <v/>
      </c>
      <c r="G34" s="13" t="str">
        <f>IF(Tableau13456[[#This Row],[Repère]]="","",VLOOKUP(Tableau13456[[#This Row],[Repère]],Tableau1[#All],7,FALSE))</f>
        <v/>
      </c>
      <c r="H34" s="13" t="str">
        <f>IF(Tableau13456[[#This Row],[Repère]]="","",VLOOKUP(Tableau13456[[#This Row],[Repère]],Tableau1[#All],8,FALSE))</f>
        <v/>
      </c>
      <c r="I34" s="13" t="str">
        <f>IF(Tableau13456[[#This Row],[Repère]]="","",VLOOKUP(Tableau13456[[#This Row],[Repère]],Tableau1[#All],9,FALSE))</f>
        <v/>
      </c>
      <c r="J34" s="13" t="str">
        <f>IF(Tableau13456[[#This Row],[Repère]]="","",VLOOKUP(Tableau13456[[#This Row],[Repère]],Tableau1[#All],10,FALSE))</f>
        <v/>
      </c>
      <c r="K34" s="13" t="str">
        <f>IF(Tableau13456[[#This Row],[Repère]]="","",VLOOKUP(Tableau13456[[#This Row],[Repère]],Tableau1[#All],11,FALSE))</f>
        <v/>
      </c>
      <c r="L34" s="14" t="str">
        <f>IF(Tableau13456[[#This Row],[Repère]]="","",VLOOKUP(Tableau13456[[#This Row],[Repère]],Tableau1[#All],12,FALSE))</f>
        <v/>
      </c>
    </row>
    <row r="35" spans="1:12" x14ac:dyDescent="0.3">
      <c r="A35" s="18"/>
      <c r="B35" s="19"/>
      <c r="C35" s="13" t="str">
        <f>IF(Tableau13456[[#This Row],[Repère]]="","",VLOOKUP(Tableau13456[[#This Row],[Repère]],Tableau1[#All],3,FALSE))</f>
        <v/>
      </c>
      <c r="D35" s="13" t="str">
        <f>IF(Tableau13456[[#This Row],[Repère]]="","",VLOOKUP(Tableau13456[[#This Row],[Repère]],Tableau1[#All],4,FALSE))</f>
        <v/>
      </c>
      <c r="E35" s="13" t="str">
        <f>IF(Tableau13456[[#This Row],[Repère]]="","",VLOOKUP(Tableau13456[[#This Row],[Repère]],Tableau1[#All],5,FALSE))</f>
        <v/>
      </c>
      <c r="F35" s="13" t="str">
        <f>IF(Tableau13456[[#This Row],[Repère]]="","",VLOOKUP(Tableau13456[[#This Row],[Repère]],Tableau1[#All],6,FALSE))</f>
        <v/>
      </c>
      <c r="G35" s="13" t="str">
        <f>IF(Tableau13456[[#This Row],[Repère]]="","",VLOOKUP(Tableau13456[[#This Row],[Repère]],Tableau1[#All],7,FALSE))</f>
        <v/>
      </c>
      <c r="H35" s="13" t="str">
        <f>IF(Tableau13456[[#This Row],[Repère]]="","",VLOOKUP(Tableau13456[[#This Row],[Repère]],Tableau1[#All],8,FALSE))</f>
        <v/>
      </c>
      <c r="I35" s="13" t="str">
        <f>IF(Tableau13456[[#This Row],[Repère]]="","",VLOOKUP(Tableau13456[[#This Row],[Repère]],Tableau1[#All],9,FALSE))</f>
        <v/>
      </c>
      <c r="J35" s="13" t="str">
        <f>IF(Tableau13456[[#This Row],[Repère]]="","",VLOOKUP(Tableau13456[[#This Row],[Repère]],Tableau1[#All],10,FALSE))</f>
        <v/>
      </c>
      <c r="K35" s="13" t="str">
        <f>IF(Tableau13456[[#This Row],[Repère]]="","",VLOOKUP(Tableau13456[[#This Row],[Repère]],Tableau1[#All],11,FALSE))</f>
        <v/>
      </c>
      <c r="L35" s="14" t="str">
        <f>IF(Tableau13456[[#This Row],[Repère]]="","",VLOOKUP(Tableau13456[[#This Row],[Repère]],Tableau1[#All],12,FALSE))</f>
        <v/>
      </c>
    </row>
    <row r="36" spans="1:12" x14ac:dyDescent="0.3">
      <c r="A36" s="18"/>
      <c r="B36" s="19"/>
      <c r="C36" s="13" t="str">
        <f>IF(Tableau13456[[#This Row],[Repère]]="","",VLOOKUP(Tableau13456[[#This Row],[Repère]],Tableau1[#All],3,FALSE))</f>
        <v/>
      </c>
      <c r="D36" s="13" t="str">
        <f>IF(Tableau13456[[#This Row],[Repère]]="","",VLOOKUP(Tableau13456[[#This Row],[Repère]],Tableau1[#All],4,FALSE))</f>
        <v/>
      </c>
      <c r="E36" s="13" t="str">
        <f>IF(Tableau13456[[#This Row],[Repère]]="","",VLOOKUP(Tableau13456[[#This Row],[Repère]],Tableau1[#All],5,FALSE))</f>
        <v/>
      </c>
      <c r="F36" s="13" t="str">
        <f>IF(Tableau13456[[#This Row],[Repère]]="","",VLOOKUP(Tableau13456[[#This Row],[Repère]],Tableau1[#All],6,FALSE))</f>
        <v/>
      </c>
      <c r="G36" s="13" t="str">
        <f>IF(Tableau13456[[#This Row],[Repère]]="","",VLOOKUP(Tableau13456[[#This Row],[Repère]],Tableau1[#All],7,FALSE))</f>
        <v/>
      </c>
      <c r="H36" s="13" t="str">
        <f>IF(Tableau13456[[#This Row],[Repère]]="","",VLOOKUP(Tableau13456[[#This Row],[Repère]],Tableau1[#All],8,FALSE))</f>
        <v/>
      </c>
      <c r="I36" s="13" t="str">
        <f>IF(Tableau13456[[#This Row],[Repère]]="","",VLOOKUP(Tableau13456[[#This Row],[Repère]],Tableau1[#All],9,FALSE))</f>
        <v/>
      </c>
      <c r="J36" s="13" t="str">
        <f>IF(Tableau13456[[#This Row],[Repère]]="","",VLOOKUP(Tableau13456[[#This Row],[Repère]],Tableau1[#All],10,FALSE))</f>
        <v/>
      </c>
      <c r="K36" s="13" t="str">
        <f>IF(Tableau13456[[#This Row],[Repère]]="","",VLOOKUP(Tableau13456[[#This Row],[Repère]],Tableau1[#All],11,FALSE))</f>
        <v/>
      </c>
      <c r="L36" s="14" t="str">
        <f>IF(Tableau13456[[#This Row],[Repère]]="","",VLOOKUP(Tableau13456[[#This Row],[Repère]],Tableau1[#All],12,FALSE))</f>
        <v/>
      </c>
    </row>
    <row r="37" spans="1:12" x14ac:dyDescent="0.3">
      <c r="A37" s="18"/>
      <c r="B37" s="19"/>
      <c r="C37" s="13" t="str">
        <f>IF(Tableau13456[[#This Row],[Repère]]="","",VLOOKUP(Tableau13456[[#This Row],[Repère]],Tableau1[#All],3,FALSE))</f>
        <v/>
      </c>
      <c r="D37" s="13" t="str">
        <f>IF(Tableau13456[[#This Row],[Repère]]="","",VLOOKUP(Tableau13456[[#This Row],[Repère]],Tableau1[#All],4,FALSE))</f>
        <v/>
      </c>
      <c r="E37" s="13" t="str">
        <f>IF(Tableau13456[[#This Row],[Repère]]="","",VLOOKUP(Tableau13456[[#This Row],[Repère]],Tableau1[#All],5,FALSE))</f>
        <v/>
      </c>
      <c r="F37" s="13" t="str">
        <f>IF(Tableau13456[[#This Row],[Repère]]="","",VLOOKUP(Tableau13456[[#This Row],[Repère]],Tableau1[#All],6,FALSE))</f>
        <v/>
      </c>
      <c r="G37" s="13" t="str">
        <f>IF(Tableau13456[[#This Row],[Repère]]="","",VLOOKUP(Tableau13456[[#This Row],[Repère]],Tableau1[#All],7,FALSE))</f>
        <v/>
      </c>
      <c r="H37" s="13" t="str">
        <f>IF(Tableau13456[[#This Row],[Repère]]="","",VLOOKUP(Tableau13456[[#This Row],[Repère]],Tableau1[#All],8,FALSE))</f>
        <v/>
      </c>
      <c r="I37" s="13" t="str">
        <f>IF(Tableau13456[[#This Row],[Repère]]="","",VLOOKUP(Tableau13456[[#This Row],[Repère]],Tableau1[#All],9,FALSE))</f>
        <v/>
      </c>
      <c r="J37" s="13" t="str">
        <f>IF(Tableau13456[[#This Row],[Repère]]="","",VLOOKUP(Tableau13456[[#This Row],[Repère]],Tableau1[#All],10,FALSE))</f>
        <v/>
      </c>
      <c r="K37" s="13" t="str">
        <f>IF(Tableau13456[[#This Row],[Repère]]="","",VLOOKUP(Tableau13456[[#This Row],[Repère]],Tableau1[#All],11,FALSE))</f>
        <v/>
      </c>
      <c r="L37" s="14" t="str">
        <f>IF(Tableau13456[[#This Row],[Repère]]="","",VLOOKUP(Tableau13456[[#This Row],[Repère]],Tableau1[#All],12,FALSE))</f>
        <v/>
      </c>
    </row>
    <row r="38" spans="1:12" x14ac:dyDescent="0.3">
      <c r="A38" s="18"/>
      <c r="B38" s="19"/>
      <c r="C38" s="13" t="str">
        <f>IF(Tableau13456[[#This Row],[Repère]]="","",VLOOKUP(Tableau13456[[#This Row],[Repère]],Tableau1[#All],3,FALSE))</f>
        <v/>
      </c>
      <c r="D38" s="13" t="str">
        <f>IF(Tableau13456[[#This Row],[Repère]]="","",VLOOKUP(Tableau13456[[#This Row],[Repère]],Tableau1[#All],4,FALSE))</f>
        <v/>
      </c>
      <c r="E38" s="13" t="str">
        <f>IF(Tableau13456[[#This Row],[Repère]]="","",VLOOKUP(Tableau13456[[#This Row],[Repère]],Tableau1[#All],5,FALSE))</f>
        <v/>
      </c>
      <c r="F38" s="13" t="str">
        <f>IF(Tableau13456[[#This Row],[Repère]]="","",VLOOKUP(Tableau13456[[#This Row],[Repère]],Tableau1[#All],6,FALSE))</f>
        <v/>
      </c>
      <c r="G38" s="13" t="str">
        <f>IF(Tableau13456[[#This Row],[Repère]]="","",VLOOKUP(Tableau13456[[#This Row],[Repère]],Tableau1[#All],7,FALSE))</f>
        <v/>
      </c>
      <c r="H38" s="13" t="str">
        <f>IF(Tableau13456[[#This Row],[Repère]]="","",VLOOKUP(Tableau13456[[#This Row],[Repère]],Tableau1[#All],8,FALSE))</f>
        <v/>
      </c>
      <c r="I38" s="13" t="str">
        <f>IF(Tableau13456[[#This Row],[Repère]]="","",VLOOKUP(Tableau13456[[#This Row],[Repère]],Tableau1[#All],9,FALSE))</f>
        <v/>
      </c>
      <c r="J38" s="13" t="str">
        <f>IF(Tableau13456[[#This Row],[Repère]]="","",VLOOKUP(Tableau13456[[#This Row],[Repère]],Tableau1[#All],10,FALSE))</f>
        <v/>
      </c>
      <c r="K38" s="13" t="str">
        <f>IF(Tableau13456[[#This Row],[Repère]]="","",VLOOKUP(Tableau13456[[#This Row],[Repère]],Tableau1[#All],11,FALSE))</f>
        <v/>
      </c>
      <c r="L38" s="14" t="str">
        <f>IF(Tableau13456[[#This Row],[Repère]]="","",VLOOKUP(Tableau13456[[#This Row],[Repère]],Tableau1[#All],12,FALSE))</f>
        <v/>
      </c>
    </row>
    <row r="39" spans="1:12" x14ac:dyDescent="0.3">
      <c r="A39" s="18"/>
      <c r="B39" s="19"/>
      <c r="C39" s="13" t="str">
        <f>IF(Tableau13456[[#This Row],[Repère]]="","",VLOOKUP(Tableau13456[[#This Row],[Repère]],Tableau1[#All],3,FALSE))</f>
        <v/>
      </c>
      <c r="D39" s="13" t="str">
        <f>IF(Tableau13456[[#This Row],[Repère]]="","",VLOOKUP(Tableau13456[[#This Row],[Repère]],Tableau1[#All],4,FALSE))</f>
        <v/>
      </c>
      <c r="E39" s="13" t="str">
        <f>IF(Tableau13456[[#This Row],[Repère]]="","",VLOOKUP(Tableau13456[[#This Row],[Repère]],Tableau1[#All],5,FALSE))</f>
        <v/>
      </c>
      <c r="F39" s="13" t="str">
        <f>IF(Tableau13456[[#This Row],[Repère]]="","",VLOOKUP(Tableau13456[[#This Row],[Repère]],Tableau1[#All],6,FALSE))</f>
        <v/>
      </c>
      <c r="G39" s="13" t="str">
        <f>IF(Tableau13456[[#This Row],[Repère]]="","",VLOOKUP(Tableau13456[[#This Row],[Repère]],Tableau1[#All],7,FALSE))</f>
        <v/>
      </c>
      <c r="H39" s="13" t="str">
        <f>IF(Tableau13456[[#This Row],[Repère]]="","",VLOOKUP(Tableau13456[[#This Row],[Repère]],Tableau1[#All],8,FALSE))</f>
        <v/>
      </c>
      <c r="I39" s="13" t="str">
        <f>IF(Tableau13456[[#This Row],[Repère]]="","",VLOOKUP(Tableau13456[[#This Row],[Repère]],Tableau1[#All],9,FALSE))</f>
        <v/>
      </c>
      <c r="J39" s="13" t="str">
        <f>IF(Tableau13456[[#This Row],[Repère]]="","",VLOOKUP(Tableau13456[[#This Row],[Repère]],Tableau1[#All],10,FALSE))</f>
        <v/>
      </c>
      <c r="K39" s="13" t="str">
        <f>IF(Tableau13456[[#This Row],[Repère]]="","",VLOOKUP(Tableau13456[[#This Row],[Repère]],Tableau1[#All],11,FALSE))</f>
        <v/>
      </c>
      <c r="L39" s="14" t="str">
        <f>IF(Tableau13456[[#This Row],[Repère]]="","",VLOOKUP(Tableau13456[[#This Row],[Repère]],Tableau1[#All],12,FALSE))</f>
        <v/>
      </c>
    </row>
    <row r="40" spans="1:12" x14ac:dyDescent="0.3">
      <c r="A40" s="18"/>
      <c r="B40" s="19"/>
      <c r="C40" s="13" t="str">
        <f>IF(Tableau13456[[#This Row],[Repère]]="","",VLOOKUP(Tableau13456[[#This Row],[Repère]],Tableau1[#All],3,FALSE))</f>
        <v/>
      </c>
      <c r="D40" s="13" t="str">
        <f>IF(Tableau13456[[#This Row],[Repère]]="","",VLOOKUP(Tableau13456[[#This Row],[Repère]],Tableau1[#All],4,FALSE))</f>
        <v/>
      </c>
      <c r="E40" s="13" t="str">
        <f>IF(Tableau13456[[#This Row],[Repère]]="","",VLOOKUP(Tableau13456[[#This Row],[Repère]],Tableau1[#All],5,FALSE))</f>
        <v/>
      </c>
      <c r="F40" s="13" t="str">
        <f>IF(Tableau13456[[#This Row],[Repère]]="","",VLOOKUP(Tableau13456[[#This Row],[Repère]],Tableau1[#All],6,FALSE))</f>
        <v/>
      </c>
      <c r="G40" s="13" t="str">
        <f>IF(Tableau13456[[#This Row],[Repère]]="","",VLOOKUP(Tableau13456[[#This Row],[Repère]],Tableau1[#All],7,FALSE))</f>
        <v/>
      </c>
      <c r="H40" s="13" t="str">
        <f>IF(Tableau13456[[#This Row],[Repère]]="","",VLOOKUP(Tableau13456[[#This Row],[Repère]],Tableau1[#All],8,FALSE))</f>
        <v/>
      </c>
      <c r="I40" s="13" t="str">
        <f>IF(Tableau13456[[#This Row],[Repère]]="","",VLOOKUP(Tableau13456[[#This Row],[Repère]],Tableau1[#All],9,FALSE))</f>
        <v/>
      </c>
      <c r="J40" s="13" t="str">
        <f>IF(Tableau13456[[#This Row],[Repère]]="","",VLOOKUP(Tableau13456[[#This Row],[Repère]],Tableau1[#All],10,FALSE))</f>
        <v/>
      </c>
      <c r="K40" s="13" t="str">
        <f>IF(Tableau13456[[#This Row],[Repère]]="","",VLOOKUP(Tableau13456[[#This Row],[Repère]],Tableau1[#All],11,FALSE))</f>
        <v/>
      </c>
      <c r="L40" s="14" t="str">
        <f>IF(Tableau13456[[#This Row],[Repère]]="","",VLOOKUP(Tableau13456[[#This Row],[Repère]],Tableau1[#All],12,FALSE))</f>
        <v/>
      </c>
    </row>
    <row r="41" spans="1:12" x14ac:dyDescent="0.3">
      <c r="A41" s="18"/>
      <c r="B41" s="19"/>
      <c r="C41" s="13" t="str">
        <f>IF(Tableau13456[[#This Row],[Repère]]="","",VLOOKUP(Tableau13456[[#This Row],[Repère]],Tableau1[#All],3,FALSE))</f>
        <v/>
      </c>
      <c r="D41" s="13" t="str">
        <f>IF(Tableau13456[[#This Row],[Repère]]="","",VLOOKUP(Tableau13456[[#This Row],[Repère]],Tableau1[#All],4,FALSE))</f>
        <v/>
      </c>
      <c r="E41" s="13" t="str">
        <f>IF(Tableau13456[[#This Row],[Repère]]="","",VLOOKUP(Tableau13456[[#This Row],[Repère]],Tableau1[#All],5,FALSE))</f>
        <v/>
      </c>
      <c r="F41" s="13" t="str">
        <f>IF(Tableau13456[[#This Row],[Repère]]="","",VLOOKUP(Tableau13456[[#This Row],[Repère]],Tableau1[#All],6,FALSE))</f>
        <v/>
      </c>
      <c r="G41" s="13" t="str">
        <f>IF(Tableau13456[[#This Row],[Repère]]="","",VLOOKUP(Tableau13456[[#This Row],[Repère]],Tableau1[#All],7,FALSE))</f>
        <v/>
      </c>
      <c r="H41" s="13" t="str">
        <f>IF(Tableau13456[[#This Row],[Repère]]="","",VLOOKUP(Tableau13456[[#This Row],[Repère]],Tableau1[#All],8,FALSE))</f>
        <v/>
      </c>
      <c r="I41" s="13" t="str">
        <f>IF(Tableau13456[[#This Row],[Repère]]="","",VLOOKUP(Tableau13456[[#This Row],[Repère]],Tableau1[#All],9,FALSE))</f>
        <v/>
      </c>
      <c r="J41" s="13" t="str">
        <f>IF(Tableau13456[[#This Row],[Repère]]="","",VLOOKUP(Tableau13456[[#This Row],[Repère]],Tableau1[#All],10,FALSE))</f>
        <v/>
      </c>
      <c r="K41" s="13" t="str">
        <f>IF(Tableau13456[[#This Row],[Repère]]="","",VLOOKUP(Tableau13456[[#This Row],[Repère]],Tableau1[#All],11,FALSE))</f>
        <v/>
      </c>
      <c r="L41" s="14" t="str">
        <f>IF(Tableau13456[[#This Row],[Repère]]="","",VLOOKUP(Tableau13456[[#This Row],[Repère]],Tableau1[#All],12,FALSE))</f>
        <v/>
      </c>
    </row>
    <row r="42" spans="1:12" x14ac:dyDescent="0.3">
      <c r="A42" s="18"/>
      <c r="B42" s="19"/>
      <c r="C42" s="13" t="str">
        <f>IF(Tableau13456[[#This Row],[Repère]]="","",VLOOKUP(Tableau13456[[#This Row],[Repère]],Tableau1[#All],3,FALSE))</f>
        <v/>
      </c>
      <c r="D42" s="13" t="str">
        <f>IF(Tableau13456[[#This Row],[Repère]]="","",VLOOKUP(Tableau13456[[#This Row],[Repère]],Tableau1[#All],4,FALSE))</f>
        <v/>
      </c>
      <c r="E42" s="13" t="str">
        <f>IF(Tableau13456[[#This Row],[Repère]]="","",VLOOKUP(Tableau13456[[#This Row],[Repère]],Tableau1[#All],5,FALSE))</f>
        <v/>
      </c>
      <c r="F42" s="13" t="str">
        <f>IF(Tableau13456[[#This Row],[Repère]]="","",VLOOKUP(Tableau13456[[#This Row],[Repère]],Tableau1[#All],6,FALSE))</f>
        <v/>
      </c>
      <c r="G42" s="13" t="str">
        <f>IF(Tableau13456[[#This Row],[Repère]]="","",VLOOKUP(Tableau13456[[#This Row],[Repère]],Tableau1[#All],7,FALSE))</f>
        <v/>
      </c>
      <c r="H42" s="13" t="str">
        <f>IF(Tableau13456[[#This Row],[Repère]]="","",VLOOKUP(Tableau13456[[#This Row],[Repère]],Tableau1[#All],8,FALSE))</f>
        <v/>
      </c>
      <c r="I42" s="13" t="str">
        <f>IF(Tableau13456[[#This Row],[Repère]]="","",VLOOKUP(Tableau13456[[#This Row],[Repère]],Tableau1[#All],9,FALSE))</f>
        <v/>
      </c>
      <c r="J42" s="13" t="str">
        <f>IF(Tableau13456[[#This Row],[Repère]]="","",VLOOKUP(Tableau13456[[#This Row],[Repère]],Tableau1[#All],10,FALSE))</f>
        <v/>
      </c>
      <c r="K42" s="13" t="str">
        <f>IF(Tableau13456[[#This Row],[Repère]]="","",VLOOKUP(Tableau13456[[#This Row],[Repère]],Tableau1[#All],11,FALSE))</f>
        <v/>
      </c>
      <c r="L42" s="14" t="str">
        <f>IF(Tableau13456[[#This Row],[Repère]]="","",VLOOKUP(Tableau13456[[#This Row],[Repère]],Tableau1[#All],12,FALSE))</f>
        <v/>
      </c>
    </row>
    <row r="43" spans="1:12" x14ac:dyDescent="0.3">
      <c r="A43" s="18"/>
      <c r="B43" s="19"/>
      <c r="C43" s="13" t="str">
        <f>IF(Tableau13456[[#This Row],[Repère]]="","",VLOOKUP(Tableau13456[[#This Row],[Repère]],Tableau1[#All],3,FALSE))</f>
        <v/>
      </c>
      <c r="D43" s="13" t="str">
        <f>IF(Tableau13456[[#This Row],[Repère]]="","",VLOOKUP(Tableau13456[[#This Row],[Repère]],Tableau1[#All],4,FALSE))</f>
        <v/>
      </c>
      <c r="E43" s="13" t="str">
        <f>IF(Tableau13456[[#This Row],[Repère]]="","",VLOOKUP(Tableau13456[[#This Row],[Repère]],Tableau1[#All],5,FALSE))</f>
        <v/>
      </c>
      <c r="F43" s="13" t="str">
        <f>IF(Tableau13456[[#This Row],[Repère]]="","",VLOOKUP(Tableau13456[[#This Row],[Repère]],Tableau1[#All],6,FALSE))</f>
        <v/>
      </c>
      <c r="G43" s="13" t="str">
        <f>IF(Tableau13456[[#This Row],[Repère]]="","",VLOOKUP(Tableau13456[[#This Row],[Repère]],Tableau1[#All],7,FALSE))</f>
        <v/>
      </c>
      <c r="H43" s="13" t="str">
        <f>IF(Tableau13456[[#This Row],[Repère]]="","",VLOOKUP(Tableau13456[[#This Row],[Repère]],Tableau1[#All],8,FALSE))</f>
        <v/>
      </c>
      <c r="I43" s="13" t="str">
        <f>IF(Tableau13456[[#This Row],[Repère]]="","",VLOOKUP(Tableau13456[[#This Row],[Repère]],Tableau1[#All],9,FALSE))</f>
        <v/>
      </c>
      <c r="J43" s="13" t="str">
        <f>IF(Tableau13456[[#This Row],[Repère]]="","",VLOOKUP(Tableau13456[[#This Row],[Repère]],Tableau1[#All],10,FALSE))</f>
        <v/>
      </c>
      <c r="K43" s="13" t="str">
        <f>IF(Tableau13456[[#This Row],[Repère]]="","",VLOOKUP(Tableau13456[[#This Row],[Repère]],Tableau1[#All],11,FALSE))</f>
        <v/>
      </c>
      <c r="L43" s="14" t="str">
        <f>IF(Tableau13456[[#This Row],[Repère]]="","",VLOOKUP(Tableau13456[[#This Row],[Repère]],Tableau1[#All],12,FALSE))</f>
        <v/>
      </c>
    </row>
    <row r="44" spans="1:12" x14ac:dyDescent="0.3">
      <c r="A44" s="18"/>
      <c r="B44" s="19"/>
      <c r="C44" s="13" t="str">
        <f>IF(Tableau13456[[#This Row],[Repère]]="","",VLOOKUP(Tableau13456[[#This Row],[Repère]],Tableau1[#All],3,FALSE))</f>
        <v/>
      </c>
      <c r="D44" s="13" t="str">
        <f>IF(Tableau13456[[#This Row],[Repère]]="","",VLOOKUP(Tableau13456[[#This Row],[Repère]],Tableau1[#All],4,FALSE))</f>
        <v/>
      </c>
      <c r="E44" s="13" t="str">
        <f>IF(Tableau13456[[#This Row],[Repère]]="","",VLOOKUP(Tableau13456[[#This Row],[Repère]],Tableau1[#All],5,FALSE))</f>
        <v/>
      </c>
      <c r="F44" s="13" t="str">
        <f>IF(Tableau13456[[#This Row],[Repère]]="","",VLOOKUP(Tableau13456[[#This Row],[Repère]],Tableau1[#All],6,FALSE))</f>
        <v/>
      </c>
      <c r="G44" s="13" t="str">
        <f>IF(Tableau13456[[#This Row],[Repère]]="","",VLOOKUP(Tableau13456[[#This Row],[Repère]],Tableau1[#All],7,FALSE))</f>
        <v/>
      </c>
      <c r="H44" s="13" t="str">
        <f>IF(Tableau13456[[#This Row],[Repère]]="","",VLOOKUP(Tableau13456[[#This Row],[Repère]],Tableau1[#All],8,FALSE))</f>
        <v/>
      </c>
      <c r="I44" s="13" t="str">
        <f>IF(Tableau13456[[#This Row],[Repère]]="","",VLOOKUP(Tableau13456[[#This Row],[Repère]],Tableau1[#All],9,FALSE))</f>
        <v/>
      </c>
      <c r="J44" s="13" t="str">
        <f>IF(Tableau13456[[#This Row],[Repère]]="","",VLOOKUP(Tableau13456[[#This Row],[Repère]],Tableau1[#All],10,FALSE))</f>
        <v/>
      </c>
      <c r="K44" s="13" t="str">
        <f>IF(Tableau13456[[#This Row],[Repère]]="","",VLOOKUP(Tableau13456[[#This Row],[Repère]],Tableau1[#All],11,FALSE))</f>
        <v/>
      </c>
      <c r="L44" s="14" t="str">
        <f>IF(Tableau13456[[#This Row],[Repère]]="","",VLOOKUP(Tableau13456[[#This Row],[Repère]],Tableau1[#All],12,FALSE))</f>
        <v/>
      </c>
    </row>
    <row r="45" spans="1:12" x14ac:dyDescent="0.3">
      <c r="A45" s="18"/>
      <c r="B45" s="19"/>
      <c r="C45" s="13" t="str">
        <f>IF(Tableau13456[[#This Row],[Repère]]="","",VLOOKUP(Tableau13456[[#This Row],[Repère]],Tableau1[#All],3,FALSE))</f>
        <v/>
      </c>
      <c r="D45" s="13" t="str">
        <f>IF(Tableau13456[[#This Row],[Repère]]="","",VLOOKUP(Tableau13456[[#This Row],[Repère]],Tableau1[#All],4,FALSE))</f>
        <v/>
      </c>
      <c r="E45" s="13" t="str">
        <f>IF(Tableau13456[[#This Row],[Repère]]="","",VLOOKUP(Tableau13456[[#This Row],[Repère]],Tableau1[#All],5,FALSE))</f>
        <v/>
      </c>
      <c r="F45" s="13" t="str">
        <f>IF(Tableau13456[[#This Row],[Repère]]="","",VLOOKUP(Tableau13456[[#This Row],[Repère]],Tableau1[#All],6,FALSE))</f>
        <v/>
      </c>
      <c r="G45" s="13" t="str">
        <f>IF(Tableau13456[[#This Row],[Repère]]="","",VLOOKUP(Tableau13456[[#This Row],[Repère]],Tableau1[#All],7,FALSE))</f>
        <v/>
      </c>
      <c r="H45" s="13" t="str">
        <f>IF(Tableau13456[[#This Row],[Repère]]="","",VLOOKUP(Tableau13456[[#This Row],[Repère]],Tableau1[#All],8,FALSE))</f>
        <v/>
      </c>
      <c r="I45" s="13" t="str">
        <f>IF(Tableau13456[[#This Row],[Repère]]="","",VLOOKUP(Tableau13456[[#This Row],[Repère]],Tableau1[#All],9,FALSE))</f>
        <v/>
      </c>
      <c r="J45" s="13" t="str">
        <f>IF(Tableau13456[[#This Row],[Repère]]="","",VLOOKUP(Tableau13456[[#This Row],[Repère]],Tableau1[#All],10,FALSE))</f>
        <v/>
      </c>
      <c r="K45" s="13" t="str">
        <f>IF(Tableau13456[[#This Row],[Repère]]="","",VLOOKUP(Tableau13456[[#This Row],[Repère]],Tableau1[#All],11,FALSE))</f>
        <v/>
      </c>
      <c r="L45" s="14" t="str">
        <f>IF(Tableau13456[[#This Row],[Repère]]="","",VLOOKUP(Tableau13456[[#This Row],[Repère]],Tableau1[#All],12,FALSE))</f>
        <v/>
      </c>
    </row>
    <row r="46" spans="1:12" x14ac:dyDescent="0.3">
      <c r="A46" s="18"/>
      <c r="B46" s="19"/>
      <c r="C46" s="13" t="str">
        <f>IF(Tableau13456[[#This Row],[Repère]]="","",VLOOKUP(Tableau13456[[#This Row],[Repère]],Tableau1[#All],3,FALSE))</f>
        <v/>
      </c>
      <c r="D46" s="13" t="str">
        <f>IF(Tableau13456[[#This Row],[Repère]]="","",VLOOKUP(Tableau13456[[#This Row],[Repère]],Tableau1[#All],4,FALSE))</f>
        <v/>
      </c>
      <c r="E46" s="13" t="str">
        <f>IF(Tableau13456[[#This Row],[Repère]]="","",VLOOKUP(Tableau13456[[#This Row],[Repère]],Tableau1[#All],5,FALSE))</f>
        <v/>
      </c>
      <c r="F46" s="13" t="str">
        <f>IF(Tableau13456[[#This Row],[Repère]]="","",VLOOKUP(Tableau13456[[#This Row],[Repère]],Tableau1[#All],6,FALSE))</f>
        <v/>
      </c>
      <c r="G46" s="13" t="str">
        <f>IF(Tableau13456[[#This Row],[Repère]]="","",VLOOKUP(Tableau13456[[#This Row],[Repère]],Tableau1[#All],7,FALSE))</f>
        <v/>
      </c>
      <c r="H46" s="13" t="str">
        <f>IF(Tableau13456[[#This Row],[Repère]]="","",VLOOKUP(Tableau13456[[#This Row],[Repère]],Tableau1[#All],8,FALSE))</f>
        <v/>
      </c>
      <c r="I46" s="13" t="str">
        <f>IF(Tableau13456[[#This Row],[Repère]]="","",VLOOKUP(Tableau13456[[#This Row],[Repère]],Tableau1[#All],9,FALSE))</f>
        <v/>
      </c>
      <c r="J46" s="13" t="str">
        <f>IF(Tableau13456[[#This Row],[Repère]]="","",VLOOKUP(Tableau13456[[#This Row],[Repère]],Tableau1[#All],10,FALSE))</f>
        <v/>
      </c>
      <c r="K46" s="13" t="str">
        <f>IF(Tableau13456[[#This Row],[Repère]]="","",VLOOKUP(Tableau13456[[#This Row],[Repère]],Tableau1[#All],11,FALSE))</f>
        <v/>
      </c>
      <c r="L46" s="14" t="str">
        <f>IF(Tableau13456[[#This Row],[Repère]]="","",VLOOKUP(Tableau13456[[#This Row],[Repère]],Tableau1[#All],12,FALSE))</f>
        <v/>
      </c>
    </row>
    <row r="47" spans="1:12" x14ac:dyDescent="0.3">
      <c r="A47" s="18"/>
      <c r="B47" s="19"/>
      <c r="C47" s="13" t="str">
        <f>IF(Tableau13456[[#This Row],[Repère]]="","",VLOOKUP(Tableau13456[[#This Row],[Repère]],Tableau1[#All],3,FALSE))</f>
        <v/>
      </c>
      <c r="D47" s="13" t="str">
        <f>IF(Tableau13456[[#This Row],[Repère]]="","",VLOOKUP(Tableau13456[[#This Row],[Repère]],Tableau1[#All],4,FALSE))</f>
        <v/>
      </c>
      <c r="E47" s="13" t="str">
        <f>IF(Tableau13456[[#This Row],[Repère]]="","",VLOOKUP(Tableau13456[[#This Row],[Repère]],Tableau1[#All],5,FALSE))</f>
        <v/>
      </c>
      <c r="F47" s="13" t="str">
        <f>IF(Tableau13456[[#This Row],[Repère]]="","",VLOOKUP(Tableau13456[[#This Row],[Repère]],Tableau1[#All],6,FALSE))</f>
        <v/>
      </c>
      <c r="G47" s="13" t="str">
        <f>IF(Tableau13456[[#This Row],[Repère]]="","",VLOOKUP(Tableau13456[[#This Row],[Repère]],Tableau1[#All],7,FALSE))</f>
        <v/>
      </c>
      <c r="H47" s="13" t="str">
        <f>IF(Tableau13456[[#This Row],[Repère]]="","",VLOOKUP(Tableau13456[[#This Row],[Repère]],Tableau1[#All],8,FALSE))</f>
        <v/>
      </c>
      <c r="I47" s="13" t="str">
        <f>IF(Tableau13456[[#This Row],[Repère]]="","",VLOOKUP(Tableau13456[[#This Row],[Repère]],Tableau1[#All],9,FALSE))</f>
        <v/>
      </c>
      <c r="J47" s="13" t="str">
        <f>IF(Tableau13456[[#This Row],[Repère]]="","",VLOOKUP(Tableau13456[[#This Row],[Repère]],Tableau1[#All],10,FALSE))</f>
        <v/>
      </c>
      <c r="K47" s="13" t="str">
        <f>IF(Tableau13456[[#This Row],[Repère]]="","",VLOOKUP(Tableau13456[[#This Row],[Repère]],Tableau1[#All],11,FALSE))</f>
        <v/>
      </c>
      <c r="L47" s="14" t="str">
        <f>IF(Tableau13456[[#This Row],[Repère]]="","",VLOOKUP(Tableau13456[[#This Row],[Repère]],Tableau1[#All],12,FALSE))</f>
        <v/>
      </c>
    </row>
    <row r="48" spans="1:12" x14ac:dyDescent="0.3">
      <c r="A48" s="18"/>
      <c r="B48" s="19"/>
      <c r="C48" s="13" t="str">
        <f>IF(Tableau13456[[#This Row],[Repère]]="","",VLOOKUP(Tableau13456[[#This Row],[Repère]],Tableau1[#All],3,FALSE))</f>
        <v/>
      </c>
      <c r="D48" s="13" t="str">
        <f>IF(Tableau13456[[#This Row],[Repère]]="","",VLOOKUP(Tableau13456[[#This Row],[Repère]],Tableau1[#All],4,FALSE))</f>
        <v/>
      </c>
      <c r="E48" s="13" t="str">
        <f>IF(Tableau13456[[#This Row],[Repère]]="","",VLOOKUP(Tableau13456[[#This Row],[Repère]],Tableau1[#All],5,FALSE))</f>
        <v/>
      </c>
      <c r="F48" s="13" t="str">
        <f>IF(Tableau13456[[#This Row],[Repère]]="","",VLOOKUP(Tableau13456[[#This Row],[Repère]],Tableau1[#All],6,FALSE))</f>
        <v/>
      </c>
      <c r="G48" s="13" t="str">
        <f>IF(Tableau13456[[#This Row],[Repère]]="","",VLOOKUP(Tableau13456[[#This Row],[Repère]],Tableau1[#All],7,FALSE))</f>
        <v/>
      </c>
      <c r="H48" s="13" t="str">
        <f>IF(Tableau13456[[#This Row],[Repère]]="","",VLOOKUP(Tableau13456[[#This Row],[Repère]],Tableau1[#All],8,FALSE))</f>
        <v/>
      </c>
      <c r="I48" s="13" t="str">
        <f>IF(Tableau13456[[#This Row],[Repère]]="","",VLOOKUP(Tableau13456[[#This Row],[Repère]],Tableau1[#All],9,FALSE))</f>
        <v/>
      </c>
      <c r="J48" s="13" t="str">
        <f>IF(Tableau13456[[#This Row],[Repère]]="","",VLOOKUP(Tableau13456[[#This Row],[Repère]],Tableau1[#All],10,FALSE))</f>
        <v/>
      </c>
      <c r="K48" s="13" t="str">
        <f>IF(Tableau13456[[#This Row],[Repère]]="","",VLOOKUP(Tableau13456[[#This Row],[Repère]],Tableau1[#All],11,FALSE))</f>
        <v/>
      </c>
      <c r="L48" s="14" t="str">
        <f>IF(Tableau13456[[#This Row],[Repère]]="","",VLOOKUP(Tableau13456[[#This Row],[Repère]],Tableau1[#All],12,FALSE))</f>
        <v/>
      </c>
    </row>
    <row r="49" spans="1:12" x14ac:dyDescent="0.3">
      <c r="A49" s="18"/>
      <c r="B49" s="19"/>
      <c r="C49" s="13" t="str">
        <f>IF(Tableau13456[[#This Row],[Repère]]="","",VLOOKUP(Tableau13456[[#This Row],[Repère]],Tableau1[#All],3,FALSE))</f>
        <v/>
      </c>
      <c r="D49" s="13" t="str">
        <f>IF(Tableau13456[[#This Row],[Repère]]="","",VLOOKUP(Tableau13456[[#This Row],[Repère]],Tableau1[#All],4,FALSE))</f>
        <v/>
      </c>
      <c r="E49" s="13" t="str">
        <f>IF(Tableau13456[[#This Row],[Repère]]="","",VLOOKUP(Tableau13456[[#This Row],[Repère]],Tableau1[#All],5,FALSE))</f>
        <v/>
      </c>
      <c r="F49" s="13" t="str">
        <f>IF(Tableau13456[[#This Row],[Repère]]="","",VLOOKUP(Tableau13456[[#This Row],[Repère]],Tableau1[#All],6,FALSE))</f>
        <v/>
      </c>
      <c r="G49" s="13" t="str">
        <f>IF(Tableau13456[[#This Row],[Repère]]="","",VLOOKUP(Tableau13456[[#This Row],[Repère]],Tableau1[#All],7,FALSE))</f>
        <v/>
      </c>
      <c r="H49" s="13" t="str">
        <f>IF(Tableau13456[[#This Row],[Repère]]="","",VLOOKUP(Tableau13456[[#This Row],[Repère]],Tableau1[#All],8,FALSE))</f>
        <v/>
      </c>
      <c r="I49" s="13" t="str">
        <f>IF(Tableau13456[[#This Row],[Repère]]="","",VLOOKUP(Tableau13456[[#This Row],[Repère]],Tableau1[#All],9,FALSE))</f>
        <v/>
      </c>
      <c r="J49" s="13" t="str">
        <f>IF(Tableau13456[[#This Row],[Repère]]="","",VLOOKUP(Tableau13456[[#This Row],[Repère]],Tableau1[#All],10,FALSE))</f>
        <v/>
      </c>
      <c r="K49" s="13" t="str">
        <f>IF(Tableau13456[[#This Row],[Repère]]="","",VLOOKUP(Tableau13456[[#This Row],[Repère]],Tableau1[#All],11,FALSE))</f>
        <v/>
      </c>
      <c r="L49" s="14" t="str">
        <f>IF(Tableau13456[[#This Row],[Repère]]="","",VLOOKUP(Tableau13456[[#This Row],[Repère]],Tableau1[#All],12,FALSE))</f>
        <v/>
      </c>
    </row>
    <row r="50" spans="1:12" x14ac:dyDescent="0.3">
      <c r="A50" s="18"/>
      <c r="B50" s="19"/>
      <c r="C50" s="13" t="str">
        <f>IF(Tableau13456[[#This Row],[Repère]]="","",VLOOKUP(Tableau13456[[#This Row],[Repère]],Tableau1[#All],3,FALSE))</f>
        <v/>
      </c>
      <c r="D50" s="13" t="str">
        <f>IF(Tableau13456[[#This Row],[Repère]]="","",VLOOKUP(Tableau13456[[#This Row],[Repère]],Tableau1[#All],4,FALSE))</f>
        <v/>
      </c>
      <c r="E50" s="13" t="str">
        <f>IF(Tableau13456[[#This Row],[Repère]]="","",VLOOKUP(Tableau13456[[#This Row],[Repère]],Tableau1[#All],5,FALSE))</f>
        <v/>
      </c>
      <c r="F50" s="13" t="str">
        <f>IF(Tableau13456[[#This Row],[Repère]]="","",VLOOKUP(Tableau13456[[#This Row],[Repère]],Tableau1[#All],6,FALSE))</f>
        <v/>
      </c>
      <c r="G50" s="13" t="str">
        <f>IF(Tableau13456[[#This Row],[Repère]]="","",VLOOKUP(Tableau13456[[#This Row],[Repère]],Tableau1[#All],7,FALSE))</f>
        <v/>
      </c>
      <c r="H50" s="13" t="str">
        <f>IF(Tableau13456[[#This Row],[Repère]]="","",VLOOKUP(Tableau13456[[#This Row],[Repère]],Tableau1[#All],8,FALSE))</f>
        <v/>
      </c>
      <c r="I50" s="13" t="str">
        <f>IF(Tableau13456[[#This Row],[Repère]]="","",VLOOKUP(Tableau13456[[#This Row],[Repère]],Tableau1[#All],9,FALSE))</f>
        <v/>
      </c>
      <c r="J50" s="13" t="str">
        <f>IF(Tableau13456[[#This Row],[Repère]]="","",VLOOKUP(Tableau13456[[#This Row],[Repère]],Tableau1[#All],10,FALSE))</f>
        <v/>
      </c>
      <c r="K50" s="13" t="str">
        <f>IF(Tableau13456[[#This Row],[Repère]]="","",VLOOKUP(Tableau13456[[#This Row],[Repère]],Tableau1[#All],11,FALSE))</f>
        <v/>
      </c>
      <c r="L50" s="14" t="str">
        <f>IF(Tableau13456[[#This Row],[Repère]]="","",VLOOKUP(Tableau13456[[#This Row],[Repère]],Tableau1[#All],12,FALSE))</f>
        <v/>
      </c>
    </row>
    <row r="51" spans="1:12" x14ac:dyDescent="0.3">
      <c r="A51" s="18"/>
      <c r="B51" s="19"/>
      <c r="C51" s="13" t="str">
        <f>IF(Tableau13456[[#This Row],[Repère]]="","",VLOOKUP(Tableau13456[[#This Row],[Repère]],Tableau1[#All],3,FALSE))</f>
        <v/>
      </c>
      <c r="D51" s="13" t="str">
        <f>IF(Tableau13456[[#This Row],[Repère]]="","",VLOOKUP(Tableau13456[[#This Row],[Repère]],Tableau1[#All],4,FALSE))</f>
        <v/>
      </c>
      <c r="E51" s="13" t="str">
        <f>IF(Tableau13456[[#This Row],[Repère]]="","",VLOOKUP(Tableau13456[[#This Row],[Repère]],Tableau1[#All],5,FALSE))</f>
        <v/>
      </c>
      <c r="F51" s="13" t="str">
        <f>IF(Tableau13456[[#This Row],[Repère]]="","",VLOOKUP(Tableau13456[[#This Row],[Repère]],Tableau1[#All],6,FALSE))</f>
        <v/>
      </c>
      <c r="G51" s="13" t="str">
        <f>IF(Tableau13456[[#This Row],[Repère]]="","",VLOOKUP(Tableau13456[[#This Row],[Repère]],Tableau1[#All],7,FALSE))</f>
        <v/>
      </c>
      <c r="H51" s="13" t="str">
        <f>IF(Tableau13456[[#This Row],[Repère]]="","",VLOOKUP(Tableau13456[[#This Row],[Repère]],Tableau1[#All],8,FALSE))</f>
        <v/>
      </c>
      <c r="I51" s="13" t="str">
        <f>IF(Tableau13456[[#This Row],[Repère]]="","",VLOOKUP(Tableau13456[[#This Row],[Repère]],Tableau1[#All],9,FALSE))</f>
        <v/>
      </c>
      <c r="J51" s="13" t="str">
        <f>IF(Tableau13456[[#This Row],[Repère]]="","",VLOOKUP(Tableau13456[[#This Row],[Repère]],Tableau1[#All],10,FALSE))</f>
        <v/>
      </c>
      <c r="K51" s="13" t="str">
        <f>IF(Tableau13456[[#This Row],[Repère]]="","",VLOOKUP(Tableau13456[[#This Row],[Repère]],Tableau1[#All],11,FALSE))</f>
        <v/>
      </c>
      <c r="L51" s="14" t="str">
        <f>IF(Tableau13456[[#This Row],[Repère]]="","",VLOOKUP(Tableau13456[[#This Row],[Repère]],Tableau1[#All],12,FALSE))</f>
        <v/>
      </c>
    </row>
    <row r="52" spans="1:12" x14ac:dyDescent="0.3">
      <c r="A52" s="18"/>
      <c r="B52" s="19"/>
      <c r="C52" s="13" t="str">
        <f>IF(Tableau13456[[#This Row],[Repère]]="","",VLOOKUP(Tableau13456[[#This Row],[Repère]],Tableau1[#All],3,FALSE))</f>
        <v/>
      </c>
      <c r="D52" s="13" t="str">
        <f>IF(Tableau13456[[#This Row],[Repère]]="","",VLOOKUP(Tableau13456[[#This Row],[Repère]],Tableau1[#All],4,FALSE))</f>
        <v/>
      </c>
      <c r="E52" s="13" t="str">
        <f>IF(Tableau13456[[#This Row],[Repère]]="","",VLOOKUP(Tableau13456[[#This Row],[Repère]],Tableau1[#All],5,FALSE))</f>
        <v/>
      </c>
      <c r="F52" s="13" t="str">
        <f>IF(Tableau13456[[#This Row],[Repère]]="","",VLOOKUP(Tableau13456[[#This Row],[Repère]],Tableau1[#All],6,FALSE))</f>
        <v/>
      </c>
      <c r="G52" s="13" t="str">
        <f>IF(Tableau13456[[#This Row],[Repère]]="","",VLOOKUP(Tableau13456[[#This Row],[Repère]],Tableau1[#All],7,FALSE))</f>
        <v/>
      </c>
      <c r="H52" s="13" t="str">
        <f>IF(Tableau13456[[#This Row],[Repère]]="","",VLOOKUP(Tableau13456[[#This Row],[Repère]],Tableau1[#All],8,FALSE))</f>
        <v/>
      </c>
      <c r="I52" s="13" t="str">
        <f>IF(Tableau13456[[#This Row],[Repère]]="","",VLOOKUP(Tableau13456[[#This Row],[Repère]],Tableau1[#All],9,FALSE))</f>
        <v/>
      </c>
      <c r="J52" s="13" t="str">
        <f>IF(Tableau13456[[#This Row],[Repère]]="","",VLOOKUP(Tableau13456[[#This Row],[Repère]],Tableau1[#All],10,FALSE))</f>
        <v/>
      </c>
      <c r="K52" s="13" t="str">
        <f>IF(Tableau13456[[#This Row],[Repère]]="","",VLOOKUP(Tableau13456[[#This Row],[Repère]],Tableau1[#All],11,FALSE))</f>
        <v/>
      </c>
      <c r="L52" s="14" t="str">
        <f>IF(Tableau13456[[#This Row],[Repère]]="","",VLOOKUP(Tableau13456[[#This Row],[Repère]],Tableau1[#All],12,FALSE))</f>
        <v/>
      </c>
    </row>
    <row r="53" spans="1:12" x14ac:dyDescent="0.3">
      <c r="A53" s="18"/>
      <c r="B53" s="19"/>
      <c r="C53" s="13" t="str">
        <f>IF(Tableau13456[[#This Row],[Repère]]="","",VLOOKUP(Tableau13456[[#This Row],[Repère]],Tableau1[#All],3,FALSE))</f>
        <v/>
      </c>
      <c r="D53" s="13" t="str">
        <f>IF(Tableau13456[[#This Row],[Repère]]="","",VLOOKUP(Tableau13456[[#This Row],[Repère]],Tableau1[#All],4,FALSE))</f>
        <v/>
      </c>
      <c r="E53" s="13" t="str">
        <f>IF(Tableau13456[[#This Row],[Repère]]="","",VLOOKUP(Tableau13456[[#This Row],[Repère]],Tableau1[#All],5,FALSE))</f>
        <v/>
      </c>
      <c r="F53" s="13" t="str">
        <f>IF(Tableau13456[[#This Row],[Repère]]="","",VLOOKUP(Tableau13456[[#This Row],[Repère]],Tableau1[#All],6,FALSE))</f>
        <v/>
      </c>
      <c r="G53" s="13" t="str">
        <f>IF(Tableau13456[[#This Row],[Repère]]="","",VLOOKUP(Tableau13456[[#This Row],[Repère]],Tableau1[#All],7,FALSE))</f>
        <v/>
      </c>
      <c r="H53" s="13" t="str">
        <f>IF(Tableau13456[[#This Row],[Repère]]="","",VLOOKUP(Tableau13456[[#This Row],[Repère]],Tableau1[#All],8,FALSE))</f>
        <v/>
      </c>
      <c r="I53" s="13" t="str">
        <f>IF(Tableau13456[[#This Row],[Repère]]="","",VLOOKUP(Tableau13456[[#This Row],[Repère]],Tableau1[#All],9,FALSE))</f>
        <v/>
      </c>
      <c r="J53" s="13" t="str">
        <f>IF(Tableau13456[[#This Row],[Repère]]="","",VLOOKUP(Tableau13456[[#This Row],[Repère]],Tableau1[#All],10,FALSE))</f>
        <v/>
      </c>
      <c r="K53" s="13" t="str">
        <f>IF(Tableau13456[[#This Row],[Repère]]="","",VLOOKUP(Tableau13456[[#This Row],[Repère]],Tableau1[#All],11,FALSE))</f>
        <v/>
      </c>
      <c r="L53" s="14" t="str">
        <f>IF(Tableau13456[[#This Row],[Repère]]="","",VLOOKUP(Tableau13456[[#This Row],[Repère]],Tableau1[#All],12,FALSE))</f>
        <v/>
      </c>
    </row>
    <row r="54" spans="1:12" x14ac:dyDescent="0.3">
      <c r="A54" s="18"/>
      <c r="B54" s="19"/>
      <c r="C54" s="13" t="str">
        <f>IF(Tableau13456[[#This Row],[Repère]]="","",VLOOKUP(Tableau13456[[#This Row],[Repère]],Tableau1[#All],3,FALSE))</f>
        <v/>
      </c>
      <c r="D54" s="13" t="str">
        <f>IF(Tableau13456[[#This Row],[Repère]]="","",VLOOKUP(Tableau13456[[#This Row],[Repère]],Tableau1[#All],4,FALSE))</f>
        <v/>
      </c>
      <c r="E54" s="13" t="str">
        <f>IF(Tableau13456[[#This Row],[Repère]]="","",VLOOKUP(Tableau13456[[#This Row],[Repère]],Tableau1[#All],5,FALSE))</f>
        <v/>
      </c>
      <c r="F54" s="13" t="str">
        <f>IF(Tableau13456[[#This Row],[Repère]]="","",VLOOKUP(Tableau13456[[#This Row],[Repère]],Tableau1[#All],6,FALSE))</f>
        <v/>
      </c>
      <c r="G54" s="13" t="str">
        <f>IF(Tableau13456[[#This Row],[Repère]]="","",VLOOKUP(Tableau13456[[#This Row],[Repère]],Tableau1[#All],7,FALSE))</f>
        <v/>
      </c>
      <c r="H54" s="13" t="str">
        <f>IF(Tableau13456[[#This Row],[Repère]]="","",VLOOKUP(Tableau13456[[#This Row],[Repère]],Tableau1[#All],8,FALSE))</f>
        <v/>
      </c>
      <c r="I54" s="13" t="str">
        <f>IF(Tableau13456[[#This Row],[Repère]]="","",VLOOKUP(Tableau13456[[#This Row],[Repère]],Tableau1[#All],9,FALSE))</f>
        <v/>
      </c>
      <c r="J54" s="13" t="str">
        <f>IF(Tableau13456[[#This Row],[Repère]]="","",VLOOKUP(Tableau13456[[#This Row],[Repère]],Tableau1[#All],10,FALSE))</f>
        <v/>
      </c>
      <c r="K54" s="13" t="str">
        <f>IF(Tableau13456[[#This Row],[Repère]]="","",VLOOKUP(Tableau13456[[#This Row],[Repère]],Tableau1[#All],11,FALSE))</f>
        <v/>
      </c>
      <c r="L54" s="14" t="str">
        <f>IF(Tableau13456[[#This Row],[Repère]]="","",VLOOKUP(Tableau13456[[#This Row],[Repère]],Tableau1[#All],12,FALSE))</f>
        <v/>
      </c>
    </row>
    <row r="55" spans="1:12" x14ac:dyDescent="0.3">
      <c r="A55" s="18"/>
      <c r="B55" s="19"/>
      <c r="C55" s="13" t="str">
        <f>IF(Tableau13456[[#This Row],[Repère]]="","",VLOOKUP(Tableau13456[[#This Row],[Repère]],Tableau1[#All],3,FALSE))</f>
        <v/>
      </c>
      <c r="D55" s="13" t="str">
        <f>IF(Tableau13456[[#This Row],[Repère]]="","",VLOOKUP(Tableau13456[[#This Row],[Repère]],Tableau1[#All],4,FALSE))</f>
        <v/>
      </c>
      <c r="E55" s="13" t="str">
        <f>IF(Tableau13456[[#This Row],[Repère]]="","",VLOOKUP(Tableau13456[[#This Row],[Repère]],Tableau1[#All],5,FALSE))</f>
        <v/>
      </c>
      <c r="F55" s="13" t="str">
        <f>IF(Tableau13456[[#This Row],[Repère]]="","",VLOOKUP(Tableau13456[[#This Row],[Repère]],Tableau1[#All],6,FALSE))</f>
        <v/>
      </c>
      <c r="G55" s="13" t="str">
        <f>IF(Tableau13456[[#This Row],[Repère]]="","",VLOOKUP(Tableau13456[[#This Row],[Repère]],Tableau1[#All],7,FALSE))</f>
        <v/>
      </c>
      <c r="H55" s="13" t="str">
        <f>IF(Tableau13456[[#This Row],[Repère]]="","",VLOOKUP(Tableau13456[[#This Row],[Repère]],Tableau1[#All],8,FALSE))</f>
        <v/>
      </c>
      <c r="I55" s="13" t="str">
        <f>IF(Tableau13456[[#This Row],[Repère]]="","",VLOOKUP(Tableau13456[[#This Row],[Repère]],Tableau1[#All],9,FALSE))</f>
        <v/>
      </c>
      <c r="J55" s="13" t="str">
        <f>IF(Tableau13456[[#This Row],[Repère]]="","",VLOOKUP(Tableau13456[[#This Row],[Repère]],Tableau1[#All],10,FALSE))</f>
        <v/>
      </c>
      <c r="K55" s="13" t="str">
        <f>IF(Tableau13456[[#This Row],[Repère]]="","",VLOOKUP(Tableau13456[[#This Row],[Repère]],Tableau1[#All],11,FALSE))</f>
        <v/>
      </c>
      <c r="L55" s="14" t="str">
        <f>IF(Tableau13456[[#This Row],[Repère]]="","",VLOOKUP(Tableau13456[[#This Row],[Repère]],Tableau1[#All],12,FALSE))</f>
        <v/>
      </c>
    </row>
    <row r="56" spans="1:12" x14ac:dyDescent="0.3">
      <c r="A56" s="18"/>
      <c r="B56" s="19"/>
      <c r="C56" s="13" t="str">
        <f>IF(Tableau13456[[#This Row],[Repère]]="","",VLOOKUP(Tableau13456[[#This Row],[Repère]],Tableau1[#All],3,FALSE))</f>
        <v/>
      </c>
      <c r="D56" s="13" t="str">
        <f>IF(Tableau13456[[#This Row],[Repère]]="","",VLOOKUP(Tableau13456[[#This Row],[Repère]],Tableau1[#All],4,FALSE))</f>
        <v/>
      </c>
      <c r="E56" s="13" t="str">
        <f>IF(Tableau13456[[#This Row],[Repère]]="","",VLOOKUP(Tableau13456[[#This Row],[Repère]],Tableau1[#All],5,FALSE))</f>
        <v/>
      </c>
      <c r="F56" s="13" t="str">
        <f>IF(Tableau13456[[#This Row],[Repère]]="","",VLOOKUP(Tableau13456[[#This Row],[Repère]],Tableau1[#All],6,FALSE))</f>
        <v/>
      </c>
      <c r="G56" s="13" t="str">
        <f>IF(Tableau13456[[#This Row],[Repère]]="","",VLOOKUP(Tableau13456[[#This Row],[Repère]],Tableau1[#All],7,FALSE))</f>
        <v/>
      </c>
      <c r="H56" s="13" t="str">
        <f>IF(Tableau13456[[#This Row],[Repère]]="","",VLOOKUP(Tableau13456[[#This Row],[Repère]],Tableau1[#All],8,FALSE))</f>
        <v/>
      </c>
      <c r="I56" s="13" t="str">
        <f>IF(Tableau13456[[#This Row],[Repère]]="","",VLOOKUP(Tableau13456[[#This Row],[Repère]],Tableau1[#All],9,FALSE))</f>
        <v/>
      </c>
      <c r="J56" s="13" t="str">
        <f>IF(Tableau13456[[#This Row],[Repère]]="","",VLOOKUP(Tableau13456[[#This Row],[Repère]],Tableau1[#All],10,FALSE))</f>
        <v/>
      </c>
      <c r="K56" s="13" t="str">
        <f>IF(Tableau13456[[#This Row],[Repère]]="","",VLOOKUP(Tableau13456[[#This Row],[Repère]],Tableau1[#All],11,FALSE))</f>
        <v/>
      </c>
      <c r="L56" s="14" t="str">
        <f>IF(Tableau13456[[#This Row],[Repère]]="","",VLOOKUP(Tableau13456[[#This Row],[Repère]],Tableau1[#All],12,FALSE))</f>
        <v/>
      </c>
    </row>
    <row r="57" spans="1:12" x14ac:dyDescent="0.3">
      <c r="A57" s="18"/>
      <c r="B57" s="19"/>
      <c r="C57" s="13" t="str">
        <f>IF(Tableau13456[[#This Row],[Repère]]="","",VLOOKUP(Tableau13456[[#This Row],[Repère]],Tableau1[#All],3,FALSE))</f>
        <v/>
      </c>
      <c r="D57" s="13" t="str">
        <f>IF(Tableau13456[[#This Row],[Repère]]="","",VLOOKUP(Tableau13456[[#This Row],[Repère]],Tableau1[#All],4,FALSE))</f>
        <v/>
      </c>
      <c r="E57" s="13" t="str">
        <f>IF(Tableau13456[[#This Row],[Repère]]="","",VLOOKUP(Tableau13456[[#This Row],[Repère]],Tableau1[#All],5,FALSE))</f>
        <v/>
      </c>
      <c r="F57" s="13" t="str">
        <f>IF(Tableau13456[[#This Row],[Repère]]="","",VLOOKUP(Tableau13456[[#This Row],[Repère]],Tableau1[#All],6,FALSE))</f>
        <v/>
      </c>
      <c r="G57" s="13" t="str">
        <f>IF(Tableau13456[[#This Row],[Repère]]="","",VLOOKUP(Tableau13456[[#This Row],[Repère]],Tableau1[#All],7,FALSE))</f>
        <v/>
      </c>
      <c r="H57" s="13" t="str">
        <f>IF(Tableau13456[[#This Row],[Repère]]="","",VLOOKUP(Tableau13456[[#This Row],[Repère]],Tableau1[#All],8,FALSE))</f>
        <v/>
      </c>
      <c r="I57" s="13" t="str">
        <f>IF(Tableau13456[[#This Row],[Repère]]="","",VLOOKUP(Tableau13456[[#This Row],[Repère]],Tableau1[#All],9,FALSE))</f>
        <v/>
      </c>
      <c r="J57" s="13" t="str">
        <f>IF(Tableau13456[[#This Row],[Repère]]="","",VLOOKUP(Tableau13456[[#This Row],[Repère]],Tableau1[#All],10,FALSE))</f>
        <v/>
      </c>
      <c r="K57" s="13" t="str">
        <f>IF(Tableau13456[[#This Row],[Repère]]="","",VLOOKUP(Tableau13456[[#This Row],[Repère]],Tableau1[#All],11,FALSE))</f>
        <v/>
      </c>
      <c r="L57" s="14" t="str">
        <f>IF(Tableau13456[[#This Row],[Repère]]="","",VLOOKUP(Tableau13456[[#This Row],[Repère]],Tableau1[#All],12,FALSE))</f>
        <v/>
      </c>
    </row>
    <row r="58" spans="1:12" x14ac:dyDescent="0.3">
      <c r="A58" s="18"/>
      <c r="B58" s="19"/>
      <c r="C58" s="13" t="str">
        <f>IF(Tableau13456[[#This Row],[Repère]]="","",VLOOKUP(Tableau13456[[#This Row],[Repère]],Tableau1[#All],3,FALSE))</f>
        <v/>
      </c>
      <c r="D58" s="13" t="str">
        <f>IF(Tableau13456[[#This Row],[Repère]]="","",VLOOKUP(Tableau13456[[#This Row],[Repère]],Tableau1[#All],4,FALSE))</f>
        <v/>
      </c>
      <c r="E58" s="13" t="str">
        <f>IF(Tableau13456[[#This Row],[Repère]]="","",VLOOKUP(Tableau13456[[#This Row],[Repère]],Tableau1[#All],5,FALSE))</f>
        <v/>
      </c>
      <c r="F58" s="13" t="str">
        <f>IF(Tableau13456[[#This Row],[Repère]]="","",VLOOKUP(Tableau13456[[#This Row],[Repère]],Tableau1[#All],6,FALSE))</f>
        <v/>
      </c>
      <c r="G58" s="13" t="str">
        <f>IF(Tableau13456[[#This Row],[Repère]]="","",VLOOKUP(Tableau13456[[#This Row],[Repère]],Tableau1[#All],7,FALSE))</f>
        <v/>
      </c>
      <c r="H58" s="13" t="str">
        <f>IF(Tableau13456[[#This Row],[Repère]]="","",VLOOKUP(Tableau13456[[#This Row],[Repère]],Tableau1[#All],8,FALSE))</f>
        <v/>
      </c>
      <c r="I58" s="13" t="str">
        <f>IF(Tableau13456[[#This Row],[Repère]]="","",VLOOKUP(Tableau13456[[#This Row],[Repère]],Tableau1[#All],9,FALSE))</f>
        <v/>
      </c>
      <c r="J58" s="13" t="str">
        <f>IF(Tableau13456[[#This Row],[Repère]]="","",VLOOKUP(Tableau13456[[#This Row],[Repère]],Tableau1[#All],10,FALSE))</f>
        <v/>
      </c>
      <c r="K58" s="13" t="str">
        <f>IF(Tableau13456[[#This Row],[Repère]]="","",VLOOKUP(Tableau13456[[#This Row],[Repère]],Tableau1[#All],11,FALSE))</f>
        <v/>
      </c>
      <c r="L58" s="14" t="str">
        <f>IF(Tableau13456[[#This Row],[Repère]]="","",VLOOKUP(Tableau13456[[#This Row],[Repère]],Tableau1[#All],12,FALSE))</f>
        <v/>
      </c>
    </row>
    <row r="59" spans="1:12" x14ac:dyDescent="0.3">
      <c r="A59" s="18"/>
      <c r="B59" s="19"/>
      <c r="C59" s="13" t="str">
        <f>IF(Tableau13456[[#This Row],[Repère]]="","",VLOOKUP(Tableau13456[[#This Row],[Repère]],Tableau1[#All],3,FALSE))</f>
        <v/>
      </c>
      <c r="D59" s="13" t="str">
        <f>IF(Tableau13456[[#This Row],[Repère]]="","",VLOOKUP(Tableau13456[[#This Row],[Repère]],Tableau1[#All],4,FALSE))</f>
        <v/>
      </c>
      <c r="E59" s="13" t="str">
        <f>IF(Tableau13456[[#This Row],[Repère]]="","",VLOOKUP(Tableau13456[[#This Row],[Repère]],Tableau1[#All],5,FALSE))</f>
        <v/>
      </c>
      <c r="F59" s="13" t="str">
        <f>IF(Tableau13456[[#This Row],[Repère]]="","",VLOOKUP(Tableau13456[[#This Row],[Repère]],Tableau1[#All],6,FALSE))</f>
        <v/>
      </c>
      <c r="G59" s="13" t="str">
        <f>IF(Tableau13456[[#This Row],[Repère]]="","",VLOOKUP(Tableau13456[[#This Row],[Repère]],Tableau1[#All],7,FALSE))</f>
        <v/>
      </c>
      <c r="H59" s="13" t="str">
        <f>IF(Tableau13456[[#This Row],[Repère]]="","",VLOOKUP(Tableau13456[[#This Row],[Repère]],Tableau1[#All],8,FALSE))</f>
        <v/>
      </c>
      <c r="I59" s="13" t="str">
        <f>IF(Tableau13456[[#This Row],[Repère]]="","",VLOOKUP(Tableau13456[[#This Row],[Repère]],Tableau1[#All],9,FALSE))</f>
        <v/>
      </c>
      <c r="J59" s="13" t="str">
        <f>IF(Tableau13456[[#This Row],[Repère]]="","",VLOOKUP(Tableau13456[[#This Row],[Repère]],Tableau1[#All],10,FALSE))</f>
        <v/>
      </c>
      <c r="K59" s="13" t="str">
        <f>IF(Tableau13456[[#This Row],[Repère]]="","",VLOOKUP(Tableau13456[[#This Row],[Repère]],Tableau1[#All],11,FALSE))</f>
        <v/>
      </c>
      <c r="L59" s="14" t="str">
        <f>IF(Tableau13456[[#This Row],[Repère]]="","",VLOOKUP(Tableau13456[[#This Row],[Repère]],Tableau1[#All],12,FALSE))</f>
        <v/>
      </c>
    </row>
    <row r="60" spans="1:12" x14ac:dyDescent="0.3">
      <c r="A60" s="18"/>
      <c r="B60" s="19"/>
      <c r="C60" s="13" t="str">
        <f>IF(Tableau13456[[#This Row],[Repère]]="","",VLOOKUP(Tableau13456[[#This Row],[Repère]],Tableau1[#All],3,FALSE))</f>
        <v/>
      </c>
      <c r="D60" s="13" t="str">
        <f>IF(Tableau13456[[#This Row],[Repère]]="","",VLOOKUP(Tableau13456[[#This Row],[Repère]],Tableau1[#All],4,FALSE))</f>
        <v/>
      </c>
      <c r="E60" s="13" t="str">
        <f>IF(Tableau13456[[#This Row],[Repère]]="","",VLOOKUP(Tableau13456[[#This Row],[Repère]],Tableau1[#All],5,FALSE))</f>
        <v/>
      </c>
      <c r="F60" s="13" t="str">
        <f>IF(Tableau13456[[#This Row],[Repère]]="","",VLOOKUP(Tableau13456[[#This Row],[Repère]],Tableau1[#All],6,FALSE))</f>
        <v/>
      </c>
      <c r="G60" s="13" t="str">
        <f>IF(Tableau13456[[#This Row],[Repère]]="","",VLOOKUP(Tableau13456[[#This Row],[Repère]],Tableau1[#All],7,FALSE))</f>
        <v/>
      </c>
      <c r="H60" s="13" t="str">
        <f>IF(Tableau13456[[#This Row],[Repère]]="","",VLOOKUP(Tableau13456[[#This Row],[Repère]],Tableau1[#All],8,FALSE))</f>
        <v/>
      </c>
      <c r="I60" s="13" t="str">
        <f>IF(Tableau13456[[#This Row],[Repère]]="","",VLOOKUP(Tableau13456[[#This Row],[Repère]],Tableau1[#All],9,FALSE))</f>
        <v/>
      </c>
      <c r="J60" s="13" t="str">
        <f>IF(Tableau13456[[#This Row],[Repère]]="","",VLOOKUP(Tableau13456[[#This Row],[Repère]],Tableau1[#All],10,FALSE))</f>
        <v/>
      </c>
      <c r="K60" s="13" t="str">
        <f>IF(Tableau13456[[#This Row],[Repère]]="","",VLOOKUP(Tableau13456[[#This Row],[Repère]],Tableau1[#All],11,FALSE))</f>
        <v/>
      </c>
      <c r="L60" s="14" t="str">
        <f>IF(Tableau13456[[#This Row],[Repère]]="","",VLOOKUP(Tableau13456[[#This Row],[Repère]],Tableau1[#All],12,FALSE))</f>
        <v/>
      </c>
    </row>
    <row r="61" spans="1:12" x14ac:dyDescent="0.3">
      <c r="A61" s="18"/>
      <c r="B61" s="19"/>
      <c r="C61" s="13" t="str">
        <f>IF(Tableau13456[[#This Row],[Repère]]="","",VLOOKUP(Tableau13456[[#This Row],[Repère]],Tableau1[#All],3,FALSE))</f>
        <v/>
      </c>
      <c r="D61" s="13" t="str">
        <f>IF(Tableau13456[[#This Row],[Repère]]="","",VLOOKUP(Tableau13456[[#This Row],[Repère]],Tableau1[#All],4,FALSE))</f>
        <v/>
      </c>
      <c r="E61" s="13" t="str">
        <f>IF(Tableau13456[[#This Row],[Repère]]="","",VLOOKUP(Tableau13456[[#This Row],[Repère]],Tableau1[#All],5,FALSE))</f>
        <v/>
      </c>
      <c r="F61" s="13" t="str">
        <f>IF(Tableau13456[[#This Row],[Repère]]="","",VLOOKUP(Tableau13456[[#This Row],[Repère]],Tableau1[#All],6,FALSE))</f>
        <v/>
      </c>
      <c r="G61" s="13" t="str">
        <f>IF(Tableau13456[[#This Row],[Repère]]="","",VLOOKUP(Tableau13456[[#This Row],[Repère]],Tableau1[#All],7,FALSE))</f>
        <v/>
      </c>
      <c r="H61" s="13" t="str">
        <f>IF(Tableau13456[[#This Row],[Repère]]="","",VLOOKUP(Tableau13456[[#This Row],[Repère]],Tableau1[#All],8,FALSE))</f>
        <v/>
      </c>
      <c r="I61" s="13" t="str">
        <f>IF(Tableau13456[[#This Row],[Repère]]="","",VLOOKUP(Tableau13456[[#This Row],[Repère]],Tableau1[#All],9,FALSE))</f>
        <v/>
      </c>
      <c r="J61" s="13" t="str">
        <f>IF(Tableau13456[[#This Row],[Repère]]="","",VLOOKUP(Tableau13456[[#This Row],[Repère]],Tableau1[#All],10,FALSE))</f>
        <v/>
      </c>
      <c r="K61" s="13" t="str">
        <f>IF(Tableau13456[[#This Row],[Repère]]="","",VLOOKUP(Tableau13456[[#This Row],[Repère]],Tableau1[#All],11,FALSE))</f>
        <v/>
      </c>
      <c r="L61" s="14" t="str">
        <f>IF(Tableau13456[[#This Row],[Repère]]="","",VLOOKUP(Tableau13456[[#This Row],[Repère]],Tableau1[#All],12,FALSE))</f>
        <v/>
      </c>
    </row>
    <row r="62" spans="1:12" x14ac:dyDescent="0.3">
      <c r="A62" s="18"/>
      <c r="B62" s="19"/>
      <c r="C62" s="13" t="str">
        <f>IF(Tableau13456[[#This Row],[Repère]]="","",VLOOKUP(Tableau13456[[#This Row],[Repère]],Tableau1[#All],3,FALSE))</f>
        <v/>
      </c>
      <c r="D62" s="13" t="str">
        <f>IF(Tableau13456[[#This Row],[Repère]]="","",VLOOKUP(Tableau13456[[#This Row],[Repère]],Tableau1[#All],4,FALSE))</f>
        <v/>
      </c>
      <c r="E62" s="13" t="str">
        <f>IF(Tableau13456[[#This Row],[Repère]]="","",VLOOKUP(Tableau13456[[#This Row],[Repère]],Tableau1[#All],5,FALSE))</f>
        <v/>
      </c>
      <c r="F62" s="13" t="str">
        <f>IF(Tableau13456[[#This Row],[Repère]]="","",VLOOKUP(Tableau13456[[#This Row],[Repère]],Tableau1[#All],6,FALSE))</f>
        <v/>
      </c>
      <c r="G62" s="13" t="str">
        <f>IF(Tableau13456[[#This Row],[Repère]]="","",VLOOKUP(Tableau13456[[#This Row],[Repère]],Tableau1[#All],7,FALSE))</f>
        <v/>
      </c>
      <c r="H62" s="13" t="str">
        <f>IF(Tableau13456[[#This Row],[Repère]]="","",VLOOKUP(Tableau13456[[#This Row],[Repère]],Tableau1[#All],8,FALSE))</f>
        <v/>
      </c>
      <c r="I62" s="13" t="str">
        <f>IF(Tableau13456[[#This Row],[Repère]]="","",VLOOKUP(Tableau13456[[#This Row],[Repère]],Tableau1[#All],9,FALSE))</f>
        <v/>
      </c>
      <c r="J62" s="13" t="str">
        <f>IF(Tableau13456[[#This Row],[Repère]]="","",VLOOKUP(Tableau13456[[#This Row],[Repère]],Tableau1[#All],10,FALSE))</f>
        <v/>
      </c>
      <c r="K62" s="13" t="str">
        <f>IF(Tableau13456[[#This Row],[Repère]]="","",VLOOKUP(Tableau13456[[#This Row],[Repère]],Tableau1[#All],11,FALSE))</f>
        <v/>
      </c>
      <c r="L62" s="14" t="str">
        <f>IF(Tableau13456[[#This Row],[Repère]]="","",VLOOKUP(Tableau13456[[#This Row],[Repère]],Tableau1[#All],12,FALSE))</f>
        <v/>
      </c>
    </row>
    <row r="63" spans="1:12" x14ac:dyDescent="0.3">
      <c r="A63" s="18"/>
      <c r="B63" s="19"/>
      <c r="C63" s="13" t="str">
        <f>IF(Tableau13456[[#This Row],[Repère]]="","",VLOOKUP(Tableau13456[[#This Row],[Repère]],Tableau1[#All],3,FALSE))</f>
        <v/>
      </c>
      <c r="D63" s="13" t="str">
        <f>IF(Tableau13456[[#This Row],[Repère]]="","",VLOOKUP(Tableau13456[[#This Row],[Repère]],Tableau1[#All],4,FALSE))</f>
        <v/>
      </c>
      <c r="E63" s="13" t="str">
        <f>IF(Tableau13456[[#This Row],[Repère]]="","",VLOOKUP(Tableau13456[[#This Row],[Repère]],Tableau1[#All],5,FALSE))</f>
        <v/>
      </c>
      <c r="F63" s="13" t="str">
        <f>IF(Tableau13456[[#This Row],[Repère]]="","",VLOOKUP(Tableau13456[[#This Row],[Repère]],Tableau1[#All],6,FALSE))</f>
        <v/>
      </c>
      <c r="G63" s="13" t="str">
        <f>IF(Tableau13456[[#This Row],[Repère]]="","",VLOOKUP(Tableau13456[[#This Row],[Repère]],Tableau1[#All],7,FALSE))</f>
        <v/>
      </c>
      <c r="H63" s="13" t="str">
        <f>IF(Tableau13456[[#This Row],[Repère]]="","",VLOOKUP(Tableau13456[[#This Row],[Repère]],Tableau1[#All],8,FALSE))</f>
        <v/>
      </c>
      <c r="I63" s="13" t="str">
        <f>IF(Tableau13456[[#This Row],[Repère]]="","",VLOOKUP(Tableau13456[[#This Row],[Repère]],Tableau1[#All],9,FALSE))</f>
        <v/>
      </c>
      <c r="J63" s="13" t="str">
        <f>IF(Tableau13456[[#This Row],[Repère]]="","",VLOOKUP(Tableau13456[[#This Row],[Repère]],Tableau1[#All],10,FALSE))</f>
        <v/>
      </c>
      <c r="K63" s="13" t="str">
        <f>IF(Tableau13456[[#This Row],[Repère]]="","",VLOOKUP(Tableau13456[[#This Row],[Repère]],Tableau1[#All],11,FALSE))</f>
        <v/>
      </c>
      <c r="L63" s="14" t="str">
        <f>IF(Tableau13456[[#This Row],[Repère]]="","",VLOOKUP(Tableau13456[[#This Row],[Repère]],Tableau1[#All],12,FALSE))</f>
        <v/>
      </c>
    </row>
    <row r="64" spans="1:12" x14ac:dyDescent="0.3">
      <c r="A64" s="18"/>
      <c r="B64" s="19"/>
      <c r="C64" s="13" t="str">
        <f>IF(Tableau13456[[#This Row],[Repère]]="","",VLOOKUP(Tableau13456[[#This Row],[Repère]],Tableau1[#All],3,FALSE))</f>
        <v/>
      </c>
      <c r="D64" s="13" t="str">
        <f>IF(Tableau13456[[#This Row],[Repère]]="","",VLOOKUP(Tableau13456[[#This Row],[Repère]],Tableau1[#All],4,FALSE))</f>
        <v/>
      </c>
      <c r="E64" s="13" t="str">
        <f>IF(Tableau13456[[#This Row],[Repère]]="","",VLOOKUP(Tableau13456[[#This Row],[Repère]],Tableau1[#All],5,FALSE))</f>
        <v/>
      </c>
      <c r="F64" s="13" t="str">
        <f>IF(Tableau13456[[#This Row],[Repère]]="","",VLOOKUP(Tableau13456[[#This Row],[Repère]],Tableau1[#All],6,FALSE))</f>
        <v/>
      </c>
      <c r="G64" s="13" t="str">
        <f>IF(Tableau13456[[#This Row],[Repère]]="","",VLOOKUP(Tableau13456[[#This Row],[Repère]],Tableau1[#All],7,FALSE))</f>
        <v/>
      </c>
      <c r="H64" s="13" t="str">
        <f>IF(Tableau13456[[#This Row],[Repère]]="","",VLOOKUP(Tableau13456[[#This Row],[Repère]],Tableau1[#All],8,FALSE))</f>
        <v/>
      </c>
      <c r="I64" s="13" t="str">
        <f>IF(Tableau13456[[#This Row],[Repère]]="","",VLOOKUP(Tableau13456[[#This Row],[Repère]],Tableau1[#All],9,FALSE))</f>
        <v/>
      </c>
      <c r="J64" s="13" t="str">
        <f>IF(Tableau13456[[#This Row],[Repère]]="","",VLOOKUP(Tableau13456[[#This Row],[Repère]],Tableau1[#All],10,FALSE))</f>
        <v/>
      </c>
      <c r="K64" s="13" t="str">
        <f>IF(Tableau13456[[#This Row],[Repère]]="","",VLOOKUP(Tableau13456[[#This Row],[Repère]],Tableau1[#All],11,FALSE))</f>
        <v/>
      </c>
      <c r="L64" s="14" t="str">
        <f>IF(Tableau13456[[#This Row],[Repère]]="","",VLOOKUP(Tableau13456[[#This Row],[Repère]],Tableau1[#All],12,FALSE))</f>
        <v/>
      </c>
    </row>
    <row r="65" spans="1:12" x14ac:dyDescent="0.3">
      <c r="A65" s="18"/>
      <c r="B65" s="19"/>
      <c r="C65" s="13" t="str">
        <f>IF(Tableau13456[[#This Row],[Repère]]="","",VLOOKUP(Tableau13456[[#This Row],[Repère]],Tableau1[#All],3,FALSE))</f>
        <v/>
      </c>
      <c r="D65" s="13" t="str">
        <f>IF(Tableau13456[[#This Row],[Repère]]="","",VLOOKUP(Tableau13456[[#This Row],[Repère]],Tableau1[#All],4,FALSE))</f>
        <v/>
      </c>
      <c r="E65" s="13" t="str">
        <f>IF(Tableau13456[[#This Row],[Repère]]="","",VLOOKUP(Tableau13456[[#This Row],[Repère]],Tableau1[#All],5,FALSE))</f>
        <v/>
      </c>
      <c r="F65" s="13" t="str">
        <f>IF(Tableau13456[[#This Row],[Repère]]="","",VLOOKUP(Tableau13456[[#This Row],[Repère]],Tableau1[#All],6,FALSE))</f>
        <v/>
      </c>
      <c r="G65" s="13" t="str">
        <f>IF(Tableau13456[[#This Row],[Repère]]="","",VLOOKUP(Tableau13456[[#This Row],[Repère]],Tableau1[#All],7,FALSE))</f>
        <v/>
      </c>
      <c r="H65" s="13" t="str">
        <f>IF(Tableau13456[[#This Row],[Repère]]="","",VLOOKUP(Tableau13456[[#This Row],[Repère]],Tableau1[#All],8,FALSE))</f>
        <v/>
      </c>
      <c r="I65" s="13" t="str">
        <f>IF(Tableau13456[[#This Row],[Repère]]="","",VLOOKUP(Tableau13456[[#This Row],[Repère]],Tableau1[#All],9,FALSE))</f>
        <v/>
      </c>
      <c r="J65" s="13" t="str">
        <f>IF(Tableau13456[[#This Row],[Repère]]="","",VLOOKUP(Tableau13456[[#This Row],[Repère]],Tableau1[#All],10,FALSE))</f>
        <v/>
      </c>
      <c r="K65" s="13" t="str">
        <f>IF(Tableau13456[[#This Row],[Repère]]="","",VLOOKUP(Tableau13456[[#This Row],[Repère]],Tableau1[#All],11,FALSE))</f>
        <v/>
      </c>
      <c r="L65" s="14" t="str">
        <f>IF(Tableau13456[[#This Row],[Repère]]="","",VLOOKUP(Tableau13456[[#This Row],[Repère]],Tableau1[#All],12,FALSE))</f>
        <v/>
      </c>
    </row>
    <row r="66" spans="1:12" x14ac:dyDescent="0.3">
      <c r="A66" s="18"/>
      <c r="B66" s="19"/>
      <c r="C66" s="13" t="str">
        <f>IF(Tableau13456[[#This Row],[Repère]]="","",VLOOKUP(Tableau13456[[#This Row],[Repère]],Tableau1[#All],3,FALSE))</f>
        <v/>
      </c>
      <c r="D66" s="13" t="str">
        <f>IF(Tableau13456[[#This Row],[Repère]]="","",VLOOKUP(Tableau13456[[#This Row],[Repère]],Tableau1[#All],4,FALSE))</f>
        <v/>
      </c>
      <c r="E66" s="13" t="str">
        <f>IF(Tableau13456[[#This Row],[Repère]]="","",VLOOKUP(Tableau13456[[#This Row],[Repère]],Tableau1[#All],5,FALSE))</f>
        <v/>
      </c>
      <c r="F66" s="13" t="str">
        <f>IF(Tableau13456[[#This Row],[Repère]]="","",VLOOKUP(Tableau13456[[#This Row],[Repère]],Tableau1[#All],6,FALSE))</f>
        <v/>
      </c>
      <c r="G66" s="13" t="str">
        <f>IF(Tableau13456[[#This Row],[Repère]]="","",VLOOKUP(Tableau13456[[#This Row],[Repère]],Tableau1[#All],7,FALSE))</f>
        <v/>
      </c>
      <c r="H66" s="13" t="str">
        <f>IF(Tableau13456[[#This Row],[Repère]]="","",VLOOKUP(Tableau13456[[#This Row],[Repère]],Tableau1[#All],8,FALSE))</f>
        <v/>
      </c>
      <c r="I66" s="13" t="str">
        <f>IF(Tableau13456[[#This Row],[Repère]]="","",VLOOKUP(Tableau13456[[#This Row],[Repère]],Tableau1[#All],9,FALSE))</f>
        <v/>
      </c>
      <c r="J66" s="13" t="str">
        <f>IF(Tableau13456[[#This Row],[Repère]]="","",VLOOKUP(Tableau13456[[#This Row],[Repère]],Tableau1[#All],10,FALSE))</f>
        <v/>
      </c>
      <c r="K66" s="13" t="str">
        <f>IF(Tableau13456[[#This Row],[Repère]]="","",VLOOKUP(Tableau13456[[#This Row],[Repère]],Tableau1[#All],11,FALSE))</f>
        <v/>
      </c>
      <c r="L66" s="14" t="str">
        <f>IF(Tableau13456[[#This Row],[Repère]]="","",VLOOKUP(Tableau13456[[#This Row],[Repère]],Tableau1[#All],12,FALSE))</f>
        <v/>
      </c>
    </row>
    <row r="67" spans="1:12" x14ac:dyDescent="0.3">
      <c r="A67" s="18"/>
      <c r="B67" s="19"/>
      <c r="C67" s="13" t="str">
        <f>IF(Tableau13456[[#This Row],[Repère]]="","",VLOOKUP(Tableau13456[[#This Row],[Repère]],Tableau1[#All],3,FALSE))</f>
        <v/>
      </c>
      <c r="D67" s="13" t="str">
        <f>IF(Tableau13456[[#This Row],[Repère]]="","",VLOOKUP(Tableau13456[[#This Row],[Repère]],Tableau1[#All],4,FALSE))</f>
        <v/>
      </c>
      <c r="E67" s="13" t="str">
        <f>IF(Tableau13456[[#This Row],[Repère]]="","",VLOOKUP(Tableau13456[[#This Row],[Repère]],Tableau1[#All],5,FALSE))</f>
        <v/>
      </c>
      <c r="F67" s="13" t="str">
        <f>IF(Tableau13456[[#This Row],[Repère]]="","",VLOOKUP(Tableau13456[[#This Row],[Repère]],Tableau1[#All],6,FALSE))</f>
        <v/>
      </c>
      <c r="G67" s="13" t="str">
        <f>IF(Tableau13456[[#This Row],[Repère]]="","",VLOOKUP(Tableau13456[[#This Row],[Repère]],Tableau1[#All],7,FALSE))</f>
        <v/>
      </c>
      <c r="H67" s="13" t="str">
        <f>IF(Tableau13456[[#This Row],[Repère]]="","",VLOOKUP(Tableau13456[[#This Row],[Repère]],Tableau1[#All],8,FALSE))</f>
        <v/>
      </c>
      <c r="I67" s="13" t="str">
        <f>IF(Tableau13456[[#This Row],[Repère]]="","",VLOOKUP(Tableau13456[[#This Row],[Repère]],Tableau1[#All],9,FALSE))</f>
        <v/>
      </c>
      <c r="J67" s="13" t="str">
        <f>IF(Tableau13456[[#This Row],[Repère]]="","",VLOOKUP(Tableau13456[[#This Row],[Repère]],Tableau1[#All],10,FALSE))</f>
        <v/>
      </c>
      <c r="K67" s="13" t="str">
        <f>IF(Tableau13456[[#This Row],[Repère]]="","",VLOOKUP(Tableau13456[[#This Row],[Repère]],Tableau1[#All],11,FALSE))</f>
        <v/>
      </c>
      <c r="L67" s="14" t="str">
        <f>IF(Tableau13456[[#This Row],[Repère]]="","",VLOOKUP(Tableau13456[[#This Row],[Repère]],Tableau1[#All],12,FALSE))</f>
        <v/>
      </c>
    </row>
    <row r="68" spans="1:12" x14ac:dyDescent="0.3">
      <c r="A68" s="18"/>
      <c r="B68" s="19"/>
      <c r="C68" s="13" t="str">
        <f>IF(Tableau13456[[#This Row],[Repère]]="","",VLOOKUP(Tableau13456[[#This Row],[Repère]],Tableau1[#All],3,FALSE))</f>
        <v/>
      </c>
      <c r="D68" s="13" t="str">
        <f>IF(Tableau13456[[#This Row],[Repère]]="","",VLOOKUP(Tableau13456[[#This Row],[Repère]],Tableau1[#All],4,FALSE))</f>
        <v/>
      </c>
      <c r="E68" s="13" t="str">
        <f>IF(Tableau13456[[#This Row],[Repère]]="","",VLOOKUP(Tableau13456[[#This Row],[Repère]],Tableau1[#All],5,FALSE))</f>
        <v/>
      </c>
      <c r="F68" s="13" t="str">
        <f>IF(Tableau13456[[#This Row],[Repère]]="","",VLOOKUP(Tableau13456[[#This Row],[Repère]],Tableau1[#All],6,FALSE))</f>
        <v/>
      </c>
      <c r="G68" s="13" t="str">
        <f>IF(Tableau13456[[#This Row],[Repère]]="","",VLOOKUP(Tableau13456[[#This Row],[Repère]],Tableau1[#All],7,FALSE))</f>
        <v/>
      </c>
      <c r="H68" s="13" t="str">
        <f>IF(Tableau13456[[#This Row],[Repère]]="","",VLOOKUP(Tableau13456[[#This Row],[Repère]],Tableau1[#All],8,FALSE))</f>
        <v/>
      </c>
      <c r="I68" s="13" t="str">
        <f>IF(Tableau13456[[#This Row],[Repère]]="","",VLOOKUP(Tableau13456[[#This Row],[Repère]],Tableau1[#All],9,FALSE))</f>
        <v/>
      </c>
      <c r="J68" s="13" t="str">
        <f>IF(Tableau13456[[#This Row],[Repère]]="","",VLOOKUP(Tableau13456[[#This Row],[Repère]],Tableau1[#All],10,FALSE))</f>
        <v/>
      </c>
      <c r="K68" s="13" t="str">
        <f>IF(Tableau13456[[#This Row],[Repère]]="","",VLOOKUP(Tableau13456[[#This Row],[Repère]],Tableau1[#All],11,FALSE))</f>
        <v/>
      </c>
      <c r="L68" s="14" t="str">
        <f>IF(Tableau13456[[#This Row],[Repère]]="","",VLOOKUP(Tableau13456[[#This Row],[Repère]],Tableau1[#All],12,FALSE))</f>
        <v/>
      </c>
    </row>
    <row r="69" spans="1:12" x14ac:dyDescent="0.3">
      <c r="A69" s="18"/>
      <c r="B69" s="19"/>
      <c r="C69" s="13" t="str">
        <f>IF(Tableau13456[[#This Row],[Repère]]="","",VLOOKUP(Tableau13456[[#This Row],[Repère]],Tableau1[#All],3,FALSE))</f>
        <v/>
      </c>
      <c r="D69" s="13" t="str">
        <f>IF(Tableau13456[[#This Row],[Repère]]="","",VLOOKUP(Tableau13456[[#This Row],[Repère]],Tableau1[#All],4,FALSE))</f>
        <v/>
      </c>
      <c r="E69" s="13" t="str">
        <f>IF(Tableau13456[[#This Row],[Repère]]="","",VLOOKUP(Tableau13456[[#This Row],[Repère]],Tableau1[#All],5,FALSE))</f>
        <v/>
      </c>
      <c r="F69" s="13" t="str">
        <f>IF(Tableau13456[[#This Row],[Repère]]="","",VLOOKUP(Tableau13456[[#This Row],[Repère]],Tableau1[#All],6,FALSE))</f>
        <v/>
      </c>
      <c r="G69" s="13" t="str">
        <f>IF(Tableau13456[[#This Row],[Repère]]="","",VLOOKUP(Tableau13456[[#This Row],[Repère]],Tableau1[#All],7,FALSE))</f>
        <v/>
      </c>
      <c r="H69" s="13" t="str">
        <f>IF(Tableau13456[[#This Row],[Repère]]="","",VLOOKUP(Tableau13456[[#This Row],[Repère]],Tableau1[#All],8,FALSE))</f>
        <v/>
      </c>
      <c r="I69" s="13" t="str">
        <f>IF(Tableau13456[[#This Row],[Repère]]="","",VLOOKUP(Tableau13456[[#This Row],[Repère]],Tableau1[#All],9,FALSE))</f>
        <v/>
      </c>
      <c r="J69" s="13" t="str">
        <f>IF(Tableau13456[[#This Row],[Repère]]="","",VLOOKUP(Tableau13456[[#This Row],[Repère]],Tableau1[#All],10,FALSE))</f>
        <v/>
      </c>
      <c r="K69" s="13" t="str">
        <f>IF(Tableau13456[[#This Row],[Repère]]="","",VLOOKUP(Tableau13456[[#This Row],[Repère]],Tableau1[#All],11,FALSE))</f>
        <v/>
      </c>
      <c r="L69" s="14" t="str">
        <f>IF(Tableau13456[[#This Row],[Repère]]="","",VLOOKUP(Tableau13456[[#This Row],[Repère]],Tableau1[#All],12,FALSE))</f>
        <v/>
      </c>
    </row>
    <row r="70" spans="1:12" x14ac:dyDescent="0.3">
      <c r="A70" s="18"/>
      <c r="B70" s="19"/>
      <c r="C70" s="13" t="str">
        <f>IF(Tableau13456[[#This Row],[Repère]]="","",VLOOKUP(Tableau13456[[#This Row],[Repère]],Tableau1[#All],3,FALSE))</f>
        <v/>
      </c>
      <c r="D70" s="13" t="str">
        <f>IF(Tableau13456[[#This Row],[Repère]]="","",VLOOKUP(Tableau13456[[#This Row],[Repère]],Tableau1[#All],4,FALSE))</f>
        <v/>
      </c>
      <c r="E70" s="13" t="str">
        <f>IF(Tableau13456[[#This Row],[Repère]]="","",VLOOKUP(Tableau13456[[#This Row],[Repère]],Tableau1[#All],5,FALSE))</f>
        <v/>
      </c>
      <c r="F70" s="13" t="str">
        <f>IF(Tableau13456[[#This Row],[Repère]]="","",VLOOKUP(Tableau13456[[#This Row],[Repère]],Tableau1[#All],6,FALSE))</f>
        <v/>
      </c>
      <c r="G70" s="13" t="str">
        <f>IF(Tableau13456[[#This Row],[Repère]]="","",VLOOKUP(Tableau13456[[#This Row],[Repère]],Tableau1[#All],7,FALSE))</f>
        <v/>
      </c>
      <c r="H70" s="13" t="str">
        <f>IF(Tableau13456[[#This Row],[Repère]]="","",VLOOKUP(Tableau13456[[#This Row],[Repère]],Tableau1[#All],8,FALSE))</f>
        <v/>
      </c>
      <c r="I70" s="13" t="str">
        <f>IF(Tableau13456[[#This Row],[Repère]]="","",VLOOKUP(Tableau13456[[#This Row],[Repère]],Tableau1[#All],9,FALSE))</f>
        <v/>
      </c>
      <c r="J70" s="13" t="str">
        <f>IF(Tableau13456[[#This Row],[Repère]]="","",VLOOKUP(Tableau13456[[#This Row],[Repère]],Tableau1[#All],10,FALSE))</f>
        <v/>
      </c>
      <c r="K70" s="13" t="str">
        <f>IF(Tableau13456[[#This Row],[Repère]]="","",VLOOKUP(Tableau13456[[#This Row],[Repère]],Tableau1[#All],11,FALSE))</f>
        <v/>
      </c>
      <c r="L70" s="14" t="str">
        <f>IF(Tableau13456[[#This Row],[Repère]]="","",VLOOKUP(Tableau13456[[#This Row],[Repère]],Tableau1[#All],12,FALSE))</f>
        <v/>
      </c>
    </row>
    <row r="71" spans="1:12" x14ac:dyDescent="0.3">
      <c r="A71" s="18"/>
      <c r="B71" s="19"/>
      <c r="C71" s="13" t="str">
        <f>IF(Tableau13456[[#This Row],[Repère]]="","",VLOOKUP(Tableau13456[[#This Row],[Repère]],Tableau1[#All],3,FALSE))</f>
        <v/>
      </c>
      <c r="D71" s="13" t="str">
        <f>IF(Tableau13456[[#This Row],[Repère]]="","",VLOOKUP(Tableau13456[[#This Row],[Repère]],Tableau1[#All],4,FALSE))</f>
        <v/>
      </c>
      <c r="E71" s="13" t="str">
        <f>IF(Tableau13456[[#This Row],[Repère]]="","",VLOOKUP(Tableau13456[[#This Row],[Repère]],Tableau1[#All],5,FALSE))</f>
        <v/>
      </c>
      <c r="F71" s="13" t="str">
        <f>IF(Tableau13456[[#This Row],[Repère]]="","",VLOOKUP(Tableau13456[[#This Row],[Repère]],Tableau1[#All],6,FALSE))</f>
        <v/>
      </c>
      <c r="G71" s="13" t="str">
        <f>IF(Tableau13456[[#This Row],[Repère]]="","",VLOOKUP(Tableau13456[[#This Row],[Repère]],Tableau1[#All],7,FALSE))</f>
        <v/>
      </c>
      <c r="H71" s="13" t="str">
        <f>IF(Tableau13456[[#This Row],[Repère]]="","",VLOOKUP(Tableau13456[[#This Row],[Repère]],Tableau1[#All],8,FALSE))</f>
        <v/>
      </c>
      <c r="I71" s="13" t="str">
        <f>IF(Tableau13456[[#This Row],[Repère]]="","",VLOOKUP(Tableau13456[[#This Row],[Repère]],Tableau1[#All],9,FALSE))</f>
        <v/>
      </c>
      <c r="J71" s="13" t="str">
        <f>IF(Tableau13456[[#This Row],[Repère]]="","",VLOOKUP(Tableau13456[[#This Row],[Repère]],Tableau1[#All],10,FALSE))</f>
        <v/>
      </c>
      <c r="K71" s="13" t="str">
        <f>IF(Tableau13456[[#This Row],[Repère]]="","",VLOOKUP(Tableau13456[[#This Row],[Repère]],Tableau1[#All],11,FALSE))</f>
        <v/>
      </c>
      <c r="L71" s="14" t="str">
        <f>IF(Tableau13456[[#This Row],[Repère]]="","",VLOOKUP(Tableau13456[[#This Row],[Repère]],Tableau1[#All],12,FALSE))</f>
        <v/>
      </c>
    </row>
    <row r="72" spans="1:12" x14ac:dyDescent="0.3">
      <c r="A72" s="18"/>
      <c r="B72" s="19"/>
      <c r="C72" s="13" t="str">
        <f>IF(Tableau13456[[#This Row],[Repère]]="","",VLOOKUP(Tableau13456[[#This Row],[Repère]],Tableau1[#All],3,FALSE))</f>
        <v/>
      </c>
      <c r="D72" s="13" t="str">
        <f>IF(Tableau13456[[#This Row],[Repère]]="","",VLOOKUP(Tableau13456[[#This Row],[Repère]],Tableau1[#All],4,FALSE))</f>
        <v/>
      </c>
      <c r="E72" s="13" t="str">
        <f>IF(Tableau13456[[#This Row],[Repère]]="","",VLOOKUP(Tableau13456[[#This Row],[Repère]],Tableau1[#All],5,FALSE))</f>
        <v/>
      </c>
      <c r="F72" s="13" t="str">
        <f>IF(Tableau13456[[#This Row],[Repère]]="","",VLOOKUP(Tableau13456[[#This Row],[Repère]],Tableau1[#All],6,FALSE))</f>
        <v/>
      </c>
      <c r="G72" s="13" t="str">
        <f>IF(Tableau13456[[#This Row],[Repère]]="","",VLOOKUP(Tableau13456[[#This Row],[Repère]],Tableau1[#All],7,FALSE))</f>
        <v/>
      </c>
      <c r="H72" s="13" t="str">
        <f>IF(Tableau13456[[#This Row],[Repère]]="","",VLOOKUP(Tableau13456[[#This Row],[Repère]],Tableau1[#All],8,FALSE))</f>
        <v/>
      </c>
      <c r="I72" s="13" t="str">
        <f>IF(Tableau13456[[#This Row],[Repère]]="","",VLOOKUP(Tableau13456[[#This Row],[Repère]],Tableau1[#All],9,FALSE))</f>
        <v/>
      </c>
      <c r="J72" s="13" t="str">
        <f>IF(Tableau13456[[#This Row],[Repère]]="","",VLOOKUP(Tableau13456[[#This Row],[Repère]],Tableau1[#All],10,FALSE))</f>
        <v/>
      </c>
      <c r="K72" s="13" t="str">
        <f>IF(Tableau13456[[#This Row],[Repère]]="","",VLOOKUP(Tableau13456[[#This Row],[Repère]],Tableau1[#All],11,FALSE))</f>
        <v/>
      </c>
      <c r="L72" s="14" t="str">
        <f>IF(Tableau13456[[#This Row],[Repère]]="","",VLOOKUP(Tableau13456[[#This Row],[Repère]],Tableau1[#All],12,FALSE))</f>
        <v/>
      </c>
    </row>
    <row r="73" spans="1:12" x14ac:dyDescent="0.3">
      <c r="A73" s="18"/>
      <c r="B73" s="19"/>
      <c r="C73" s="13" t="str">
        <f>IF(Tableau13456[[#This Row],[Repère]]="","",VLOOKUP(Tableau13456[[#This Row],[Repère]],Tableau1[#All],3,FALSE))</f>
        <v/>
      </c>
      <c r="D73" s="13" t="str">
        <f>IF(Tableau13456[[#This Row],[Repère]]="","",VLOOKUP(Tableau13456[[#This Row],[Repère]],Tableau1[#All],4,FALSE))</f>
        <v/>
      </c>
      <c r="E73" s="13" t="str">
        <f>IF(Tableau13456[[#This Row],[Repère]]="","",VLOOKUP(Tableau13456[[#This Row],[Repère]],Tableau1[#All],5,FALSE))</f>
        <v/>
      </c>
      <c r="F73" s="13" t="str">
        <f>IF(Tableau13456[[#This Row],[Repère]]="","",VLOOKUP(Tableau13456[[#This Row],[Repère]],Tableau1[#All],6,FALSE))</f>
        <v/>
      </c>
      <c r="G73" s="13" t="str">
        <f>IF(Tableau13456[[#This Row],[Repère]]="","",VLOOKUP(Tableau13456[[#This Row],[Repère]],Tableau1[#All],7,FALSE))</f>
        <v/>
      </c>
      <c r="H73" s="13" t="str">
        <f>IF(Tableau13456[[#This Row],[Repère]]="","",VLOOKUP(Tableau13456[[#This Row],[Repère]],Tableau1[#All],8,FALSE))</f>
        <v/>
      </c>
      <c r="I73" s="13" t="str">
        <f>IF(Tableau13456[[#This Row],[Repère]]="","",VLOOKUP(Tableau13456[[#This Row],[Repère]],Tableau1[#All],9,FALSE))</f>
        <v/>
      </c>
      <c r="J73" s="13" t="str">
        <f>IF(Tableau13456[[#This Row],[Repère]]="","",VLOOKUP(Tableau13456[[#This Row],[Repère]],Tableau1[#All],10,FALSE))</f>
        <v/>
      </c>
      <c r="K73" s="13" t="str">
        <f>IF(Tableau13456[[#This Row],[Repère]]="","",VLOOKUP(Tableau13456[[#This Row],[Repère]],Tableau1[#All],11,FALSE))</f>
        <v/>
      </c>
      <c r="L73" s="14" t="str">
        <f>IF(Tableau13456[[#This Row],[Repère]]="","",VLOOKUP(Tableau13456[[#This Row],[Repère]],Tableau1[#All],12,FALSE))</f>
        <v/>
      </c>
    </row>
    <row r="74" spans="1:12" x14ac:dyDescent="0.3">
      <c r="A74" s="18"/>
      <c r="B74" s="19"/>
      <c r="C74" s="13" t="str">
        <f>IF(Tableau13456[[#This Row],[Repère]]="","",VLOOKUP(Tableau13456[[#This Row],[Repère]],Tableau1[#All],3,FALSE))</f>
        <v/>
      </c>
      <c r="D74" s="13" t="str">
        <f>IF(Tableau13456[[#This Row],[Repère]]="","",VLOOKUP(Tableau13456[[#This Row],[Repère]],Tableau1[#All],4,FALSE))</f>
        <v/>
      </c>
      <c r="E74" s="13" t="str">
        <f>IF(Tableau13456[[#This Row],[Repère]]="","",VLOOKUP(Tableau13456[[#This Row],[Repère]],Tableau1[#All],5,FALSE))</f>
        <v/>
      </c>
      <c r="F74" s="13" t="str">
        <f>IF(Tableau13456[[#This Row],[Repère]]="","",VLOOKUP(Tableau13456[[#This Row],[Repère]],Tableau1[#All],6,FALSE))</f>
        <v/>
      </c>
      <c r="G74" s="13" t="str">
        <f>IF(Tableau13456[[#This Row],[Repère]]="","",VLOOKUP(Tableau13456[[#This Row],[Repère]],Tableau1[#All],7,FALSE))</f>
        <v/>
      </c>
      <c r="H74" s="13" t="str">
        <f>IF(Tableau13456[[#This Row],[Repère]]="","",VLOOKUP(Tableau13456[[#This Row],[Repère]],Tableau1[#All],8,FALSE))</f>
        <v/>
      </c>
      <c r="I74" s="13" t="str">
        <f>IF(Tableau13456[[#This Row],[Repère]]="","",VLOOKUP(Tableau13456[[#This Row],[Repère]],Tableau1[#All],9,FALSE))</f>
        <v/>
      </c>
      <c r="J74" s="13" t="str">
        <f>IF(Tableau13456[[#This Row],[Repère]]="","",VLOOKUP(Tableau13456[[#This Row],[Repère]],Tableau1[#All],10,FALSE))</f>
        <v/>
      </c>
      <c r="K74" s="13" t="str">
        <f>IF(Tableau13456[[#This Row],[Repère]]="","",VLOOKUP(Tableau13456[[#This Row],[Repère]],Tableau1[#All],11,FALSE))</f>
        <v/>
      </c>
      <c r="L74" s="14" t="str">
        <f>IF(Tableau13456[[#This Row],[Repère]]="","",VLOOKUP(Tableau13456[[#This Row],[Repère]],Tableau1[#All],12,FALSE))</f>
        <v/>
      </c>
    </row>
    <row r="75" spans="1:12" x14ac:dyDescent="0.3">
      <c r="A75" s="18"/>
      <c r="B75" s="19"/>
      <c r="C75" s="13" t="str">
        <f>IF(Tableau13456[[#This Row],[Repère]]="","",VLOOKUP(Tableau13456[[#This Row],[Repère]],Tableau1[#All],3,FALSE))</f>
        <v/>
      </c>
      <c r="D75" s="13" t="str">
        <f>IF(Tableau13456[[#This Row],[Repère]]="","",VLOOKUP(Tableau13456[[#This Row],[Repère]],Tableau1[#All],4,FALSE))</f>
        <v/>
      </c>
      <c r="E75" s="13" t="str">
        <f>IF(Tableau13456[[#This Row],[Repère]]="","",VLOOKUP(Tableau13456[[#This Row],[Repère]],Tableau1[#All],5,FALSE))</f>
        <v/>
      </c>
      <c r="F75" s="13" t="str">
        <f>IF(Tableau13456[[#This Row],[Repère]]="","",VLOOKUP(Tableau13456[[#This Row],[Repère]],Tableau1[#All],6,FALSE))</f>
        <v/>
      </c>
      <c r="G75" s="13" t="str">
        <f>IF(Tableau13456[[#This Row],[Repère]]="","",VLOOKUP(Tableau13456[[#This Row],[Repère]],Tableau1[#All],7,FALSE))</f>
        <v/>
      </c>
      <c r="H75" s="13" t="str">
        <f>IF(Tableau13456[[#This Row],[Repère]]="","",VLOOKUP(Tableau13456[[#This Row],[Repère]],Tableau1[#All],8,FALSE))</f>
        <v/>
      </c>
      <c r="I75" s="13" t="str">
        <f>IF(Tableau13456[[#This Row],[Repère]]="","",VLOOKUP(Tableau13456[[#This Row],[Repère]],Tableau1[#All],9,FALSE))</f>
        <v/>
      </c>
      <c r="J75" s="13" t="str">
        <f>IF(Tableau13456[[#This Row],[Repère]]="","",VLOOKUP(Tableau13456[[#This Row],[Repère]],Tableau1[#All],10,FALSE))</f>
        <v/>
      </c>
      <c r="K75" s="13" t="str">
        <f>IF(Tableau13456[[#This Row],[Repère]]="","",VLOOKUP(Tableau13456[[#This Row],[Repère]],Tableau1[#All],11,FALSE))</f>
        <v/>
      </c>
      <c r="L75" s="14" t="str">
        <f>IF(Tableau13456[[#This Row],[Repère]]="","",VLOOKUP(Tableau13456[[#This Row],[Repère]],Tableau1[#All],12,FALSE))</f>
        <v/>
      </c>
    </row>
    <row r="76" spans="1:12" x14ac:dyDescent="0.3">
      <c r="A76" s="18"/>
      <c r="B76" s="19"/>
      <c r="C76" s="13" t="str">
        <f>IF(Tableau13456[[#This Row],[Repère]]="","",VLOOKUP(Tableau13456[[#This Row],[Repère]],Tableau1[#All],3,FALSE))</f>
        <v/>
      </c>
      <c r="D76" s="13" t="str">
        <f>IF(Tableau13456[[#This Row],[Repère]]="","",VLOOKUP(Tableau13456[[#This Row],[Repère]],Tableau1[#All],4,FALSE))</f>
        <v/>
      </c>
      <c r="E76" s="13" t="str">
        <f>IF(Tableau13456[[#This Row],[Repère]]="","",VLOOKUP(Tableau13456[[#This Row],[Repère]],Tableau1[#All],5,FALSE))</f>
        <v/>
      </c>
      <c r="F76" s="13" t="str">
        <f>IF(Tableau13456[[#This Row],[Repère]]="","",VLOOKUP(Tableau13456[[#This Row],[Repère]],Tableau1[#All],6,FALSE))</f>
        <v/>
      </c>
      <c r="G76" s="13" t="str">
        <f>IF(Tableau13456[[#This Row],[Repère]]="","",VLOOKUP(Tableau13456[[#This Row],[Repère]],Tableau1[#All],7,FALSE))</f>
        <v/>
      </c>
      <c r="H76" s="13" t="str">
        <f>IF(Tableau13456[[#This Row],[Repère]]="","",VLOOKUP(Tableau13456[[#This Row],[Repère]],Tableau1[#All],8,FALSE))</f>
        <v/>
      </c>
      <c r="I76" s="13" t="str">
        <f>IF(Tableau13456[[#This Row],[Repère]]="","",VLOOKUP(Tableau13456[[#This Row],[Repère]],Tableau1[#All],9,FALSE))</f>
        <v/>
      </c>
      <c r="J76" s="13" t="str">
        <f>IF(Tableau13456[[#This Row],[Repère]]="","",VLOOKUP(Tableau13456[[#This Row],[Repère]],Tableau1[#All],10,FALSE))</f>
        <v/>
      </c>
      <c r="K76" s="13" t="str">
        <f>IF(Tableau13456[[#This Row],[Repère]]="","",VLOOKUP(Tableau13456[[#This Row],[Repère]],Tableau1[#All],11,FALSE))</f>
        <v/>
      </c>
      <c r="L76" s="14" t="str">
        <f>IF(Tableau13456[[#This Row],[Repère]]="","",VLOOKUP(Tableau13456[[#This Row],[Repère]],Tableau1[#All],12,FALSE))</f>
        <v/>
      </c>
    </row>
    <row r="77" spans="1:12" x14ac:dyDescent="0.3">
      <c r="A77" s="18"/>
      <c r="B77" s="19"/>
      <c r="C77" s="13" t="str">
        <f>IF(Tableau13456[[#This Row],[Repère]]="","",VLOOKUP(Tableau13456[[#This Row],[Repère]],Tableau1[#All],3,FALSE))</f>
        <v/>
      </c>
      <c r="D77" s="13" t="str">
        <f>IF(Tableau13456[[#This Row],[Repère]]="","",VLOOKUP(Tableau13456[[#This Row],[Repère]],Tableau1[#All],4,FALSE))</f>
        <v/>
      </c>
      <c r="E77" s="13" t="str">
        <f>IF(Tableau13456[[#This Row],[Repère]]="","",VLOOKUP(Tableau13456[[#This Row],[Repère]],Tableau1[#All],5,FALSE))</f>
        <v/>
      </c>
      <c r="F77" s="13" t="str">
        <f>IF(Tableau13456[[#This Row],[Repère]]="","",VLOOKUP(Tableau13456[[#This Row],[Repère]],Tableau1[#All],6,FALSE))</f>
        <v/>
      </c>
      <c r="G77" s="13" t="str">
        <f>IF(Tableau13456[[#This Row],[Repère]]="","",VLOOKUP(Tableau13456[[#This Row],[Repère]],Tableau1[#All],7,FALSE))</f>
        <v/>
      </c>
      <c r="H77" s="13" t="str">
        <f>IF(Tableau13456[[#This Row],[Repère]]="","",VLOOKUP(Tableau13456[[#This Row],[Repère]],Tableau1[#All],8,FALSE))</f>
        <v/>
      </c>
      <c r="I77" s="13" t="str">
        <f>IF(Tableau13456[[#This Row],[Repère]]="","",VLOOKUP(Tableau13456[[#This Row],[Repère]],Tableau1[#All],9,FALSE))</f>
        <v/>
      </c>
      <c r="J77" s="13" t="str">
        <f>IF(Tableau13456[[#This Row],[Repère]]="","",VLOOKUP(Tableau13456[[#This Row],[Repère]],Tableau1[#All],10,FALSE))</f>
        <v/>
      </c>
      <c r="K77" s="13" t="str">
        <f>IF(Tableau13456[[#This Row],[Repère]]="","",VLOOKUP(Tableau13456[[#This Row],[Repère]],Tableau1[#All],11,FALSE))</f>
        <v/>
      </c>
      <c r="L77" s="14" t="str">
        <f>IF(Tableau13456[[#This Row],[Repère]]="","",VLOOKUP(Tableau13456[[#This Row],[Repère]],Tableau1[#All],12,FALSE))</f>
        <v/>
      </c>
    </row>
    <row r="78" spans="1:12" x14ac:dyDescent="0.3">
      <c r="A78" s="18"/>
      <c r="B78" s="19"/>
      <c r="C78" s="13" t="str">
        <f>IF(Tableau13456[[#This Row],[Repère]]="","",VLOOKUP(Tableau13456[[#This Row],[Repère]],Tableau1[#All],3,FALSE))</f>
        <v/>
      </c>
      <c r="D78" s="13" t="str">
        <f>IF(Tableau13456[[#This Row],[Repère]]="","",VLOOKUP(Tableau13456[[#This Row],[Repère]],Tableau1[#All],4,FALSE))</f>
        <v/>
      </c>
      <c r="E78" s="13" t="str">
        <f>IF(Tableau13456[[#This Row],[Repère]]="","",VLOOKUP(Tableau13456[[#This Row],[Repère]],Tableau1[#All],5,FALSE))</f>
        <v/>
      </c>
      <c r="F78" s="13" t="str">
        <f>IF(Tableau13456[[#This Row],[Repère]]="","",VLOOKUP(Tableau13456[[#This Row],[Repère]],Tableau1[#All],6,FALSE))</f>
        <v/>
      </c>
      <c r="G78" s="13" t="str">
        <f>IF(Tableau13456[[#This Row],[Repère]]="","",VLOOKUP(Tableau13456[[#This Row],[Repère]],Tableau1[#All],7,FALSE))</f>
        <v/>
      </c>
      <c r="H78" s="13" t="str">
        <f>IF(Tableau13456[[#This Row],[Repère]]="","",VLOOKUP(Tableau13456[[#This Row],[Repère]],Tableau1[#All],8,FALSE))</f>
        <v/>
      </c>
      <c r="I78" s="13" t="str">
        <f>IF(Tableau13456[[#This Row],[Repère]]="","",VLOOKUP(Tableau13456[[#This Row],[Repère]],Tableau1[#All],9,FALSE))</f>
        <v/>
      </c>
      <c r="J78" s="13" t="str">
        <f>IF(Tableau13456[[#This Row],[Repère]]="","",VLOOKUP(Tableau13456[[#This Row],[Repère]],Tableau1[#All],10,FALSE))</f>
        <v/>
      </c>
      <c r="K78" s="13" t="str">
        <f>IF(Tableau13456[[#This Row],[Repère]]="","",VLOOKUP(Tableau13456[[#This Row],[Repère]],Tableau1[#All],11,FALSE))</f>
        <v/>
      </c>
      <c r="L78" s="14" t="str">
        <f>IF(Tableau13456[[#This Row],[Repère]]="","",VLOOKUP(Tableau13456[[#This Row],[Repère]],Tableau1[#All],12,FALSE))</f>
        <v/>
      </c>
    </row>
    <row r="79" spans="1:12" x14ac:dyDescent="0.3">
      <c r="A79" s="18"/>
      <c r="B79" s="19"/>
      <c r="C79" s="13" t="str">
        <f>IF(Tableau13456[[#This Row],[Repère]]="","",VLOOKUP(Tableau13456[[#This Row],[Repère]],Tableau1[#All],3,FALSE))</f>
        <v/>
      </c>
      <c r="D79" s="13" t="str">
        <f>IF(Tableau13456[[#This Row],[Repère]]="","",VLOOKUP(Tableau13456[[#This Row],[Repère]],Tableau1[#All],4,FALSE))</f>
        <v/>
      </c>
      <c r="E79" s="13" t="str">
        <f>IF(Tableau13456[[#This Row],[Repère]]="","",VLOOKUP(Tableau13456[[#This Row],[Repère]],Tableau1[#All],5,FALSE))</f>
        <v/>
      </c>
      <c r="F79" s="13" t="str">
        <f>IF(Tableau13456[[#This Row],[Repère]]="","",VLOOKUP(Tableau13456[[#This Row],[Repère]],Tableau1[#All],6,FALSE))</f>
        <v/>
      </c>
      <c r="G79" s="13" t="str">
        <f>IF(Tableau13456[[#This Row],[Repère]]="","",VLOOKUP(Tableau13456[[#This Row],[Repère]],Tableau1[#All],7,FALSE))</f>
        <v/>
      </c>
      <c r="H79" s="13" t="str">
        <f>IF(Tableau13456[[#This Row],[Repère]]="","",VLOOKUP(Tableau13456[[#This Row],[Repère]],Tableau1[#All],8,FALSE))</f>
        <v/>
      </c>
      <c r="I79" s="13" t="str">
        <f>IF(Tableau13456[[#This Row],[Repère]]="","",VLOOKUP(Tableau13456[[#This Row],[Repère]],Tableau1[#All],9,FALSE))</f>
        <v/>
      </c>
      <c r="J79" s="13" t="str">
        <f>IF(Tableau13456[[#This Row],[Repère]]="","",VLOOKUP(Tableau13456[[#This Row],[Repère]],Tableau1[#All],10,FALSE))</f>
        <v/>
      </c>
      <c r="K79" s="13" t="str">
        <f>IF(Tableau13456[[#This Row],[Repère]]="","",VLOOKUP(Tableau13456[[#This Row],[Repère]],Tableau1[#All],11,FALSE))</f>
        <v/>
      </c>
      <c r="L79" s="14" t="str">
        <f>IF(Tableau13456[[#This Row],[Repère]]="","",VLOOKUP(Tableau13456[[#This Row],[Repère]],Tableau1[#All],12,FALSE))</f>
        <v/>
      </c>
    </row>
    <row r="80" spans="1:12" x14ac:dyDescent="0.3">
      <c r="A80" s="18"/>
      <c r="B80" s="19"/>
      <c r="C80" s="13" t="str">
        <f>IF(Tableau13456[[#This Row],[Repère]]="","",VLOOKUP(Tableau13456[[#This Row],[Repère]],Tableau1[#All],3,FALSE))</f>
        <v/>
      </c>
      <c r="D80" s="13" t="str">
        <f>IF(Tableau13456[[#This Row],[Repère]]="","",VLOOKUP(Tableau13456[[#This Row],[Repère]],Tableau1[#All],4,FALSE))</f>
        <v/>
      </c>
      <c r="E80" s="13" t="str">
        <f>IF(Tableau13456[[#This Row],[Repère]]="","",VLOOKUP(Tableau13456[[#This Row],[Repère]],Tableau1[#All],5,FALSE))</f>
        <v/>
      </c>
      <c r="F80" s="13" t="str">
        <f>IF(Tableau13456[[#This Row],[Repère]]="","",VLOOKUP(Tableau13456[[#This Row],[Repère]],Tableau1[#All],6,FALSE))</f>
        <v/>
      </c>
      <c r="G80" s="13" t="str">
        <f>IF(Tableau13456[[#This Row],[Repère]]="","",VLOOKUP(Tableau13456[[#This Row],[Repère]],Tableau1[#All],7,FALSE))</f>
        <v/>
      </c>
      <c r="H80" s="13" t="str">
        <f>IF(Tableau13456[[#This Row],[Repère]]="","",VLOOKUP(Tableau13456[[#This Row],[Repère]],Tableau1[#All],8,FALSE))</f>
        <v/>
      </c>
      <c r="I80" s="13" t="str">
        <f>IF(Tableau13456[[#This Row],[Repère]]="","",VLOOKUP(Tableau13456[[#This Row],[Repère]],Tableau1[#All],9,FALSE))</f>
        <v/>
      </c>
      <c r="J80" s="13" t="str">
        <f>IF(Tableau13456[[#This Row],[Repère]]="","",VLOOKUP(Tableau13456[[#This Row],[Repère]],Tableau1[#All],10,FALSE))</f>
        <v/>
      </c>
      <c r="K80" s="13" t="str">
        <f>IF(Tableau13456[[#This Row],[Repère]]="","",VLOOKUP(Tableau13456[[#This Row],[Repère]],Tableau1[#All],11,FALSE))</f>
        <v/>
      </c>
      <c r="L80" s="14" t="str">
        <f>IF(Tableau13456[[#This Row],[Repère]]="","",VLOOKUP(Tableau13456[[#This Row],[Repère]],Tableau1[#All],12,FALSE))</f>
        <v/>
      </c>
    </row>
    <row r="81" spans="1:12" x14ac:dyDescent="0.3">
      <c r="A81" s="18"/>
      <c r="B81" s="19"/>
      <c r="C81" s="13" t="str">
        <f>IF(Tableau13456[[#This Row],[Repère]]="","",VLOOKUP(Tableau13456[[#This Row],[Repère]],Tableau1[#All],3,FALSE))</f>
        <v/>
      </c>
      <c r="D81" s="13" t="str">
        <f>IF(Tableau13456[[#This Row],[Repère]]="","",VLOOKUP(Tableau13456[[#This Row],[Repère]],Tableau1[#All],4,FALSE))</f>
        <v/>
      </c>
      <c r="E81" s="13" t="str">
        <f>IF(Tableau13456[[#This Row],[Repère]]="","",VLOOKUP(Tableau13456[[#This Row],[Repère]],Tableau1[#All],5,FALSE))</f>
        <v/>
      </c>
      <c r="F81" s="13" t="str">
        <f>IF(Tableau13456[[#This Row],[Repère]]="","",VLOOKUP(Tableau13456[[#This Row],[Repère]],Tableau1[#All],6,FALSE))</f>
        <v/>
      </c>
      <c r="G81" s="13" t="str">
        <f>IF(Tableau13456[[#This Row],[Repère]]="","",VLOOKUP(Tableau13456[[#This Row],[Repère]],Tableau1[#All],7,FALSE))</f>
        <v/>
      </c>
      <c r="H81" s="13" t="str">
        <f>IF(Tableau13456[[#This Row],[Repère]]="","",VLOOKUP(Tableau13456[[#This Row],[Repère]],Tableau1[#All],8,FALSE))</f>
        <v/>
      </c>
      <c r="I81" s="13" t="str">
        <f>IF(Tableau13456[[#This Row],[Repère]]="","",VLOOKUP(Tableau13456[[#This Row],[Repère]],Tableau1[#All],9,FALSE))</f>
        <v/>
      </c>
      <c r="J81" s="13" t="str">
        <f>IF(Tableau13456[[#This Row],[Repère]]="","",VLOOKUP(Tableau13456[[#This Row],[Repère]],Tableau1[#All],10,FALSE))</f>
        <v/>
      </c>
      <c r="K81" s="13" t="str">
        <f>IF(Tableau13456[[#This Row],[Repère]]="","",VLOOKUP(Tableau13456[[#This Row],[Repère]],Tableau1[#All],11,FALSE))</f>
        <v/>
      </c>
      <c r="L81" s="14" t="str">
        <f>IF(Tableau13456[[#This Row],[Repère]]="","",VLOOKUP(Tableau13456[[#This Row],[Repère]],Tableau1[#All],12,FALSE))</f>
        <v/>
      </c>
    </row>
    <row r="82" spans="1:12" x14ac:dyDescent="0.3">
      <c r="A82" s="18"/>
      <c r="B82" s="19"/>
      <c r="C82" s="13" t="str">
        <f>IF(Tableau13456[[#This Row],[Repère]]="","",VLOOKUP(Tableau13456[[#This Row],[Repère]],Tableau1[#All],3,FALSE))</f>
        <v/>
      </c>
      <c r="D82" s="13" t="str">
        <f>IF(Tableau13456[[#This Row],[Repère]]="","",VLOOKUP(Tableau13456[[#This Row],[Repère]],Tableau1[#All],4,FALSE))</f>
        <v/>
      </c>
      <c r="E82" s="13" t="str">
        <f>IF(Tableau13456[[#This Row],[Repère]]="","",VLOOKUP(Tableau13456[[#This Row],[Repère]],Tableau1[#All],5,FALSE))</f>
        <v/>
      </c>
      <c r="F82" s="13" t="str">
        <f>IF(Tableau13456[[#This Row],[Repère]]="","",VLOOKUP(Tableau13456[[#This Row],[Repère]],Tableau1[#All],6,FALSE))</f>
        <v/>
      </c>
      <c r="G82" s="13" t="str">
        <f>IF(Tableau13456[[#This Row],[Repère]]="","",VLOOKUP(Tableau13456[[#This Row],[Repère]],Tableau1[#All],7,FALSE))</f>
        <v/>
      </c>
      <c r="H82" s="13" t="str">
        <f>IF(Tableau13456[[#This Row],[Repère]]="","",VLOOKUP(Tableau13456[[#This Row],[Repère]],Tableau1[#All],8,FALSE))</f>
        <v/>
      </c>
      <c r="I82" s="13" t="str">
        <f>IF(Tableau13456[[#This Row],[Repère]]="","",VLOOKUP(Tableau13456[[#This Row],[Repère]],Tableau1[#All],9,FALSE))</f>
        <v/>
      </c>
      <c r="J82" s="13" t="str">
        <f>IF(Tableau13456[[#This Row],[Repère]]="","",VLOOKUP(Tableau13456[[#This Row],[Repère]],Tableau1[#All],10,FALSE))</f>
        <v/>
      </c>
      <c r="K82" s="13" t="str">
        <f>IF(Tableau13456[[#This Row],[Repère]]="","",VLOOKUP(Tableau13456[[#This Row],[Repère]],Tableau1[#All],11,FALSE))</f>
        <v/>
      </c>
      <c r="L82" s="14" t="str">
        <f>IF(Tableau13456[[#This Row],[Repère]]="","",VLOOKUP(Tableau13456[[#This Row],[Repère]],Tableau1[#All],12,FALSE))</f>
        <v/>
      </c>
    </row>
    <row r="83" spans="1:12" x14ac:dyDescent="0.3">
      <c r="A83" s="18"/>
      <c r="B83" s="19"/>
      <c r="C83" s="13" t="str">
        <f>IF(Tableau13456[[#This Row],[Repère]]="","",VLOOKUP(Tableau13456[[#This Row],[Repère]],Tableau1[#All],3,FALSE))</f>
        <v/>
      </c>
      <c r="D83" s="13" t="str">
        <f>IF(Tableau13456[[#This Row],[Repère]]="","",VLOOKUP(Tableau13456[[#This Row],[Repère]],Tableau1[#All],4,FALSE))</f>
        <v/>
      </c>
      <c r="E83" s="13" t="str">
        <f>IF(Tableau13456[[#This Row],[Repère]]="","",VLOOKUP(Tableau13456[[#This Row],[Repère]],Tableau1[#All],5,FALSE))</f>
        <v/>
      </c>
      <c r="F83" s="13" t="str">
        <f>IF(Tableau13456[[#This Row],[Repère]]="","",VLOOKUP(Tableau13456[[#This Row],[Repère]],Tableau1[#All],6,FALSE))</f>
        <v/>
      </c>
      <c r="G83" s="13" t="str">
        <f>IF(Tableau13456[[#This Row],[Repère]]="","",VLOOKUP(Tableau13456[[#This Row],[Repère]],Tableau1[#All],7,FALSE))</f>
        <v/>
      </c>
      <c r="H83" s="13" t="str">
        <f>IF(Tableau13456[[#This Row],[Repère]]="","",VLOOKUP(Tableau13456[[#This Row],[Repère]],Tableau1[#All],8,FALSE))</f>
        <v/>
      </c>
      <c r="I83" s="13" t="str">
        <f>IF(Tableau13456[[#This Row],[Repère]]="","",VLOOKUP(Tableau13456[[#This Row],[Repère]],Tableau1[#All],9,FALSE))</f>
        <v/>
      </c>
      <c r="J83" s="13" t="str">
        <f>IF(Tableau13456[[#This Row],[Repère]]="","",VLOOKUP(Tableau13456[[#This Row],[Repère]],Tableau1[#All],10,FALSE))</f>
        <v/>
      </c>
      <c r="K83" s="13" t="str">
        <f>IF(Tableau13456[[#This Row],[Repère]]="","",VLOOKUP(Tableau13456[[#This Row],[Repère]],Tableau1[#All],11,FALSE))</f>
        <v/>
      </c>
      <c r="L83" s="14" t="str">
        <f>IF(Tableau13456[[#This Row],[Repère]]="","",VLOOKUP(Tableau13456[[#This Row],[Repère]],Tableau1[#All],12,FALSE))</f>
        <v/>
      </c>
    </row>
    <row r="84" spans="1:12" x14ac:dyDescent="0.3">
      <c r="A84" s="18"/>
      <c r="B84" s="19"/>
      <c r="C84" s="13" t="str">
        <f>IF(Tableau13456[[#This Row],[Repère]]="","",VLOOKUP(Tableau13456[[#This Row],[Repère]],Tableau1[#All],3,FALSE))</f>
        <v/>
      </c>
      <c r="D84" s="13" t="str">
        <f>IF(Tableau13456[[#This Row],[Repère]]="","",VLOOKUP(Tableau13456[[#This Row],[Repère]],Tableau1[#All],4,FALSE))</f>
        <v/>
      </c>
      <c r="E84" s="13" t="str">
        <f>IF(Tableau13456[[#This Row],[Repère]]="","",VLOOKUP(Tableau13456[[#This Row],[Repère]],Tableau1[#All],5,FALSE))</f>
        <v/>
      </c>
      <c r="F84" s="13" t="str">
        <f>IF(Tableau13456[[#This Row],[Repère]]="","",VLOOKUP(Tableau13456[[#This Row],[Repère]],Tableau1[#All],6,FALSE))</f>
        <v/>
      </c>
      <c r="G84" s="13" t="str">
        <f>IF(Tableau13456[[#This Row],[Repère]]="","",VLOOKUP(Tableau13456[[#This Row],[Repère]],Tableau1[#All],7,FALSE))</f>
        <v/>
      </c>
      <c r="H84" s="13" t="str">
        <f>IF(Tableau13456[[#This Row],[Repère]]="","",VLOOKUP(Tableau13456[[#This Row],[Repère]],Tableau1[#All],8,FALSE))</f>
        <v/>
      </c>
      <c r="I84" s="13" t="str">
        <f>IF(Tableau13456[[#This Row],[Repère]]="","",VLOOKUP(Tableau13456[[#This Row],[Repère]],Tableau1[#All],9,FALSE))</f>
        <v/>
      </c>
      <c r="J84" s="13" t="str">
        <f>IF(Tableau13456[[#This Row],[Repère]]="","",VLOOKUP(Tableau13456[[#This Row],[Repère]],Tableau1[#All],10,FALSE))</f>
        <v/>
      </c>
      <c r="K84" s="13" t="str">
        <f>IF(Tableau13456[[#This Row],[Repère]]="","",VLOOKUP(Tableau13456[[#This Row],[Repère]],Tableau1[#All],11,FALSE))</f>
        <v/>
      </c>
      <c r="L84" s="14" t="str">
        <f>IF(Tableau13456[[#This Row],[Repère]]="","",VLOOKUP(Tableau13456[[#This Row],[Repère]],Tableau1[#All],12,FALSE))</f>
        <v/>
      </c>
    </row>
    <row r="85" spans="1:12" x14ac:dyDescent="0.3">
      <c r="A85" s="18"/>
      <c r="B85" s="19"/>
      <c r="C85" s="13" t="str">
        <f>IF(Tableau13456[[#This Row],[Repère]]="","",VLOOKUP(Tableau13456[[#This Row],[Repère]],Tableau1[#All],3,FALSE))</f>
        <v/>
      </c>
      <c r="D85" s="13" t="str">
        <f>IF(Tableau13456[[#This Row],[Repère]]="","",VLOOKUP(Tableau13456[[#This Row],[Repère]],Tableau1[#All],4,FALSE))</f>
        <v/>
      </c>
      <c r="E85" s="13" t="str">
        <f>IF(Tableau13456[[#This Row],[Repère]]="","",VLOOKUP(Tableau13456[[#This Row],[Repère]],Tableau1[#All],5,FALSE))</f>
        <v/>
      </c>
      <c r="F85" s="13" t="str">
        <f>IF(Tableau13456[[#This Row],[Repère]]="","",VLOOKUP(Tableau13456[[#This Row],[Repère]],Tableau1[#All],6,FALSE))</f>
        <v/>
      </c>
      <c r="G85" s="13" t="str">
        <f>IF(Tableau13456[[#This Row],[Repère]]="","",VLOOKUP(Tableau13456[[#This Row],[Repère]],Tableau1[#All],7,FALSE))</f>
        <v/>
      </c>
      <c r="H85" s="13" t="str">
        <f>IF(Tableau13456[[#This Row],[Repère]]="","",VLOOKUP(Tableau13456[[#This Row],[Repère]],Tableau1[#All],8,FALSE))</f>
        <v/>
      </c>
      <c r="I85" s="13" t="str">
        <f>IF(Tableau13456[[#This Row],[Repère]]="","",VLOOKUP(Tableau13456[[#This Row],[Repère]],Tableau1[#All],9,FALSE))</f>
        <v/>
      </c>
      <c r="J85" s="13" t="str">
        <f>IF(Tableau13456[[#This Row],[Repère]]="","",VLOOKUP(Tableau13456[[#This Row],[Repère]],Tableau1[#All],10,FALSE))</f>
        <v/>
      </c>
      <c r="K85" s="13" t="str">
        <f>IF(Tableau13456[[#This Row],[Repère]]="","",VLOOKUP(Tableau13456[[#This Row],[Repère]],Tableau1[#All],11,FALSE))</f>
        <v/>
      </c>
      <c r="L85" s="14" t="str">
        <f>IF(Tableau13456[[#This Row],[Repère]]="","",VLOOKUP(Tableau13456[[#This Row],[Repère]],Tableau1[#All],12,FALSE))</f>
        <v/>
      </c>
    </row>
    <row r="86" spans="1:12" x14ac:dyDescent="0.3">
      <c r="A86" s="18"/>
      <c r="B86" s="19"/>
      <c r="C86" s="13" t="str">
        <f>IF(Tableau13456[[#This Row],[Repère]]="","",VLOOKUP(Tableau13456[[#This Row],[Repère]],Tableau1[#All],3,FALSE))</f>
        <v/>
      </c>
      <c r="D86" s="13" t="str">
        <f>IF(Tableau13456[[#This Row],[Repère]]="","",VLOOKUP(Tableau13456[[#This Row],[Repère]],Tableau1[#All],4,FALSE))</f>
        <v/>
      </c>
      <c r="E86" s="13" t="str">
        <f>IF(Tableau13456[[#This Row],[Repère]]="","",VLOOKUP(Tableau13456[[#This Row],[Repère]],Tableau1[#All],5,FALSE))</f>
        <v/>
      </c>
      <c r="F86" s="13" t="str">
        <f>IF(Tableau13456[[#This Row],[Repère]]="","",VLOOKUP(Tableau13456[[#This Row],[Repère]],Tableau1[#All],6,FALSE))</f>
        <v/>
      </c>
      <c r="G86" s="13" t="str">
        <f>IF(Tableau13456[[#This Row],[Repère]]="","",VLOOKUP(Tableau13456[[#This Row],[Repère]],Tableau1[#All],7,FALSE))</f>
        <v/>
      </c>
      <c r="H86" s="13" t="str">
        <f>IF(Tableau13456[[#This Row],[Repère]]="","",VLOOKUP(Tableau13456[[#This Row],[Repère]],Tableau1[#All],8,FALSE))</f>
        <v/>
      </c>
      <c r="I86" s="13" t="str">
        <f>IF(Tableau13456[[#This Row],[Repère]]="","",VLOOKUP(Tableau13456[[#This Row],[Repère]],Tableau1[#All],9,FALSE))</f>
        <v/>
      </c>
      <c r="J86" s="13" t="str">
        <f>IF(Tableau13456[[#This Row],[Repère]]="","",VLOOKUP(Tableau13456[[#This Row],[Repère]],Tableau1[#All],10,FALSE))</f>
        <v/>
      </c>
      <c r="K86" s="13" t="str">
        <f>IF(Tableau13456[[#This Row],[Repère]]="","",VLOOKUP(Tableau13456[[#This Row],[Repère]],Tableau1[#All],11,FALSE))</f>
        <v/>
      </c>
      <c r="L86" s="14" t="str">
        <f>IF(Tableau13456[[#This Row],[Repère]]="","",VLOOKUP(Tableau13456[[#This Row],[Repère]],Tableau1[#All],12,FALSE))</f>
        <v/>
      </c>
    </row>
    <row r="87" spans="1:12" x14ac:dyDescent="0.3">
      <c r="A87" s="18"/>
      <c r="B87" s="19"/>
      <c r="C87" s="13" t="str">
        <f>IF(Tableau13456[[#This Row],[Repère]]="","",VLOOKUP(Tableau13456[[#This Row],[Repère]],Tableau1[#All],3,FALSE))</f>
        <v/>
      </c>
      <c r="D87" s="13" t="str">
        <f>IF(Tableau13456[[#This Row],[Repère]]="","",VLOOKUP(Tableau13456[[#This Row],[Repère]],Tableau1[#All],4,FALSE))</f>
        <v/>
      </c>
      <c r="E87" s="13" t="str">
        <f>IF(Tableau13456[[#This Row],[Repère]]="","",VLOOKUP(Tableau13456[[#This Row],[Repère]],Tableau1[#All],5,FALSE))</f>
        <v/>
      </c>
      <c r="F87" s="13" t="str">
        <f>IF(Tableau13456[[#This Row],[Repère]]="","",VLOOKUP(Tableau13456[[#This Row],[Repère]],Tableau1[#All],6,FALSE))</f>
        <v/>
      </c>
      <c r="G87" s="13" t="str">
        <f>IF(Tableau13456[[#This Row],[Repère]]="","",VLOOKUP(Tableau13456[[#This Row],[Repère]],Tableau1[#All],7,FALSE))</f>
        <v/>
      </c>
      <c r="H87" s="13" t="str">
        <f>IF(Tableau13456[[#This Row],[Repère]]="","",VLOOKUP(Tableau13456[[#This Row],[Repère]],Tableau1[#All],8,FALSE))</f>
        <v/>
      </c>
      <c r="I87" s="13" t="str">
        <f>IF(Tableau13456[[#This Row],[Repère]]="","",VLOOKUP(Tableau13456[[#This Row],[Repère]],Tableau1[#All],9,FALSE))</f>
        <v/>
      </c>
      <c r="J87" s="13" t="str">
        <f>IF(Tableau13456[[#This Row],[Repère]]="","",VLOOKUP(Tableau13456[[#This Row],[Repère]],Tableau1[#All],10,FALSE))</f>
        <v/>
      </c>
      <c r="K87" s="13" t="str">
        <f>IF(Tableau13456[[#This Row],[Repère]]="","",VLOOKUP(Tableau13456[[#This Row],[Repère]],Tableau1[#All],11,FALSE))</f>
        <v/>
      </c>
      <c r="L87" s="14" t="str">
        <f>IF(Tableau13456[[#This Row],[Repère]]="","",VLOOKUP(Tableau13456[[#This Row],[Repère]],Tableau1[#All],12,FALSE))</f>
        <v/>
      </c>
    </row>
    <row r="88" spans="1:12" x14ac:dyDescent="0.3">
      <c r="A88" s="18"/>
      <c r="B88" s="19"/>
      <c r="C88" s="13" t="str">
        <f>IF(Tableau13456[[#This Row],[Repère]]="","",VLOOKUP(Tableau13456[[#This Row],[Repère]],Tableau1[#All],3,FALSE))</f>
        <v/>
      </c>
      <c r="D88" s="13" t="str">
        <f>IF(Tableau13456[[#This Row],[Repère]]="","",VLOOKUP(Tableau13456[[#This Row],[Repère]],Tableau1[#All],4,FALSE))</f>
        <v/>
      </c>
      <c r="E88" s="13" t="str">
        <f>IF(Tableau13456[[#This Row],[Repère]]="","",VLOOKUP(Tableau13456[[#This Row],[Repère]],Tableau1[#All],5,FALSE))</f>
        <v/>
      </c>
      <c r="F88" s="13" t="str">
        <f>IF(Tableau13456[[#This Row],[Repère]]="","",VLOOKUP(Tableau13456[[#This Row],[Repère]],Tableau1[#All],6,FALSE))</f>
        <v/>
      </c>
      <c r="G88" s="13" t="str">
        <f>IF(Tableau13456[[#This Row],[Repère]]="","",VLOOKUP(Tableau13456[[#This Row],[Repère]],Tableau1[#All],7,FALSE))</f>
        <v/>
      </c>
      <c r="H88" s="13" t="str">
        <f>IF(Tableau13456[[#This Row],[Repère]]="","",VLOOKUP(Tableau13456[[#This Row],[Repère]],Tableau1[#All],8,FALSE))</f>
        <v/>
      </c>
      <c r="I88" s="13" t="str">
        <f>IF(Tableau13456[[#This Row],[Repère]]="","",VLOOKUP(Tableau13456[[#This Row],[Repère]],Tableau1[#All],9,FALSE))</f>
        <v/>
      </c>
      <c r="J88" s="13" t="str">
        <f>IF(Tableau13456[[#This Row],[Repère]]="","",VLOOKUP(Tableau13456[[#This Row],[Repère]],Tableau1[#All],10,FALSE))</f>
        <v/>
      </c>
      <c r="K88" s="13" t="str">
        <f>IF(Tableau13456[[#This Row],[Repère]]="","",VLOOKUP(Tableau13456[[#This Row],[Repère]],Tableau1[#All],11,FALSE))</f>
        <v/>
      </c>
      <c r="L88" s="14" t="str">
        <f>IF(Tableau13456[[#This Row],[Repère]]="","",VLOOKUP(Tableau13456[[#This Row],[Repère]],Tableau1[#All],12,FALSE))</f>
        <v/>
      </c>
    </row>
    <row r="89" spans="1:12" x14ac:dyDescent="0.3">
      <c r="A89" s="18"/>
      <c r="B89" s="19"/>
      <c r="C89" s="13" t="str">
        <f>IF(Tableau13456[[#This Row],[Repère]]="","",VLOOKUP(Tableau13456[[#This Row],[Repère]],Tableau1[#All],3,FALSE))</f>
        <v/>
      </c>
      <c r="D89" s="13" t="str">
        <f>IF(Tableau13456[[#This Row],[Repère]]="","",VLOOKUP(Tableau13456[[#This Row],[Repère]],Tableau1[#All],4,FALSE))</f>
        <v/>
      </c>
      <c r="E89" s="13" t="str">
        <f>IF(Tableau13456[[#This Row],[Repère]]="","",VLOOKUP(Tableau13456[[#This Row],[Repère]],Tableau1[#All],5,FALSE))</f>
        <v/>
      </c>
      <c r="F89" s="13" t="str">
        <f>IF(Tableau13456[[#This Row],[Repère]]="","",VLOOKUP(Tableau13456[[#This Row],[Repère]],Tableau1[#All],6,FALSE))</f>
        <v/>
      </c>
      <c r="G89" s="13" t="str">
        <f>IF(Tableau13456[[#This Row],[Repère]]="","",VLOOKUP(Tableau13456[[#This Row],[Repère]],Tableau1[#All],7,FALSE))</f>
        <v/>
      </c>
      <c r="H89" s="13" t="str">
        <f>IF(Tableau13456[[#This Row],[Repère]]="","",VLOOKUP(Tableau13456[[#This Row],[Repère]],Tableau1[#All],8,FALSE))</f>
        <v/>
      </c>
      <c r="I89" s="13" t="str">
        <f>IF(Tableau13456[[#This Row],[Repère]]="","",VLOOKUP(Tableau13456[[#This Row],[Repère]],Tableau1[#All],9,FALSE))</f>
        <v/>
      </c>
      <c r="J89" s="13" t="str">
        <f>IF(Tableau13456[[#This Row],[Repère]]="","",VLOOKUP(Tableau13456[[#This Row],[Repère]],Tableau1[#All],10,FALSE))</f>
        <v/>
      </c>
      <c r="K89" s="13" t="str">
        <f>IF(Tableau13456[[#This Row],[Repère]]="","",VLOOKUP(Tableau13456[[#This Row],[Repère]],Tableau1[#All],11,FALSE))</f>
        <v/>
      </c>
      <c r="L89" s="14" t="str">
        <f>IF(Tableau13456[[#This Row],[Repère]]="","",VLOOKUP(Tableau13456[[#This Row],[Repère]],Tableau1[#All],12,FALSE))</f>
        <v/>
      </c>
    </row>
    <row r="90" spans="1:12" x14ac:dyDescent="0.3">
      <c r="A90" s="18"/>
      <c r="B90" s="19"/>
      <c r="C90" s="13" t="str">
        <f>IF(Tableau13456[[#This Row],[Repère]]="","",VLOOKUP(Tableau13456[[#This Row],[Repère]],Tableau1[#All],3,FALSE))</f>
        <v/>
      </c>
      <c r="D90" s="13" t="str">
        <f>IF(Tableau13456[[#This Row],[Repère]]="","",VLOOKUP(Tableau13456[[#This Row],[Repère]],Tableau1[#All],4,FALSE))</f>
        <v/>
      </c>
      <c r="E90" s="13" t="str">
        <f>IF(Tableau13456[[#This Row],[Repère]]="","",VLOOKUP(Tableau13456[[#This Row],[Repère]],Tableau1[#All],5,FALSE))</f>
        <v/>
      </c>
      <c r="F90" s="13" t="str">
        <f>IF(Tableau13456[[#This Row],[Repère]]="","",VLOOKUP(Tableau13456[[#This Row],[Repère]],Tableau1[#All],6,FALSE))</f>
        <v/>
      </c>
      <c r="G90" s="13" t="str">
        <f>IF(Tableau13456[[#This Row],[Repère]]="","",VLOOKUP(Tableau13456[[#This Row],[Repère]],Tableau1[#All],7,FALSE))</f>
        <v/>
      </c>
      <c r="H90" s="13" t="str">
        <f>IF(Tableau13456[[#This Row],[Repère]]="","",VLOOKUP(Tableau13456[[#This Row],[Repère]],Tableau1[#All],8,FALSE))</f>
        <v/>
      </c>
      <c r="I90" s="13" t="str">
        <f>IF(Tableau13456[[#This Row],[Repère]]="","",VLOOKUP(Tableau13456[[#This Row],[Repère]],Tableau1[#All],9,FALSE))</f>
        <v/>
      </c>
      <c r="J90" s="13" t="str">
        <f>IF(Tableau13456[[#This Row],[Repère]]="","",VLOOKUP(Tableau13456[[#This Row],[Repère]],Tableau1[#All],10,FALSE))</f>
        <v/>
      </c>
      <c r="K90" s="13" t="str">
        <f>IF(Tableau13456[[#This Row],[Repère]]="","",VLOOKUP(Tableau13456[[#This Row],[Repère]],Tableau1[#All],11,FALSE))</f>
        <v/>
      </c>
      <c r="L90" s="14" t="str">
        <f>IF(Tableau13456[[#This Row],[Repère]]="","",VLOOKUP(Tableau13456[[#This Row],[Repère]],Tableau1[#All],12,FALSE))</f>
        <v/>
      </c>
    </row>
    <row r="91" spans="1:12" x14ac:dyDescent="0.3">
      <c r="A91" s="18"/>
      <c r="B91" s="19"/>
      <c r="C91" s="13" t="str">
        <f>IF(Tableau13456[[#This Row],[Repère]]="","",VLOOKUP(Tableau13456[[#This Row],[Repère]],Tableau1[#All],3,FALSE))</f>
        <v/>
      </c>
      <c r="D91" s="13" t="str">
        <f>IF(Tableau13456[[#This Row],[Repère]]="","",VLOOKUP(Tableau13456[[#This Row],[Repère]],Tableau1[#All],4,FALSE))</f>
        <v/>
      </c>
      <c r="E91" s="13" t="str">
        <f>IF(Tableau13456[[#This Row],[Repère]]="","",VLOOKUP(Tableau13456[[#This Row],[Repère]],Tableau1[#All],5,FALSE))</f>
        <v/>
      </c>
      <c r="F91" s="13" t="str">
        <f>IF(Tableau13456[[#This Row],[Repère]]="","",VLOOKUP(Tableau13456[[#This Row],[Repère]],Tableau1[#All],6,FALSE))</f>
        <v/>
      </c>
      <c r="G91" s="13" t="str">
        <f>IF(Tableau13456[[#This Row],[Repère]]="","",VLOOKUP(Tableau13456[[#This Row],[Repère]],Tableau1[#All],7,FALSE))</f>
        <v/>
      </c>
      <c r="H91" s="13" t="str">
        <f>IF(Tableau13456[[#This Row],[Repère]]="","",VLOOKUP(Tableau13456[[#This Row],[Repère]],Tableau1[#All],8,FALSE))</f>
        <v/>
      </c>
      <c r="I91" s="13" t="str">
        <f>IF(Tableau13456[[#This Row],[Repère]]="","",VLOOKUP(Tableau13456[[#This Row],[Repère]],Tableau1[#All],9,FALSE))</f>
        <v/>
      </c>
      <c r="J91" s="13" t="str">
        <f>IF(Tableau13456[[#This Row],[Repère]]="","",VLOOKUP(Tableau13456[[#This Row],[Repère]],Tableau1[#All],10,FALSE))</f>
        <v/>
      </c>
      <c r="K91" s="13" t="str">
        <f>IF(Tableau13456[[#This Row],[Repère]]="","",VLOOKUP(Tableau13456[[#This Row],[Repère]],Tableau1[#All],11,FALSE))</f>
        <v/>
      </c>
      <c r="L91" s="14" t="str">
        <f>IF(Tableau13456[[#This Row],[Repère]]="","",VLOOKUP(Tableau13456[[#This Row],[Repère]],Tableau1[#All],12,FALSE))</f>
        <v/>
      </c>
    </row>
    <row r="92" spans="1:12" x14ac:dyDescent="0.3">
      <c r="A92" s="18"/>
      <c r="B92" s="19"/>
      <c r="C92" s="13" t="str">
        <f>IF(Tableau13456[[#This Row],[Repère]]="","",VLOOKUP(Tableau13456[[#This Row],[Repère]],Tableau1[#All],3,FALSE))</f>
        <v/>
      </c>
      <c r="D92" s="13" t="str">
        <f>IF(Tableau13456[[#This Row],[Repère]]="","",VLOOKUP(Tableau13456[[#This Row],[Repère]],Tableau1[#All],4,FALSE))</f>
        <v/>
      </c>
      <c r="E92" s="13" t="str">
        <f>IF(Tableau13456[[#This Row],[Repère]]="","",VLOOKUP(Tableau13456[[#This Row],[Repère]],Tableau1[#All],5,FALSE))</f>
        <v/>
      </c>
      <c r="F92" s="13" t="str">
        <f>IF(Tableau13456[[#This Row],[Repère]]="","",VLOOKUP(Tableau13456[[#This Row],[Repère]],Tableau1[#All],6,FALSE))</f>
        <v/>
      </c>
      <c r="G92" s="13" t="str">
        <f>IF(Tableau13456[[#This Row],[Repère]]="","",VLOOKUP(Tableau13456[[#This Row],[Repère]],Tableau1[#All],7,FALSE))</f>
        <v/>
      </c>
      <c r="H92" s="13" t="str">
        <f>IF(Tableau13456[[#This Row],[Repère]]="","",VLOOKUP(Tableau13456[[#This Row],[Repère]],Tableau1[#All],8,FALSE))</f>
        <v/>
      </c>
      <c r="I92" s="13" t="str">
        <f>IF(Tableau13456[[#This Row],[Repère]]="","",VLOOKUP(Tableau13456[[#This Row],[Repère]],Tableau1[#All],9,FALSE))</f>
        <v/>
      </c>
      <c r="J92" s="13" t="str">
        <f>IF(Tableau13456[[#This Row],[Repère]]="","",VLOOKUP(Tableau13456[[#This Row],[Repère]],Tableau1[#All],10,FALSE))</f>
        <v/>
      </c>
      <c r="K92" s="13" t="str">
        <f>IF(Tableau13456[[#This Row],[Repère]]="","",VLOOKUP(Tableau13456[[#This Row],[Repère]],Tableau1[#All],11,FALSE))</f>
        <v/>
      </c>
      <c r="L92" s="14" t="str">
        <f>IF(Tableau13456[[#This Row],[Repère]]="","",VLOOKUP(Tableau13456[[#This Row],[Repère]],Tableau1[#All],12,FALSE))</f>
        <v/>
      </c>
    </row>
    <row r="93" spans="1:12" x14ac:dyDescent="0.3">
      <c r="A93" s="18"/>
      <c r="B93" s="19"/>
      <c r="C93" s="13" t="str">
        <f>IF(Tableau13456[[#This Row],[Repère]]="","",VLOOKUP(Tableau13456[[#This Row],[Repère]],Tableau1[#All],3,FALSE))</f>
        <v/>
      </c>
      <c r="D93" s="13" t="str">
        <f>IF(Tableau13456[[#This Row],[Repère]]="","",VLOOKUP(Tableau13456[[#This Row],[Repère]],Tableau1[#All],4,FALSE))</f>
        <v/>
      </c>
      <c r="E93" s="13" t="str">
        <f>IF(Tableau13456[[#This Row],[Repère]]="","",VLOOKUP(Tableau13456[[#This Row],[Repère]],Tableau1[#All],5,FALSE))</f>
        <v/>
      </c>
      <c r="F93" s="13" t="str">
        <f>IF(Tableau13456[[#This Row],[Repère]]="","",VLOOKUP(Tableau13456[[#This Row],[Repère]],Tableau1[#All],6,FALSE))</f>
        <v/>
      </c>
      <c r="G93" s="13" t="str">
        <f>IF(Tableau13456[[#This Row],[Repère]]="","",VLOOKUP(Tableau13456[[#This Row],[Repère]],Tableau1[#All],7,FALSE))</f>
        <v/>
      </c>
      <c r="H93" s="13" t="str">
        <f>IF(Tableau13456[[#This Row],[Repère]]="","",VLOOKUP(Tableau13456[[#This Row],[Repère]],Tableau1[#All],8,FALSE))</f>
        <v/>
      </c>
      <c r="I93" s="13" t="str">
        <f>IF(Tableau13456[[#This Row],[Repère]]="","",VLOOKUP(Tableau13456[[#This Row],[Repère]],Tableau1[#All],9,FALSE))</f>
        <v/>
      </c>
      <c r="J93" s="13" t="str">
        <f>IF(Tableau13456[[#This Row],[Repère]]="","",VLOOKUP(Tableau13456[[#This Row],[Repère]],Tableau1[#All],10,FALSE))</f>
        <v/>
      </c>
      <c r="K93" s="13" t="str">
        <f>IF(Tableau13456[[#This Row],[Repère]]="","",VLOOKUP(Tableau13456[[#This Row],[Repère]],Tableau1[#All],11,FALSE))</f>
        <v/>
      </c>
      <c r="L93" s="14" t="str">
        <f>IF(Tableau13456[[#This Row],[Repère]]="","",VLOOKUP(Tableau13456[[#This Row],[Repère]],Tableau1[#All],12,FALSE))</f>
        <v/>
      </c>
    </row>
    <row r="94" spans="1:12" x14ac:dyDescent="0.3">
      <c r="A94" s="18"/>
      <c r="B94" s="19"/>
      <c r="C94" s="13" t="str">
        <f>IF(Tableau13456[[#This Row],[Repère]]="","",VLOOKUP(Tableau13456[[#This Row],[Repère]],Tableau1[#All],3,FALSE))</f>
        <v/>
      </c>
      <c r="D94" s="13" t="str">
        <f>IF(Tableau13456[[#This Row],[Repère]]="","",VLOOKUP(Tableau13456[[#This Row],[Repère]],Tableau1[#All],4,FALSE))</f>
        <v/>
      </c>
      <c r="E94" s="13" t="str">
        <f>IF(Tableau13456[[#This Row],[Repère]]="","",VLOOKUP(Tableau13456[[#This Row],[Repère]],Tableau1[#All],5,FALSE))</f>
        <v/>
      </c>
      <c r="F94" s="13" t="str">
        <f>IF(Tableau13456[[#This Row],[Repère]]="","",VLOOKUP(Tableau13456[[#This Row],[Repère]],Tableau1[#All],6,FALSE))</f>
        <v/>
      </c>
      <c r="G94" s="13" t="str">
        <f>IF(Tableau13456[[#This Row],[Repère]]="","",VLOOKUP(Tableau13456[[#This Row],[Repère]],Tableau1[#All],7,FALSE))</f>
        <v/>
      </c>
      <c r="H94" s="13" t="str">
        <f>IF(Tableau13456[[#This Row],[Repère]]="","",VLOOKUP(Tableau13456[[#This Row],[Repère]],Tableau1[#All],8,FALSE))</f>
        <v/>
      </c>
      <c r="I94" s="13" t="str">
        <f>IF(Tableau13456[[#This Row],[Repère]]="","",VLOOKUP(Tableau13456[[#This Row],[Repère]],Tableau1[#All],9,FALSE))</f>
        <v/>
      </c>
      <c r="J94" s="13" t="str">
        <f>IF(Tableau13456[[#This Row],[Repère]]="","",VLOOKUP(Tableau13456[[#This Row],[Repère]],Tableau1[#All],10,FALSE))</f>
        <v/>
      </c>
      <c r="K94" s="13" t="str">
        <f>IF(Tableau13456[[#This Row],[Repère]]="","",VLOOKUP(Tableau13456[[#This Row],[Repère]],Tableau1[#All],11,FALSE))</f>
        <v/>
      </c>
      <c r="L94" s="14" t="str">
        <f>IF(Tableau13456[[#This Row],[Repère]]="","",VLOOKUP(Tableau13456[[#This Row],[Repère]],Tableau1[#All],12,FALSE))</f>
        <v/>
      </c>
    </row>
    <row r="95" spans="1:12" x14ac:dyDescent="0.3">
      <c r="A95" s="18"/>
      <c r="B95" s="19"/>
      <c r="C95" s="13" t="str">
        <f>IF(Tableau13456[[#This Row],[Repère]]="","",VLOOKUP(Tableau13456[[#This Row],[Repère]],Tableau1[#All],3,FALSE))</f>
        <v/>
      </c>
      <c r="D95" s="13" t="str">
        <f>IF(Tableau13456[[#This Row],[Repère]]="","",VLOOKUP(Tableau13456[[#This Row],[Repère]],Tableau1[#All],4,FALSE))</f>
        <v/>
      </c>
      <c r="E95" s="13" t="str">
        <f>IF(Tableau13456[[#This Row],[Repère]]="","",VLOOKUP(Tableau13456[[#This Row],[Repère]],Tableau1[#All],5,FALSE))</f>
        <v/>
      </c>
      <c r="F95" s="13" t="str">
        <f>IF(Tableau13456[[#This Row],[Repère]]="","",VLOOKUP(Tableau13456[[#This Row],[Repère]],Tableau1[#All],6,FALSE))</f>
        <v/>
      </c>
      <c r="G95" s="13" t="str">
        <f>IF(Tableau13456[[#This Row],[Repère]]="","",VLOOKUP(Tableau13456[[#This Row],[Repère]],Tableau1[#All],7,FALSE))</f>
        <v/>
      </c>
      <c r="H95" s="13" t="str">
        <f>IF(Tableau13456[[#This Row],[Repère]]="","",VLOOKUP(Tableau13456[[#This Row],[Repère]],Tableau1[#All],8,FALSE))</f>
        <v/>
      </c>
      <c r="I95" s="13" t="str">
        <f>IF(Tableau13456[[#This Row],[Repère]]="","",VLOOKUP(Tableau13456[[#This Row],[Repère]],Tableau1[#All],9,FALSE))</f>
        <v/>
      </c>
      <c r="J95" s="13" t="str">
        <f>IF(Tableau13456[[#This Row],[Repère]]="","",VLOOKUP(Tableau13456[[#This Row],[Repère]],Tableau1[#All],10,FALSE))</f>
        <v/>
      </c>
      <c r="K95" s="13" t="str">
        <f>IF(Tableau13456[[#This Row],[Repère]]="","",VLOOKUP(Tableau13456[[#This Row],[Repère]],Tableau1[#All],11,FALSE))</f>
        <v/>
      </c>
      <c r="L95" s="14" t="str">
        <f>IF(Tableau13456[[#This Row],[Repère]]="","",VLOOKUP(Tableau13456[[#This Row],[Repère]],Tableau1[#All],12,FALSE))</f>
        <v/>
      </c>
    </row>
    <row r="96" spans="1:12" x14ac:dyDescent="0.3">
      <c r="A96" s="18"/>
      <c r="B96" s="19"/>
      <c r="C96" s="13" t="str">
        <f>IF(Tableau13456[[#This Row],[Repère]]="","",VLOOKUP(Tableau13456[[#This Row],[Repère]],Tableau1[#All],3,FALSE))</f>
        <v/>
      </c>
      <c r="D96" s="13" t="str">
        <f>IF(Tableau13456[[#This Row],[Repère]]="","",VLOOKUP(Tableau13456[[#This Row],[Repère]],Tableau1[#All],4,FALSE))</f>
        <v/>
      </c>
      <c r="E96" s="13" t="str">
        <f>IF(Tableau13456[[#This Row],[Repère]]="","",VLOOKUP(Tableau13456[[#This Row],[Repère]],Tableau1[#All],5,FALSE))</f>
        <v/>
      </c>
      <c r="F96" s="13" t="str">
        <f>IF(Tableau13456[[#This Row],[Repère]]="","",VLOOKUP(Tableau13456[[#This Row],[Repère]],Tableau1[#All],6,FALSE))</f>
        <v/>
      </c>
      <c r="G96" s="13" t="str">
        <f>IF(Tableau13456[[#This Row],[Repère]]="","",VLOOKUP(Tableau13456[[#This Row],[Repère]],Tableau1[#All],7,FALSE))</f>
        <v/>
      </c>
      <c r="H96" s="13" t="str">
        <f>IF(Tableau13456[[#This Row],[Repère]]="","",VLOOKUP(Tableau13456[[#This Row],[Repère]],Tableau1[#All],8,FALSE))</f>
        <v/>
      </c>
      <c r="I96" s="13" t="str">
        <f>IF(Tableau13456[[#This Row],[Repère]]="","",VLOOKUP(Tableau13456[[#This Row],[Repère]],Tableau1[#All],9,FALSE))</f>
        <v/>
      </c>
      <c r="J96" s="13" t="str">
        <f>IF(Tableau13456[[#This Row],[Repère]]="","",VLOOKUP(Tableau13456[[#This Row],[Repère]],Tableau1[#All],10,FALSE))</f>
        <v/>
      </c>
      <c r="K96" s="13" t="str">
        <f>IF(Tableau13456[[#This Row],[Repère]]="","",VLOOKUP(Tableau13456[[#This Row],[Repère]],Tableau1[#All],11,FALSE))</f>
        <v/>
      </c>
      <c r="L96" s="14" t="str">
        <f>IF(Tableau13456[[#This Row],[Repère]]="","",VLOOKUP(Tableau13456[[#This Row],[Repère]],Tableau1[#All],12,FALSE))</f>
        <v/>
      </c>
    </row>
    <row r="97" spans="1:12" x14ac:dyDescent="0.3">
      <c r="A97" s="18"/>
      <c r="B97" s="19"/>
      <c r="C97" s="13" t="str">
        <f>IF(Tableau13456[[#This Row],[Repère]]="","",VLOOKUP(Tableau13456[[#This Row],[Repère]],Tableau1[#All],3,FALSE))</f>
        <v/>
      </c>
      <c r="D97" s="13" t="str">
        <f>IF(Tableau13456[[#This Row],[Repère]]="","",VLOOKUP(Tableau13456[[#This Row],[Repère]],Tableau1[#All],4,FALSE))</f>
        <v/>
      </c>
      <c r="E97" s="13" t="str">
        <f>IF(Tableau13456[[#This Row],[Repère]]="","",VLOOKUP(Tableau13456[[#This Row],[Repère]],Tableau1[#All],5,FALSE))</f>
        <v/>
      </c>
      <c r="F97" s="13" t="str">
        <f>IF(Tableau13456[[#This Row],[Repère]]="","",VLOOKUP(Tableau13456[[#This Row],[Repère]],Tableau1[#All],6,FALSE))</f>
        <v/>
      </c>
      <c r="G97" s="13" t="str">
        <f>IF(Tableau13456[[#This Row],[Repère]]="","",VLOOKUP(Tableau13456[[#This Row],[Repère]],Tableau1[#All],7,FALSE))</f>
        <v/>
      </c>
      <c r="H97" s="13" t="str">
        <f>IF(Tableau13456[[#This Row],[Repère]]="","",VLOOKUP(Tableau13456[[#This Row],[Repère]],Tableau1[#All],8,FALSE))</f>
        <v/>
      </c>
      <c r="I97" s="13" t="str">
        <f>IF(Tableau13456[[#This Row],[Repère]]="","",VLOOKUP(Tableau13456[[#This Row],[Repère]],Tableau1[#All],9,FALSE))</f>
        <v/>
      </c>
      <c r="J97" s="13" t="str">
        <f>IF(Tableau13456[[#This Row],[Repère]]="","",VLOOKUP(Tableau13456[[#This Row],[Repère]],Tableau1[#All],10,FALSE))</f>
        <v/>
      </c>
      <c r="K97" s="13" t="str">
        <f>IF(Tableau13456[[#This Row],[Repère]]="","",VLOOKUP(Tableau13456[[#This Row],[Repère]],Tableau1[#All],11,FALSE))</f>
        <v/>
      </c>
      <c r="L97" s="14" t="str">
        <f>IF(Tableau13456[[#This Row],[Repère]]="","",VLOOKUP(Tableau13456[[#This Row],[Repère]],Tableau1[#All],12,FALSE))</f>
        <v/>
      </c>
    </row>
    <row r="98" spans="1:12" x14ac:dyDescent="0.3">
      <c r="A98" s="18"/>
      <c r="B98" s="19"/>
      <c r="C98" s="13" t="str">
        <f>IF(Tableau13456[[#This Row],[Repère]]="","",VLOOKUP(Tableau13456[[#This Row],[Repère]],Tableau1[#All],3,FALSE))</f>
        <v/>
      </c>
      <c r="D98" s="13" t="str">
        <f>IF(Tableau13456[[#This Row],[Repère]]="","",VLOOKUP(Tableau13456[[#This Row],[Repère]],Tableau1[#All],4,FALSE))</f>
        <v/>
      </c>
      <c r="E98" s="13" t="str">
        <f>IF(Tableau13456[[#This Row],[Repère]]="","",VLOOKUP(Tableau13456[[#This Row],[Repère]],Tableau1[#All],5,FALSE))</f>
        <v/>
      </c>
      <c r="F98" s="13" t="str">
        <f>IF(Tableau13456[[#This Row],[Repère]]="","",VLOOKUP(Tableau13456[[#This Row],[Repère]],Tableau1[#All],6,FALSE))</f>
        <v/>
      </c>
      <c r="G98" s="13" t="str">
        <f>IF(Tableau13456[[#This Row],[Repère]]="","",VLOOKUP(Tableau13456[[#This Row],[Repère]],Tableau1[#All],7,FALSE))</f>
        <v/>
      </c>
      <c r="H98" s="13" t="str">
        <f>IF(Tableau13456[[#This Row],[Repère]]="","",VLOOKUP(Tableau13456[[#This Row],[Repère]],Tableau1[#All],8,FALSE))</f>
        <v/>
      </c>
      <c r="I98" s="13" t="str">
        <f>IF(Tableau13456[[#This Row],[Repère]]="","",VLOOKUP(Tableau13456[[#This Row],[Repère]],Tableau1[#All],9,FALSE))</f>
        <v/>
      </c>
      <c r="J98" s="13" t="str">
        <f>IF(Tableau13456[[#This Row],[Repère]]="","",VLOOKUP(Tableau13456[[#This Row],[Repère]],Tableau1[#All],10,FALSE))</f>
        <v/>
      </c>
      <c r="K98" s="13" t="str">
        <f>IF(Tableau13456[[#This Row],[Repère]]="","",VLOOKUP(Tableau13456[[#This Row],[Repère]],Tableau1[#All],11,FALSE))</f>
        <v/>
      </c>
      <c r="L98" s="14" t="str">
        <f>IF(Tableau13456[[#This Row],[Repère]]="","",VLOOKUP(Tableau13456[[#This Row],[Repère]],Tableau1[#All],12,FALSE))</f>
        <v/>
      </c>
    </row>
    <row r="99" spans="1:12" x14ac:dyDescent="0.3">
      <c r="A99" s="18"/>
      <c r="B99" s="19"/>
      <c r="C99" s="13" t="str">
        <f>IF(Tableau13456[[#This Row],[Repère]]="","",VLOOKUP(Tableau13456[[#This Row],[Repère]],Tableau1[#All],3,FALSE))</f>
        <v/>
      </c>
      <c r="D99" s="13" t="str">
        <f>IF(Tableau13456[[#This Row],[Repère]]="","",VLOOKUP(Tableau13456[[#This Row],[Repère]],Tableau1[#All],4,FALSE))</f>
        <v/>
      </c>
      <c r="E99" s="13" t="str">
        <f>IF(Tableau13456[[#This Row],[Repère]]="","",VLOOKUP(Tableau13456[[#This Row],[Repère]],Tableau1[#All],5,FALSE))</f>
        <v/>
      </c>
      <c r="F99" s="13" t="str">
        <f>IF(Tableau13456[[#This Row],[Repère]]="","",VLOOKUP(Tableau13456[[#This Row],[Repère]],Tableau1[#All],6,FALSE))</f>
        <v/>
      </c>
      <c r="G99" s="13" t="str">
        <f>IF(Tableau13456[[#This Row],[Repère]]="","",VLOOKUP(Tableau13456[[#This Row],[Repère]],Tableau1[#All],7,FALSE))</f>
        <v/>
      </c>
      <c r="H99" s="13" t="str">
        <f>IF(Tableau13456[[#This Row],[Repère]]="","",VLOOKUP(Tableau13456[[#This Row],[Repère]],Tableau1[#All],8,FALSE))</f>
        <v/>
      </c>
      <c r="I99" s="13" t="str">
        <f>IF(Tableau13456[[#This Row],[Repère]]="","",VLOOKUP(Tableau13456[[#This Row],[Repère]],Tableau1[#All],9,FALSE))</f>
        <v/>
      </c>
      <c r="J99" s="13" t="str">
        <f>IF(Tableau13456[[#This Row],[Repère]]="","",VLOOKUP(Tableau13456[[#This Row],[Repère]],Tableau1[#All],10,FALSE))</f>
        <v/>
      </c>
      <c r="K99" s="13" t="str">
        <f>IF(Tableau13456[[#This Row],[Repère]]="","",VLOOKUP(Tableau13456[[#This Row],[Repère]],Tableau1[#All],11,FALSE))</f>
        <v/>
      </c>
      <c r="L99" s="14" t="str">
        <f>IF(Tableau13456[[#This Row],[Repère]]="","",VLOOKUP(Tableau13456[[#This Row],[Repère]],Tableau1[#All],12,FALSE))</f>
        <v/>
      </c>
    </row>
    <row r="100" spans="1:12" x14ac:dyDescent="0.3">
      <c r="A100" s="18"/>
      <c r="B100" s="19"/>
      <c r="C100" s="13" t="str">
        <f>IF(Tableau13456[[#This Row],[Repère]]="","",VLOOKUP(Tableau13456[[#This Row],[Repère]],Tableau1[#All],3,FALSE))</f>
        <v/>
      </c>
      <c r="D100" s="13" t="str">
        <f>IF(Tableau13456[[#This Row],[Repère]]="","",VLOOKUP(Tableau13456[[#This Row],[Repère]],Tableau1[#All],4,FALSE))</f>
        <v/>
      </c>
      <c r="E100" s="13" t="str">
        <f>IF(Tableau13456[[#This Row],[Repère]]="","",VLOOKUP(Tableau13456[[#This Row],[Repère]],Tableau1[#All],5,FALSE))</f>
        <v/>
      </c>
      <c r="F100" s="13" t="str">
        <f>IF(Tableau13456[[#This Row],[Repère]]="","",VLOOKUP(Tableau13456[[#This Row],[Repère]],Tableau1[#All],6,FALSE))</f>
        <v/>
      </c>
      <c r="G100" s="13" t="str">
        <f>IF(Tableau13456[[#This Row],[Repère]]="","",VLOOKUP(Tableau13456[[#This Row],[Repère]],Tableau1[#All],7,FALSE))</f>
        <v/>
      </c>
      <c r="H100" s="13" t="str">
        <f>IF(Tableau13456[[#This Row],[Repère]]="","",VLOOKUP(Tableau13456[[#This Row],[Repère]],Tableau1[#All],8,FALSE))</f>
        <v/>
      </c>
      <c r="I100" s="13" t="str">
        <f>IF(Tableau13456[[#This Row],[Repère]]="","",VLOOKUP(Tableau13456[[#This Row],[Repère]],Tableau1[#All],9,FALSE))</f>
        <v/>
      </c>
      <c r="J100" s="13" t="str">
        <f>IF(Tableau13456[[#This Row],[Repère]]="","",VLOOKUP(Tableau13456[[#This Row],[Repère]],Tableau1[#All],10,FALSE))</f>
        <v/>
      </c>
      <c r="K100" s="13" t="str">
        <f>IF(Tableau13456[[#This Row],[Repère]]="","",VLOOKUP(Tableau13456[[#This Row],[Repère]],Tableau1[#All],11,FALSE))</f>
        <v/>
      </c>
      <c r="L100" s="14" t="str">
        <f>IF(Tableau13456[[#This Row],[Repère]]="","",VLOOKUP(Tableau13456[[#This Row],[Repère]],Tableau1[#All],12,FALSE))</f>
        <v/>
      </c>
    </row>
    <row r="101" spans="1:12" x14ac:dyDescent="0.3">
      <c r="A101" s="18"/>
      <c r="B101" s="19"/>
      <c r="C101" s="13" t="str">
        <f>IF(Tableau13456[[#This Row],[Repère]]="","",VLOOKUP(Tableau13456[[#This Row],[Repère]],Tableau1[#All],3,FALSE))</f>
        <v/>
      </c>
      <c r="D101" s="13" t="str">
        <f>IF(Tableau13456[[#This Row],[Repère]]="","",VLOOKUP(Tableau13456[[#This Row],[Repère]],Tableau1[#All],4,FALSE))</f>
        <v/>
      </c>
      <c r="E101" s="13" t="str">
        <f>IF(Tableau13456[[#This Row],[Repère]]="","",VLOOKUP(Tableau13456[[#This Row],[Repère]],Tableau1[#All],5,FALSE))</f>
        <v/>
      </c>
      <c r="F101" s="13" t="str">
        <f>IF(Tableau13456[[#This Row],[Repère]]="","",VLOOKUP(Tableau13456[[#This Row],[Repère]],Tableau1[#All],6,FALSE))</f>
        <v/>
      </c>
      <c r="G101" s="13" t="str">
        <f>IF(Tableau13456[[#This Row],[Repère]]="","",VLOOKUP(Tableau13456[[#This Row],[Repère]],Tableau1[#All],7,FALSE))</f>
        <v/>
      </c>
      <c r="H101" s="13" t="str">
        <f>IF(Tableau13456[[#This Row],[Repère]]="","",VLOOKUP(Tableau13456[[#This Row],[Repère]],Tableau1[#All],8,FALSE))</f>
        <v/>
      </c>
      <c r="I101" s="13" t="str">
        <f>IF(Tableau13456[[#This Row],[Repère]]="","",VLOOKUP(Tableau13456[[#This Row],[Repère]],Tableau1[#All],9,FALSE))</f>
        <v/>
      </c>
      <c r="J101" s="13" t="str">
        <f>IF(Tableau13456[[#This Row],[Repère]]="","",VLOOKUP(Tableau13456[[#This Row],[Repère]],Tableau1[#All],10,FALSE))</f>
        <v/>
      </c>
      <c r="K101" s="13" t="str">
        <f>IF(Tableau13456[[#This Row],[Repère]]="","",VLOOKUP(Tableau13456[[#This Row],[Repère]],Tableau1[#All],11,FALSE))</f>
        <v/>
      </c>
      <c r="L101" s="14" t="str">
        <f>IF(Tableau13456[[#This Row],[Repère]]="","",VLOOKUP(Tableau13456[[#This Row],[Repère]],Tableau1[#All],12,FALSE))</f>
        <v/>
      </c>
    </row>
  </sheetData>
  <sheetProtection algorithmName="SHA-512" hashValue="pyfDg0OM8nkjTuWIPeWu9y3pYt9RKlx087FBtGdmibEj5D2nCcIfB6oVc3shsb55tZG0blcteRObY4w9uqvStQ==" saltValue="2qDtLKQCTFa6hON7EmhJKg==" spinCount="100000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E32B-2D9F-40A0-AB94-52278BFF38E5}">
  <dimension ref="A1:L101"/>
  <sheetViews>
    <sheetView workbookViewId="0">
      <selection activeCell="B2" sqref="B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IF(Tableau134567[[#This Row],[Repère]]="","",VLOOKUP(Tableau134567[[#This Row],[Repère]],Tableau1[#All],3,FALSE))</f>
        <v/>
      </c>
      <c r="D2" s="13" t="str">
        <f>IF(Tableau134567[[#This Row],[Repère]]="","",VLOOKUP(Tableau134567[[#This Row],[Repère]],Tableau1[#All],4,FALSE))</f>
        <v/>
      </c>
      <c r="E2" s="13" t="str">
        <f>IF(Tableau134567[[#This Row],[Repère]]="","",VLOOKUP(Tableau134567[[#This Row],[Repère]],Tableau1[#All],5,FALSE))</f>
        <v/>
      </c>
      <c r="F2" s="13" t="str">
        <f>IF(Tableau134567[[#This Row],[Repère]]="","",VLOOKUP(Tableau134567[[#This Row],[Repère]],Tableau1[#All],6,FALSE))</f>
        <v/>
      </c>
      <c r="G2" s="13" t="str">
        <f>IF(Tableau134567[[#This Row],[Repère]]="","",VLOOKUP(Tableau134567[[#This Row],[Repère]],Tableau1[#All],7,FALSE))</f>
        <v/>
      </c>
      <c r="H2" s="13" t="str">
        <f>IF(Tableau134567[[#This Row],[Repère]]="","",VLOOKUP(Tableau134567[[#This Row],[Repère]],Tableau1[#All],8,FALSE))</f>
        <v/>
      </c>
      <c r="I2" s="13" t="str">
        <f>IF(Tableau134567[[#This Row],[Repère]]="","",VLOOKUP(Tableau134567[[#This Row],[Repère]],Tableau1[#All],9,FALSE))</f>
        <v/>
      </c>
      <c r="J2" s="13" t="str">
        <f>IF(Tableau134567[[#This Row],[Repère]]="","",VLOOKUP(Tableau134567[[#This Row],[Repère]],Tableau1[#All],10,FALSE))</f>
        <v/>
      </c>
      <c r="K2" s="13" t="str">
        <f>IF(Tableau134567[[#This Row],[Repère]]="","",VLOOKUP(Tableau134567[[#This Row],[Repère]],Tableau1[#All],11,FALSE))</f>
        <v/>
      </c>
      <c r="L2" s="13" t="str">
        <f>IF(Tableau134567[[#This Row],[Repère]]="","",VLOOKUP(Tableau134567[[#This Row],[Repère]],Tableau1[#All],12,FALSE))</f>
        <v/>
      </c>
    </row>
    <row r="3" spans="1:12" x14ac:dyDescent="0.3">
      <c r="A3" s="18"/>
      <c r="B3" s="19"/>
      <c r="C3" s="13" t="str">
        <f>IF(Tableau134567[[#This Row],[Repère]]="","",VLOOKUP(Tableau134567[[#This Row],[Repère]],Tableau1[#All],3,FALSE))</f>
        <v/>
      </c>
      <c r="D3" s="13" t="str">
        <f>IF(Tableau134567[[#This Row],[Repère]]="","",VLOOKUP(Tableau134567[[#This Row],[Repère]],Tableau1[#All],4,FALSE))</f>
        <v/>
      </c>
      <c r="E3" s="13" t="str">
        <f>IF(Tableau134567[[#This Row],[Repère]]="","",VLOOKUP(Tableau134567[[#This Row],[Repère]],Tableau1[#All],5,FALSE))</f>
        <v/>
      </c>
      <c r="F3" s="13" t="str">
        <f>IF(Tableau134567[[#This Row],[Repère]]="","",VLOOKUP(Tableau134567[[#This Row],[Repère]],Tableau1[#All],6,FALSE))</f>
        <v/>
      </c>
      <c r="G3" s="13" t="str">
        <f>IF(Tableau134567[[#This Row],[Repère]]="","",VLOOKUP(Tableau134567[[#This Row],[Repère]],Tableau1[#All],7,FALSE))</f>
        <v/>
      </c>
      <c r="H3" s="13" t="str">
        <f>IF(Tableau134567[[#This Row],[Repère]]="","",VLOOKUP(Tableau134567[[#This Row],[Repère]],Tableau1[#All],8,FALSE))</f>
        <v/>
      </c>
      <c r="I3" s="13" t="str">
        <f>IF(Tableau134567[[#This Row],[Repère]]="","",VLOOKUP(Tableau134567[[#This Row],[Repère]],Tableau1[#All],9,FALSE))</f>
        <v/>
      </c>
      <c r="J3" s="13" t="str">
        <f>IF(Tableau134567[[#This Row],[Repère]]="","",VLOOKUP(Tableau134567[[#This Row],[Repère]],Tableau1[#All],10,FALSE))</f>
        <v/>
      </c>
      <c r="K3" s="13" t="str">
        <f>IF(Tableau134567[[#This Row],[Repère]]="","",VLOOKUP(Tableau134567[[#This Row],[Repère]],Tableau1[#All],11,FALSE))</f>
        <v/>
      </c>
      <c r="L3" s="14" t="str">
        <f>IF(Tableau134567[[#This Row],[Repère]]="","",VLOOKUP(Tableau134567[[#This Row],[Repère]],Tableau1[#All],12,FALSE))</f>
        <v/>
      </c>
    </row>
    <row r="4" spans="1:12" x14ac:dyDescent="0.3">
      <c r="A4" s="18"/>
      <c r="B4" s="19"/>
      <c r="C4" s="13" t="str">
        <f>IF(Tableau134567[[#This Row],[Repère]]="","",VLOOKUP(Tableau134567[[#This Row],[Repère]],Tableau1[#All],3,FALSE))</f>
        <v/>
      </c>
      <c r="D4" s="13" t="str">
        <f>IF(Tableau134567[[#This Row],[Repère]]="","",VLOOKUP(Tableau134567[[#This Row],[Repère]],Tableau1[#All],4,FALSE))</f>
        <v/>
      </c>
      <c r="E4" s="13" t="str">
        <f>IF(Tableau134567[[#This Row],[Repère]]="","",VLOOKUP(Tableau134567[[#This Row],[Repère]],Tableau1[#All],5,FALSE))</f>
        <v/>
      </c>
      <c r="F4" s="13" t="str">
        <f>IF(Tableau134567[[#This Row],[Repère]]="","",VLOOKUP(Tableau134567[[#This Row],[Repère]],Tableau1[#All],6,FALSE))</f>
        <v/>
      </c>
      <c r="G4" s="13" t="str">
        <f>IF(Tableau134567[[#This Row],[Repère]]="","",VLOOKUP(Tableau134567[[#This Row],[Repère]],Tableau1[#All],7,FALSE))</f>
        <v/>
      </c>
      <c r="H4" s="13" t="str">
        <f>IF(Tableau134567[[#This Row],[Repère]]="","",VLOOKUP(Tableau134567[[#This Row],[Repère]],Tableau1[#All],8,FALSE))</f>
        <v/>
      </c>
      <c r="I4" s="13" t="str">
        <f>IF(Tableau134567[[#This Row],[Repère]]="","",VLOOKUP(Tableau134567[[#This Row],[Repère]],Tableau1[#All],9,FALSE))</f>
        <v/>
      </c>
      <c r="J4" s="13" t="str">
        <f>IF(Tableau134567[[#This Row],[Repère]]="","",VLOOKUP(Tableau134567[[#This Row],[Repère]],Tableau1[#All],10,FALSE))</f>
        <v/>
      </c>
      <c r="K4" s="13" t="str">
        <f>IF(Tableau134567[[#This Row],[Repère]]="","",VLOOKUP(Tableau134567[[#This Row],[Repère]],Tableau1[#All],11,FALSE))</f>
        <v/>
      </c>
      <c r="L4" s="14" t="str">
        <f>IF(Tableau134567[[#This Row],[Repère]]="","",VLOOKUP(Tableau134567[[#This Row],[Repère]],Tableau1[#All],12,FALSE))</f>
        <v/>
      </c>
    </row>
    <row r="5" spans="1:12" x14ac:dyDescent="0.3">
      <c r="A5" s="18"/>
      <c r="B5" s="19"/>
      <c r="C5" s="13" t="str">
        <f>IF(Tableau134567[[#This Row],[Repère]]="","",VLOOKUP(Tableau134567[[#This Row],[Repère]],Tableau1[#All],3,FALSE))</f>
        <v/>
      </c>
      <c r="D5" s="13" t="str">
        <f>IF(Tableau134567[[#This Row],[Repère]]="","",VLOOKUP(Tableau134567[[#This Row],[Repère]],Tableau1[#All],4,FALSE))</f>
        <v/>
      </c>
      <c r="E5" s="13" t="str">
        <f>IF(Tableau134567[[#This Row],[Repère]]="","",VLOOKUP(Tableau134567[[#This Row],[Repère]],Tableau1[#All],5,FALSE))</f>
        <v/>
      </c>
      <c r="F5" s="13" t="str">
        <f>IF(Tableau134567[[#This Row],[Repère]]="","",VLOOKUP(Tableau134567[[#This Row],[Repère]],Tableau1[#All],6,FALSE))</f>
        <v/>
      </c>
      <c r="G5" s="13" t="str">
        <f>IF(Tableau134567[[#This Row],[Repère]]="","",VLOOKUP(Tableau134567[[#This Row],[Repère]],Tableau1[#All],7,FALSE))</f>
        <v/>
      </c>
      <c r="H5" s="13" t="str">
        <f>IF(Tableau134567[[#This Row],[Repère]]="","",VLOOKUP(Tableau134567[[#This Row],[Repère]],Tableau1[#All],8,FALSE))</f>
        <v/>
      </c>
      <c r="I5" s="13" t="str">
        <f>IF(Tableau134567[[#This Row],[Repère]]="","",VLOOKUP(Tableau134567[[#This Row],[Repère]],Tableau1[#All],9,FALSE))</f>
        <v/>
      </c>
      <c r="J5" s="13" t="str">
        <f>IF(Tableau134567[[#This Row],[Repère]]="","",VLOOKUP(Tableau134567[[#This Row],[Repère]],Tableau1[#All],10,FALSE))</f>
        <v/>
      </c>
      <c r="K5" s="13" t="str">
        <f>IF(Tableau134567[[#This Row],[Repère]]="","",VLOOKUP(Tableau134567[[#This Row],[Repère]],Tableau1[#All],11,FALSE))</f>
        <v/>
      </c>
      <c r="L5" s="14" t="str">
        <f>IF(Tableau134567[[#This Row],[Repère]]="","",VLOOKUP(Tableau134567[[#This Row],[Repère]],Tableau1[#All],12,FALSE))</f>
        <v/>
      </c>
    </row>
    <row r="6" spans="1:12" x14ac:dyDescent="0.3">
      <c r="A6" s="18"/>
      <c r="B6" s="19"/>
      <c r="C6" s="13" t="str">
        <f>IF(Tableau134567[[#This Row],[Repère]]="","",VLOOKUP(Tableau134567[[#This Row],[Repère]],Tableau1[#All],3,FALSE))</f>
        <v/>
      </c>
      <c r="D6" s="13" t="str">
        <f>IF(Tableau134567[[#This Row],[Repère]]="","",VLOOKUP(Tableau134567[[#This Row],[Repère]],Tableau1[#All],4,FALSE))</f>
        <v/>
      </c>
      <c r="E6" s="13" t="str">
        <f>IF(Tableau134567[[#This Row],[Repère]]="","",VLOOKUP(Tableau134567[[#This Row],[Repère]],Tableau1[#All],5,FALSE))</f>
        <v/>
      </c>
      <c r="F6" s="13" t="str">
        <f>IF(Tableau134567[[#This Row],[Repère]]="","",VLOOKUP(Tableau134567[[#This Row],[Repère]],Tableau1[#All],6,FALSE))</f>
        <v/>
      </c>
      <c r="G6" s="13" t="str">
        <f>IF(Tableau134567[[#This Row],[Repère]]="","",VLOOKUP(Tableau134567[[#This Row],[Repère]],Tableau1[#All],7,FALSE))</f>
        <v/>
      </c>
      <c r="H6" s="13" t="str">
        <f>IF(Tableau134567[[#This Row],[Repère]]="","",VLOOKUP(Tableau134567[[#This Row],[Repère]],Tableau1[#All],8,FALSE))</f>
        <v/>
      </c>
      <c r="I6" s="13" t="str">
        <f>IF(Tableau134567[[#This Row],[Repère]]="","",VLOOKUP(Tableau134567[[#This Row],[Repère]],Tableau1[#All],9,FALSE))</f>
        <v/>
      </c>
      <c r="J6" s="13" t="str">
        <f>IF(Tableau134567[[#This Row],[Repère]]="","",VLOOKUP(Tableau134567[[#This Row],[Repère]],Tableau1[#All],10,FALSE))</f>
        <v/>
      </c>
      <c r="K6" s="13" t="str">
        <f>IF(Tableau134567[[#This Row],[Repère]]="","",VLOOKUP(Tableau134567[[#This Row],[Repère]],Tableau1[#All],11,FALSE))</f>
        <v/>
      </c>
      <c r="L6" s="14" t="str">
        <f>IF(Tableau134567[[#This Row],[Repère]]="","",VLOOKUP(Tableau134567[[#This Row],[Repère]],Tableau1[#All],12,FALSE))</f>
        <v/>
      </c>
    </row>
    <row r="7" spans="1:12" x14ac:dyDescent="0.3">
      <c r="A7" s="18"/>
      <c r="B7" s="19"/>
      <c r="C7" s="13" t="str">
        <f>IF(Tableau134567[[#This Row],[Repère]]="","",VLOOKUP(Tableau134567[[#This Row],[Repère]],Tableau1[#All],3,FALSE))</f>
        <v/>
      </c>
      <c r="D7" s="13" t="str">
        <f>IF(Tableau134567[[#This Row],[Repère]]="","",VLOOKUP(Tableau134567[[#This Row],[Repère]],Tableau1[#All],4,FALSE))</f>
        <v/>
      </c>
      <c r="E7" s="13" t="str">
        <f>IF(Tableau134567[[#This Row],[Repère]]="","",VLOOKUP(Tableau134567[[#This Row],[Repère]],Tableau1[#All],5,FALSE))</f>
        <v/>
      </c>
      <c r="F7" s="13" t="str">
        <f>IF(Tableau134567[[#This Row],[Repère]]="","",VLOOKUP(Tableau134567[[#This Row],[Repère]],Tableau1[#All],6,FALSE))</f>
        <v/>
      </c>
      <c r="G7" s="13" t="str">
        <f>IF(Tableau134567[[#This Row],[Repère]]="","",VLOOKUP(Tableau134567[[#This Row],[Repère]],Tableau1[#All],7,FALSE))</f>
        <v/>
      </c>
      <c r="H7" s="13" t="str">
        <f>IF(Tableau134567[[#This Row],[Repère]]="","",VLOOKUP(Tableau134567[[#This Row],[Repère]],Tableau1[#All],8,FALSE))</f>
        <v/>
      </c>
      <c r="I7" s="13" t="str">
        <f>IF(Tableau134567[[#This Row],[Repère]]="","",VLOOKUP(Tableau134567[[#This Row],[Repère]],Tableau1[#All],9,FALSE))</f>
        <v/>
      </c>
      <c r="J7" s="13" t="str">
        <f>IF(Tableau134567[[#This Row],[Repère]]="","",VLOOKUP(Tableau134567[[#This Row],[Repère]],Tableau1[#All],10,FALSE))</f>
        <v/>
      </c>
      <c r="K7" s="13" t="str">
        <f>IF(Tableau134567[[#This Row],[Repère]]="","",VLOOKUP(Tableau134567[[#This Row],[Repère]],Tableau1[#All],11,FALSE))</f>
        <v/>
      </c>
      <c r="L7" s="14" t="str">
        <f>IF(Tableau134567[[#This Row],[Repère]]="","",VLOOKUP(Tableau134567[[#This Row],[Repère]],Tableau1[#All],12,FALSE))</f>
        <v/>
      </c>
    </row>
    <row r="8" spans="1:12" x14ac:dyDescent="0.3">
      <c r="A8" s="18"/>
      <c r="B8" s="19"/>
      <c r="C8" s="13" t="str">
        <f>IF(Tableau134567[[#This Row],[Repère]]="","",VLOOKUP(Tableau134567[[#This Row],[Repère]],Tableau1[#All],3,FALSE))</f>
        <v/>
      </c>
      <c r="D8" s="13" t="str">
        <f>IF(Tableau134567[[#This Row],[Repère]]="","",VLOOKUP(Tableau134567[[#This Row],[Repère]],Tableau1[#All],4,FALSE))</f>
        <v/>
      </c>
      <c r="E8" s="13" t="str">
        <f>IF(Tableau134567[[#This Row],[Repère]]="","",VLOOKUP(Tableau134567[[#This Row],[Repère]],Tableau1[#All],5,FALSE))</f>
        <v/>
      </c>
      <c r="F8" s="13" t="str">
        <f>IF(Tableau134567[[#This Row],[Repère]]="","",VLOOKUP(Tableau134567[[#This Row],[Repère]],Tableau1[#All],6,FALSE))</f>
        <v/>
      </c>
      <c r="G8" s="13" t="str">
        <f>IF(Tableau134567[[#This Row],[Repère]]="","",VLOOKUP(Tableau134567[[#This Row],[Repère]],Tableau1[#All],7,FALSE))</f>
        <v/>
      </c>
      <c r="H8" s="13" t="str">
        <f>IF(Tableau134567[[#This Row],[Repère]]="","",VLOOKUP(Tableau134567[[#This Row],[Repère]],Tableau1[#All],8,FALSE))</f>
        <v/>
      </c>
      <c r="I8" s="13" t="str">
        <f>IF(Tableau134567[[#This Row],[Repère]]="","",VLOOKUP(Tableau134567[[#This Row],[Repère]],Tableau1[#All],9,FALSE))</f>
        <v/>
      </c>
      <c r="J8" s="13" t="str">
        <f>IF(Tableau134567[[#This Row],[Repère]]="","",VLOOKUP(Tableau134567[[#This Row],[Repère]],Tableau1[#All],10,FALSE))</f>
        <v/>
      </c>
      <c r="K8" s="13" t="str">
        <f>IF(Tableau134567[[#This Row],[Repère]]="","",VLOOKUP(Tableau134567[[#This Row],[Repère]],Tableau1[#All],11,FALSE))</f>
        <v/>
      </c>
      <c r="L8" s="14" t="str">
        <f>IF(Tableau134567[[#This Row],[Repère]]="","",VLOOKUP(Tableau134567[[#This Row],[Repère]],Tableau1[#All],12,FALSE))</f>
        <v/>
      </c>
    </row>
    <row r="9" spans="1:12" x14ac:dyDescent="0.3">
      <c r="A9" s="18"/>
      <c r="B9" s="19"/>
      <c r="C9" s="13" t="str">
        <f>IF(Tableau134567[[#This Row],[Repère]]="","",VLOOKUP(Tableau134567[[#This Row],[Repère]],Tableau1[#All],3,FALSE))</f>
        <v/>
      </c>
      <c r="D9" s="13" t="str">
        <f>IF(Tableau134567[[#This Row],[Repère]]="","",VLOOKUP(Tableau134567[[#This Row],[Repère]],Tableau1[#All],4,FALSE))</f>
        <v/>
      </c>
      <c r="E9" s="13" t="str">
        <f>IF(Tableau134567[[#This Row],[Repère]]="","",VLOOKUP(Tableau134567[[#This Row],[Repère]],Tableau1[#All],5,FALSE))</f>
        <v/>
      </c>
      <c r="F9" s="13" t="str">
        <f>IF(Tableau134567[[#This Row],[Repère]]="","",VLOOKUP(Tableau134567[[#This Row],[Repère]],Tableau1[#All],6,FALSE))</f>
        <v/>
      </c>
      <c r="G9" s="13" t="str">
        <f>IF(Tableau134567[[#This Row],[Repère]]="","",VLOOKUP(Tableau134567[[#This Row],[Repère]],Tableau1[#All],7,FALSE))</f>
        <v/>
      </c>
      <c r="H9" s="13" t="str">
        <f>IF(Tableau134567[[#This Row],[Repère]]="","",VLOOKUP(Tableau134567[[#This Row],[Repère]],Tableau1[#All],8,FALSE))</f>
        <v/>
      </c>
      <c r="I9" s="13" t="str">
        <f>IF(Tableau134567[[#This Row],[Repère]]="","",VLOOKUP(Tableau134567[[#This Row],[Repère]],Tableau1[#All],9,FALSE))</f>
        <v/>
      </c>
      <c r="J9" s="13" t="str">
        <f>IF(Tableau134567[[#This Row],[Repère]]="","",VLOOKUP(Tableau134567[[#This Row],[Repère]],Tableau1[#All],10,FALSE))</f>
        <v/>
      </c>
      <c r="K9" s="13" t="str">
        <f>IF(Tableau134567[[#This Row],[Repère]]="","",VLOOKUP(Tableau134567[[#This Row],[Repère]],Tableau1[#All],11,FALSE))</f>
        <v/>
      </c>
      <c r="L9" s="14" t="str">
        <f>IF(Tableau134567[[#This Row],[Repère]]="","",VLOOKUP(Tableau134567[[#This Row],[Repère]],Tableau1[#All],12,FALSE))</f>
        <v/>
      </c>
    </row>
    <row r="10" spans="1:12" x14ac:dyDescent="0.3">
      <c r="A10" s="18"/>
      <c r="B10" s="19"/>
      <c r="C10" s="13" t="str">
        <f>IF(Tableau134567[[#This Row],[Repère]]="","",VLOOKUP(Tableau134567[[#This Row],[Repère]],Tableau1[#All],3,FALSE))</f>
        <v/>
      </c>
      <c r="D10" s="13" t="str">
        <f>IF(Tableau134567[[#This Row],[Repère]]="","",VLOOKUP(Tableau134567[[#This Row],[Repère]],Tableau1[#All],4,FALSE))</f>
        <v/>
      </c>
      <c r="E10" s="13" t="str">
        <f>IF(Tableau134567[[#This Row],[Repère]]="","",VLOOKUP(Tableau134567[[#This Row],[Repère]],Tableau1[#All],5,FALSE))</f>
        <v/>
      </c>
      <c r="F10" s="13" t="str">
        <f>IF(Tableau134567[[#This Row],[Repère]]="","",VLOOKUP(Tableau134567[[#This Row],[Repère]],Tableau1[#All],6,FALSE))</f>
        <v/>
      </c>
      <c r="G10" s="13" t="str">
        <f>IF(Tableau134567[[#This Row],[Repère]]="","",VLOOKUP(Tableau134567[[#This Row],[Repère]],Tableau1[#All],7,FALSE))</f>
        <v/>
      </c>
      <c r="H10" s="13" t="str">
        <f>IF(Tableau134567[[#This Row],[Repère]]="","",VLOOKUP(Tableau134567[[#This Row],[Repère]],Tableau1[#All],8,FALSE))</f>
        <v/>
      </c>
      <c r="I10" s="13" t="str">
        <f>IF(Tableau134567[[#This Row],[Repère]]="","",VLOOKUP(Tableau134567[[#This Row],[Repère]],Tableau1[#All],9,FALSE))</f>
        <v/>
      </c>
      <c r="J10" s="13" t="str">
        <f>IF(Tableau134567[[#This Row],[Repère]]="","",VLOOKUP(Tableau134567[[#This Row],[Repère]],Tableau1[#All],10,FALSE))</f>
        <v/>
      </c>
      <c r="K10" s="13" t="str">
        <f>IF(Tableau134567[[#This Row],[Repère]]="","",VLOOKUP(Tableau134567[[#This Row],[Repère]],Tableau1[#All],11,FALSE))</f>
        <v/>
      </c>
      <c r="L10" s="14" t="str">
        <f>IF(Tableau134567[[#This Row],[Repère]]="","",VLOOKUP(Tableau134567[[#This Row],[Repère]],Tableau1[#All],12,FALSE))</f>
        <v/>
      </c>
    </row>
    <row r="11" spans="1:12" x14ac:dyDescent="0.3">
      <c r="A11" s="18"/>
      <c r="B11" s="19"/>
      <c r="C11" s="13" t="str">
        <f>IF(Tableau134567[[#This Row],[Repère]]="","",VLOOKUP(Tableau134567[[#This Row],[Repère]],Tableau1[#All],3,FALSE))</f>
        <v/>
      </c>
      <c r="D11" s="13" t="str">
        <f>IF(Tableau134567[[#This Row],[Repère]]="","",VLOOKUP(Tableau134567[[#This Row],[Repère]],Tableau1[#All],4,FALSE))</f>
        <v/>
      </c>
      <c r="E11" s="13" t="str">
        <f>IF(Tableau134567[[#This Row],[Repère]]="","",VLOOKUP(Tableau134567[[#This Row],[Repère]],Tableau1[#All],5,FALSE))</f>
        <v/>
      </c>
      <c r="F11" s="13" t="str">
        <f>IF(Tableau134567[[#This Row],[Repère]]="","",VLOOKUP(Tableau134567[[#This Row],[Repère]],Tableau1[#All],6,FALSE))</f>
        <v/>
      </c>
      <c r="G11" s="13" t="str">
        <f>IF(Tableau134567[[#This Row],[Repère]]="","",VLOOKUP(Tableau134567[[#This Row],[Repère]],Tableau1[#All],7,FALSE))</f>
        <v/>
      </c>
      <c r="H11" s="13" t="str">
        <f>IF(Tableau134567[[#This Row],[Repère]]="","",VLOOKUP(Tableau134567[[#This Row],[Repère]],Tableau1[#All],8,FALSE))</f>
        <v/>
      </c>
      <c r="I11" s="13" t="str">
        <f>IF(Tableau134567[[#This Row],[Repère]]="","",VLOOKUP(Tableau134567[[#This Row],[Repère]],Tableau1[#All],9,FALSE))</f>
        <v/>
      </c>
      <c r="J11" s="13" t="str">
        <f>IF(Tableau134567[[#This Row],[Repère]]="","",VLOOKUP(Tableau134567[[#This Row],[Repère]],Tableau1[#All],10,FALSE))</f>
        <v/>
      </c>
      <c r="K11" s="13" t="str">
        <f>IF(Tableau134567[[#This Row],[Repère]]="","",VLOOKUP(Tableau134567[[#This Row],[Repère]],Tableau1[#All],11,FALSE))</f>
        <v/>
      </c>
      <c r="L11" s="14" t="str">
        <f>IF(Tableau134567[[#This Row],[Repère]]="","",VLOOKUP(Tableau134567[[#This Row],[Repère]],Tableau1[#All],12,FALSE))</f>
        <v/>
      </c>
    </row>
    <row r="12" spans="1:12" x14ac:dyDescent="0.3">
      <c r="A12" s="18"/>
      <c r="B12" s="19"/>
      <c r="C12" s="13" t="str">
        <f>IF(Tableau134567[[#This Row],[Repère]]="","",VLOOKUP(Tableau134567[[#This Row],[Repère]],Tableau1[#All],3,FALSE))</f>
        <v/>
      </c>
      <c r="D12" s="13" t="str">
        <f>IF(Tableau134567[[#This Row],[Repère]]="","",VLOOKUP(Tableau134567[[#This Row],[Repère]],Tableau1[#All],4,FALSE))</f>
        <v/>
      </c>
      <c r="E12" s="13" t="str">
        <f>IF(Tableau134567[[#This Row],[Repère]]="","",VLOOKUP(Tableau134567[[#This Row],[Repère]],Tableau1[#All],5,FALSE))</f>
        <v/>
      </c>
      <c r="F12" s="13" t="str">
        <f>IF(Tableau134567[[#This Row],[Repère]]="","",VLOOKUP(Tableau134567[[#This Row],[Repère]],Tableau1[#All],6,FALSE))</f>
        <v/>
      </c>
      <c r="G12" s="13" t="str">
        <f>IF(Tableau134567[[#This Row],[Repère]]="","",VLOOKUP(Tableau134567[[#This Row],[Repère]],Tableau1[#All],7,FALSE))</f>
        <v/>
      </c>
      <c r="H12" s="13" t="str">
        <f>IF(Tableau134567[[#This Row],[Repère]]="","",VLOOKUP(Tableau134567[[#This Row],[Repère]],Tableau1[#All],8,FALSE))</f>
        <v/>
      </c>
      <c r="I12" s="13" t="str">
        <f>IF(Tableau134567[[#This Row],[Repère]]="","",VLOOKUP(Tableau134567[[#This Row],[Repère]],Tableau1[#All],9,FALSE))</f>
        <v/>
      </c>
      <c r="J12" s="13" t="str">
        <f>IF(Tableau134567[[#This Row],[Repère]]="","",VLOOKUP(Tableau134567[[#This Row],[Repère]],Tableau1[#All],10,FALSE))</f>
        <v/>
      </c>
      <c r="K12" s="13" t="str">
        <f>IF(Tableau134567[[#This Row],[Repère]]="","",VLOOKUP(Tableau134567[[#This Row],[Repère]],Tableau1[#All],11,FALSE))</f>
        <v/>
      </c>
      <c r="L12" s="14" t="str">
        <f>IF(Tableau134567[[#This Row],[Repère]]="","",VLOOKUP(Tableau134567[[#This Row],[Repère]],Tableau1[#All],12,FALSE))</f>
        <v/>
      </c>
    </row>
    <row r="13" spans="1:12" x14ac:dyDescent="0.3">
      <c r="A13" s="18"/>
      <c r="B13" s="19"/>
      <c r="C13" s="13" t="str">
        <f>IF(Tableau134567[[#This Row],[Repère]]="","",VLOOKUP(Tableau134567[[#This Row],[Repère]],Tableau1[#All],3,FALSE))</f>
        <v/>
      </c>
      <c r="D13" s="13" t="str">
        <f>IF(Tableau134567[[#This Row],[Repère]]="","",VLOOKUP(Tableau134567[[#This Row],[Repère]],Tableau1[#All],4,FALSE))</f>
        <v/>
      </c>
      <c r="E13" s="13" t="str">
        <f>IF(Tableau134567[[#This Row],[Repère]]="","",VLOOKUP(Tableau134567[[#This Row],[Repère]],Tableau1[#All],5,FALSE))</f>
        <v/>
      </c>
      <c r="F13" s="13" t="str">
        <f>IF(Tableau134567[[#This Row],[Repère]]="","",VLOOKUP(Tableau134567[[#This Row],[Repère]],Tableau1[#All],6,FALSE))</f>
        <v/>
      </c>
      <c r="G13" s="13" t="str">
        <f>IF(Tableau134567[[#This Row],[Repère]]="","",VLOOKUP(Tableau134567[[#This Row],[Repère]],Tableau1[#All],7,FALSE))</f>
        <v/>
      </c>
      <c r="H13" s="13" t="str">
        <f>IF(Tableau134567[[#This Row],[Repère]]="","",VLOOKUP(Tableau134567[[#This Row],[Repère]],Tableau1[#All],8,FALSE))</f>
        <v/>
      </c>
      <c r="I13" s="13" t="str">
        <f>IF(Tableau134567[[#This Row],[Repère]]="","",VLOOKUP(Tableau134567[[#This Row],[Repère]],Tableau1[#All],9,FALSE))</f>
        <v/>
      </c>
      <c r="J13" s="13" t="str">
        <f>IF(Tableau134567[[#This Row],[Repère]]="","",VLOOKUP(Tableau134567[[#This Row],[Repère]],Tableau1[#All],10,FALSE))</f>
        <v/>
      </c>
      <c r="K13" s="13" t="str">
        <f>IF(Tableau134567[[#This Row],[Repère]]="","",VLOOKUP(Tableau134567[[#This Row],[Repère]],Tableau1[#All],11,FALSE))</f>
        <v/>
      </c>
      <c r="L13" s="14" t="str">
        <f>IF(Tableau134567[[#This Row],[Repère]]="","",VLOOKUP(Tableau134567[[#This Row],[Repère]],Tableau1[#All],12,FALSE))</f>
        <v/>
      </c>
    </row>
    <row r="14" spans="1:12" x14ac:dyDescent="0.3">
      <c r="A14" s="18"/>
      <c r="B14" s="19"/>
      <c r="C14" s="13" t="str">
        <f>IF(Tableau134567[[#This Row],[Repère]]="","",VLOOKUP(Tableau134567[[#This Row],[Repère]],Tableau1[#All],3,FALSE))</f>
        <v/>
      </c>
      <c r="D14" s="13" t="str">
        <f>IF(Tableau134567[[#This Row],[Repère]]="","",VLOOKUP(Tableau134567[[#This Row],[Repère]],Tableau1[#All],4,FALSE))</f>
        <v/>
      </c>
      <c r="E14" s="13" t="str">
        <f>IF(Tableau134567[[#This Row],[Repère]]="","",VLOOKUP(Tableau134567[[#This Row],[Repère]],Tableau1[#All],5,FALSE))</f>
        <v/>
      </c>
      <c r="F14" s="13" t="str">
        <f>IF(Tableau134567[[#This Row],[Repère]]="","",VLOOKUP(Tableau134567[[#This Row],[Repère]],Tableau1[#All],6,FALSE))</f>
        <v/>
      </c>
      <c r="G14" s="13" t="str">
        <f>IF(Tableau134567[[#This Row],[Repère]]="","",VLOOKUP(Tableau134567[[#This Row],[Repère]],Tableau1[#All],7,FALSE))</f>
        <v/>
      </c>
      <c r="H14" s="13" t="str">
        <f>IF(Tableau134567[[#This Row],[Repère]]="","",VLOOKUP(Tableau134567[[#This Row],[Repère]],Tableau1[#All],8,FALSE))</f>
        <v/>
      </c>
      <c r="I14" s="13" t="str">
        <f>IF(Tableau134567[[#This Row],[Repère]]="","",VLOOKUP(Tableau134567[[#This Row],[Repère]],Tableau1[#All],9,FALSE))</f>
        <v/>
      </c>
      <c r="J14" s="13" t="str">
        <f>IF(Tableau134567[[#This Row],[Repère]]="","",VLOOKUP(Tableau134567[[#This Row],[Repère]],Tableau1[#All],10,FALSE))</f>
        <v/>
      </c>
      <c r="K14" s="13" t="str">
        <f>IF(Tableau134567[[#This Row],[Repère]]="","",VLOOKUP(Tableau134567[[#This Row],[Repère]],Tableau1[#All],11,FALSE))</f>
        <v/>
      </c>
      <c r="L14" s="14" t="str">
        <f>IF(Tableau134567[[#This Row],[Repère]]="","",VLOOKUP(Tableau134567[[#This Row],[Repère]],Tableau1[#All],12,FALSE))</f>
        <v/>
      </c>
    </row>
    <row r="15" spans="1:12" x14ac:dyDescent="0.3">
      <c r="A15" s="18"/>
      <c r="B15" s="19"/>
      <c r="C15" s="13" t="str">
        <f>IF(Tableau134567[[#This Row],[Repère]]="","",VLOOKUP(Tableau134567[[#This Row],[Repère]],Tableau1[#All],3,FALSE))</f>
        <v/>
      </c>
      <c r="D15" s="13" t="str">
        <f>IF(Tableau134567[[#This Row],[Repère]]="","",VLOOKUP(Tableau134567[[#This Row],[Repère]],Tableau1[#All],4,FALSE))</f>
        <v/>
      </c>
      <c r="E15" s="13" t="str">
        <f>IF(Tableau134567[[#This Row],[Repère]]="","",VLOOKUP(Tableau134567[[#This Row],[Repère]],Tableau1[#All],5,FALSE))</f>
        <v/>
      </c>
      <c r="F15" s="13" t="str">
        <f>IF(Tableau134567[[#This Row],[Repère]]="","",VLOOKUP(Tableau134567[[#This Row],[Repère]],Tableau1[#All],6,FALSE))</f>
        <v/>
      </c>
      <c r="G15" s="13" t="str">
        <f>IF(Tableau134567[[#This Row],[Repère]]="","",VLOOKUP(Tableau134567[[#This Row],[Repère]],Tableau1[#All],7,FALSE))</f>
        <v/>
      </c>
      <c r="H15" s="13" t="str">
        <f>IF(Tableau134567[[#This Row],[Repère]]="","",VLOOKUP(Tableau134567[[#This Row],[Repère]],Tableau1[#All],8,FALSE))</f>
        <v/>
      </c>
      <c r="I15" s="13" t="str">
        <f>IF(Tableau134567[[#This Row],[Repère]]="","",VLOOKUP(Tableau134567[[#This Row],[Repère]],Tableau1[#All],9,FALSE))</f>
        <v/>
      </c>
      <c r="J15" s="13" t="str">
        <f>IF(Tableau134567[[#This Row],[Repère]]="","",VLOOKUP(Tableau134567[[#This Row],[Repère]],Tableau1[#All],10,FALSE))</f>
        <v/>
      </c>
      <c r="K15" s="13" t="str">
        <f>IF(Tableau134567[[#This Row],[Repère]]="","",VLOOKUP(Tableau134567[[#This Row],[Repère]],Tableau1[#All],11,FALSE))</f>
        <v/>
      </c>
      <c r="L15" s="14" t="str">
        <f>IF(Tableau134567[[#This Row],[Repère]]="","",VLOOKUP(Tableau134567[[#This Row],[Repère]],Tableau1[#All],12,FALSE))</f>
        <v/>
      </c>
    </row>
    <row r="16" spans="1:12" x14ac:dyDescent="0.3">
      <c r="A16" s="18"/>
      <c r="B16" s="19"/>
      <c r="C16" s="13" t="str">
        <f>IF(Tableau134567[[#This Row],[Repère]]="","",VLOOKUP(Tableau134567[[#This Row],[Repère]],Tableau1[#All],3,FALSE))</f>
        <v/>
      </c>
      <c r="D16" s="13" t="str">
        <f>IF(Tableau134567[[#This Row],[Repère]]="","",VLOOKUP(Tableau134567[[#This Row],[Repère]],Tableau1[#All],4,FALSE))</f>
        <v/>
      </c>
      <c r="E16" s="13" t="str">
        <f>IF(Tableau134567[[#This Row],[Repère]]="","",VLOOKUP(Tableau134567[[#This Row],[Repère]],Tableau1[#All],5,FALSE))</f>
        <v/>
      </c>
      <c r="F16" s="13" t="str">
        <f>IF(Tableau134567[[#This Row],[Repère]]="","",VLOOKUP(Tableau134567[[#This Row],[Repère]],Tableau1[#All],6,FALSE))</f>
        <v/>
      </c>
      <c r="G16" s="13" t="str">
        <f>IF(Tableau134567[[#This Row],[Repère]]="","",VLOOKUP(Tableau134567[[#This Row],[Repère]],Tableau1[#All],7,FALSE))</f>
        <v/>
      </c>
      <c r="H16" s="13" t="str">
        <f>IF(Tableau134567[[#This Row],[Repère]]="","",VLOOKUP(Tableau134567[[#This Row],[Repère]],Tableau1[#All],8,FALSE))</f>
        <v/>
      </c>
      <c r="I16" s="13" t="str">
        <f>IF(Tableau134567[[#This Row],[Repère]]="","",VLOOKUP(Tableau134567[[#This Row],[Repère]],Tableau1[#All],9,FALSE))</f>
        <v/>
      </c>
      <c r="J16" s="13" t="str">
        <f>IF(Tableau134567[[#This Row],[Repère]]="","",VLOOKUP(Tableau134567[[#This Row],[Repère]],Tableau1[#All],10,FALSE))</f>
        <v/>
      </c>
      <c r="K16" s="13" t="str">
        <f>IF(Tableau134567[[#This Row],[Repère]]="","",VLOOKUP(Tableau134567[[#This Row],[Repère]],Tableau1[#All],11,FALSE))</f>
        <v/>
      </c>
      <c r="L16" s="14" t="str">
        <f>IF(Tableau134567[[#This Row],[Repère]]="","",VLOOKUP(Tableau134567[[#This Row],[Repère]],Tableau1[#All],12,FALSE))</f>
        <v/>
      </c>
    </row>
    <row r="17" spans="1:12" x14ac:dyDescent="0.3">
      <c r="A17" s="18"/>
      <c r="B17" s="19"/>
      <c r="C17" s="13" t="str">
        <f>IF(Tableau134567[[#This Row],[Repère]]="","",VLOOKUP(Tableau134567[[#This Row],[Repère]],Tableau1[#All],3,FALSE))</f>
        <v/>
      </c>
      <c r="D17" s="13" t="str">
        <f>IF(Tableau134567[[#This Row],[Repère]]="","",VLOOKUP(Tableau134567[[#This Row],[Repère]],Tableau1[#All],4,FALSE))</f>
        <v/>
      </c>
      <c r="E17" s="13" t="str">
        <f>IF(Tableau134567[[#This Row],[Repère]]="","",VLOOKUP(Tableau134567[[#This Row],[Repère]],Tableau1[#All],5,FALSE))</f>
        <v/>
      </c>
      <c r="F17" s="13" t="str">
        <f>IF(Tableau134567[[#This Row],[Repère]]="","",VLOOKUP(Tableau134567[[#This Row],[Repère]],Tableau1[#All],6,FALSE))</f>
        <v/>
      </c>
      <c r="G17" s="13" t="str">
        <f>IF(Tableau134567[[#This Row],[Repère]]="","",VLOOKUP(Tableau134567[[#This Row],[Repère]],Tableau1[#All],7,FALSE))</f>
        <v/>
      </c>
      <c r="H17" s="13" t="str">
        <f>IF(Tableau134567[[#This Row],[Repère]]="","",VLOOKUP(Tableau134567[[#This Row],[Repère]],Tableau1[#All],8,FALSE))</f>
        <v/>
      </c>
      <c r="I17" s="13" t="str">
        <f>IF(Tableau134567[[#This Row],[Repère]]="","",VLOOKUP(Tableau134567[[#This Row],[Repère]],Tableau1[#All],9,FALSE))</f>
        <v/>
      </c>
      <c r="J17" s="13" t="str">
        <f>IF(Tableau134567[[#This Row],[Repère]]="","",VLOOKUP(Tableau134567[[#This Row],[Repère]],Tableau1[#All],10,FALSE))</f>
        <v/>
      </c>
      <c r="K17" s="13" t="str">
        <f>IF(Tableau134567[[#This Row],[Repère]]="","",VLOOKUP(Tableau134567[[#This Row],[Repère]],Tableau1[#All],11,FALSE))</f>
        <v/>
      </c>
      <c r="L17" s="14" t="str">
        <f>IF(Tableau134567[[#This Row],[Repère]]="","",VLOOKUP(Tableau134567[[#This Row],[Repère]],Tableau1[#All],12,FALSE))</f>
        <v/>
      </c>
    </row>
    <row r="18" spans="1:12" x14ac:dyDescent="0.3">
      <c r="A18" s="18"/>
      <c r="B18" s="19"/>
      <c r="C18" s="13" t="str">
        <f>IF(Tableau134567[[#This Row],[Repère]]="","",VLOOKUP(Tableau134567[[#This Row],[Repère]],Tableau1[#All],3,FALSE))</f>
        <v/>
      </c>
      <c r="D18" s="13" t="str">
        <f>IF(Tableau134567[[#This Row],[Repère]]="","",VLOOKUP(Tableau134567[[#This Row],[Repère]],Tableau1[#All],4,FALSE))</f>
        <v/>
      </c>
      <c r="E18" s="13" t="str">
        <f>IF(Tableau134567[[#This Row],[Repère]]="","",VLOOKUP(Tableau134567[[#This Row],[Repère]],Tableau1[#All],5,FALSE))</f>
        <v/>
      </c>
      <c r="F18" s="13" t="str">
        <f>IF(Tableau134567[[#This Row],[Repère]]="","",VLOOKUP(Tableau134567[[#This Row],[Repère]],Tableau1[#All],6,FALSE))</f>
        <v/>
      </c>
      <c r="G18" s="13" t="str">
        <f>IF(Tableau134567[[#This Row],[Repère]]="","",VLOOKUP(Tableau134567[[#This Row],[Repère]],Tableau1[#All],7,FALSE))</f>
        <v/>
      </c>
      <c r="H18" s="13" t="str">
        <f>IF(Tableau134567[[#This Row],[Repère]]="","",VLOOKUP(Tableau134567[[#This Row],[Repère]],Tableau1[#All],8,FALSE))</f>
        <v/>
      </c>
      <c r="I18" s="13" t="str">
        <f>IF(Tableau134567[[#This Row],[Repère]]="","",VLOOKUP(Tableau134567[[#This Row],[Repère]],Tableau1[#All],9,FALSE))</f>
        <v/>
      </c>
      <c r="J18" s="13" t="str">
        <f>IF(Tableau134567[[#This Row],[Repère]]="","",VLOOKUP(Tableau134567[[#This Row],[Repère]],Tableau1[#All],10,FALSE))</f>
        <v/>
      </c>
      <c r="K18" s="13" t="str">
        <f>IF(Tableau134567[[#This Row],[Repère]]="","",VLOOKUP(Tableau134567[[#This Row],[Repère]],Tableau1[#All],11,FALSE))</f>
        <v/>
      </c>
      <c r="L18" s="14" t="str">
        <f>IF(Tableau134567[[#This Row],[Repère]]="","",VLOOKUP(Tableau134567[[#This Row],[Repère]],Tableau1[#All],12,FALSE))</f>
        <v/>
      </c>
    </row>
    <row r="19" spans="1:12" x14ac:dyDescent="0.3">
      <c r="A19" s="18"/>
      <c r="B19" s="19"/>
      <c r="C19" s="13" t="str">
        <f>IF(Tableau134567[[#This Row],[Repère]]="","",VLOOKUP(Tableau134567[[#This Row],[Repère]],Tableau1[#All],3,FALSE))</f>
        <v/>
      </c>
      <c r="D19" s="13" t="str">
        <f>IF(Tableau134567[[#This Row],[Repère]]="","",VLOOKUP(Tableau134567[[#This Row],[Repère]],Tableau1[#All],4,FALSE))</f>
        <v/>
      </c>
      <c r="E19" s="13" t="str">
        <f>IF(Tableau134567[[#This Row],[Repère]]="","",VLOOKUP(Tableau134567[[#This Row],[Repère]],Tableau1[#All],5,FALSE))</f>
        <v/>
      </c>
      <c r="F19" s="13" t="str">
        <f>IF(Tableau134567[[#This Row],[Repère]]="","",VLOOKUP(Tableau134567[[#This Row],[Repère]],Tableau1[#All],6,FALSE))</f>
        <v/>
      </c>
      <c r="G19" s="13" t="str">
        <f>IF(Tableau134567[[#This Row],[Repère]]="","",VLOOKUP(Tableau134567[[#This Row],[Repère]],Tableau1[#All],7,FALSE))</f>
        <v/>
      </c>
      <c r="H19" s="13" t="str">
        <f>IF(Tableau134567[[#This Row],[Repère]]="","",VLOOKUP(Tableau134567[[#This Row],[Repère]],Tableau1[#All],8,FALSE))</f>
        <v/>
      </c>
      <c r="I19" s="13" t="str">
        <f>IF(Tableau134567[[#This Row],[Repère]]="","",VLOOKUP(Tableau134567[[#This Row],[Repère]],Tableau1[#All],9,FALSE))</f>
        <v/>
      </c>
      <c r="J19" s="13" t="str">
        <f>IF(Tableau134567[[#This Row],[Repère]]="","",VLOOKUP(Tableau134567[[#This Row],[Repère]],Tableau1[#All],10,FALSE))</f>
        <v/>
      </c>
      <c r="K19" s="13" t="str">
        <f>IF(Tableau134567[[#This Row],[Repère]]="","",VLOOKUP(Tableau134567[[#This Row],[Repère]],Tableau1[#All],11,FALSE))</f>
        <v/>
      </c>
      <c r="L19" s="14" t="str">
        <f>IF(Tableau134567[[#This Row],[Repère]]="","",VLOOKUP(Tableau134567[[#This Row],[Repère]],Tableau1[#All],12,FALSE))</f>
        <v/>
      </c>
    </row>
    <row r="20" spans="1:12" x14ac:dyDescent="0.3">
      <c r="A20" s="18"/>
      <c r="B20" s="19"/>
      <c r="C20" s="13" t="str">
        <f>IF(Tableau134567[[#This Row],[Repère]]="","",VLOOKUP(Tableau134567[[#This Row],[Repère]],Tableau1[#All],3,FALSE))</f>
        <v/>
      </c>
      <c r="D20" s="13" t="str">
        <f>IF(Tableau134567[[#This Row],[Repère]]="","",VLOOKUP(Tableau134567[[#This Row],[Repère]],Tableau1[#All],4,FALSE))</f>
        <v/>
      </c>
      <c r="E20" s="13" t="str">
        <f>IF(Tableau134567[[#This Row],[Repère]]="","",VLOOKUP(Tableau134567[[#This Row],[Repère]],Tableau1[#All],5,FALSE))</f>
        <v/>
      </c>
      <c r="F20" s="13" t="str">
        <f>IF(Tableau134567[[#This Row],[Repère]]="","",VLOOKUP(Tableau134567[[#This Row],[Repère]],Tableau1[#All],6,FALSE))</f>
        <v/>
      </c>
      <c r="G20" s="13" t="str">
        <f>IF(Tableau134567[[#This Row],[Repère]]="","",VLOOKUP(Tableau134567[[#This Row],[Repère]],Tableau1[#All],7,FALSE))</f>
        <v/>
      </c>
      <c r="H20" s="13" t="str">
        <f>IF(Tableau134567[[#This Row],[Repère]]="","",VLOOKUP(Tableau134567[[#This Row],[Repère]],Tableau1[#All],8,FALSE))</f>
        <v/>
      </c>
      <c r="I20" s="13" t="str">
        <f>IF(Tableau134567[[#This Row],[Repère]]="","",VLOOKUP(Tableau134567[[#This Row],[Repère]],Tableau1[#All],9,FALSE))</f>
        <v/>
      </c>
      <c r="J20" s="13" t="str">
        <f>IF(Tableau134567[[#This Row],[Repère]]="","",VLOOKUP(Tableau134567[[#This Row],[Repère]],Tableau1[#All],10,FALSE))</f>
        <v/>
      </c>
      <c r="K20" s="13" t="str">
        <f>IF(Tableau134567[[#This Row],[Repère]]="","",VLOOKUP(Tableau134567[[#This Row],[Repère]],Tableau1[#All],11,FALSE))</f>
        <v/>
      </c>
      <c r="L20" s="14" t="str">
        <f>IF(Tableau134567[[#This Row],[Repère]]="","",VLOOKUP(Tableau134567[[#This Row],[Repère]],Tableau1[#All],12,FALSE))</f>
        <v/>
      </c>
    </row>
    <row r="21" spans="1:12" x14ac:dyDescent="0.3">
      <c r="A21" s="18"/>
      <c r="B21" s="19"/>
      <c r="C21" s="13" t="str">
        <f>IF(Tableau134567[[#This Row],[Repère]]="","",VLOOKUP(Tableau134567[[#This Row],[Repère]],Tableau1[#All],3,FALSE))</f>
        <v/>
      </c>
      <c r="D21" s="13" t="str">
        <f>IF(Tableau134567[[#This Row],[Repère]]="","",VLOOKUP(Tableau134567[[#This Row],[Repère]],Tableau1[#All],4,FALSE))</f>
        <v/>
      </c>
      <c r="E21" s="13" t="str">
        <f>IF(Tableau134567[[#This Row],[Repère]]="","",VLOOKUP(Tableau134567[[#This Row],[Repère]],Tableau1[#All],5,FALSE))</f>
        <v/>
      </c>
      <c r="F21" s="13" t="str">
        <f>IF(Tableau134567[[#This Row],[Repère]]="","",VLOOKUP(Tableau134567[[#This Row],[Repère]],Tableau1[#All],6,FALSE))</f>
        <v/>
      </c>
      <c r="G21" s="13" t="str">
        <f>IF(Tableau134567[[#This Row],[Repère]]="","",VLOOKUP(Tableau134567[[#This Row],[Repère]],Tableau1[#All],7,FALSE))</f>
        <v/>
      </c>
      <c r="H21" s="13" t="str">
        <f>IF(Tableau134567[[#This Row],[Repère]]="","",VLOOKUP(Tableau134567[[#This Row],[Repère]],Tableau1[#All],8,FALSE))</f>
        <v/>
      </c>
      <c r="I21" s="13" t="str">
        <f>IF(Tableau134567[[#This Row],[Repère]]="","",VLOOKUP(Tableau134567[[#This Row],[Repère]],Tableau1[#All],9,FALSE))</f>
        <v/>
      </c>
      <c r="J21" s="13" t="str">
        <f>IF(Tableau134567[[#This Row],[Repère]]="","",VLOOKUP(Tableau134567[[#This Row],[Repère]],Tableau1[#All],10,FALSE))</f>
        <v/>
      </c>
      <c r="K21" s="13" t="str">
        <f>IF(Tableau134567[[#This Row],[Repère]]="","",VLOOKUP(Tableau134567[[#This Row],[Repère]],Tableau1[#All],11,FALSE))</f>
        <v/>
      </c>
      <c r="L21" s="14" t="str">
        <f>IF(Tableau134567[[#This Row],[Repère]]="","",VLOOKUP(Tableau134567[[#This Row],[Repère]],Tableau1[#All],12,FALSE))</f>
        <v/>
      </c>
    </row>
    <row r="22" spans="1:12" x14ac:dyDescent="0.3">
      <c r="A22" s="18"/>
      <c r="B22" s="19"/>
      <c r="C22" s="13" t="str">
        <f>IF(Tableau134567[[#This Row],[Repère]]="","",VLOOKUP(Tableau134567[[#This Row],[Repère]],Tableau1[#All],3,FALSE))</f>
        <v/>
      </c>
      <c r="D22" s="13" t="str">
        <f>IF(Tableau134567[[#This Row],[Repère]]="","",VLOOKUP(Tableau134567[[#This Row],[Repère]],Tableau1[#All],4,FALSE))</f>
        <v/>
      </c>
      <c r="E22" s="13" t="str">
        <f>IF(Tableau134567[[#This Row],[Repère]]="","",VLOOKUP(Tableau134567[[#This Row],[Repère]],Tableau1[#All],5,FALSE))</f>
        <v/>
      </c>
      <c r="F22" s="13" t="str">
        <f>IF(Tableau134567[[#This Row],[Repère]]="","",VLOOKUP(Tableau134567[[#This Row],[Repère]],Tableau1[#All],6,FALSE))</f>
        <v/>
      </c>
      <c r="G22" s="13" t="str">
        <f>IF(Tableau134567[[#This Row],[Repère]]="","",VLOOKUP(Tableau134567[[#This Row],[Repère]],Tableau1[#All],7,FALSE))</f>
        <v/>
      </c>
      <c r="H22" s="13" t="str">
        <f>IF(Tableau134567[[#This Row],[Repère]]="","",VLOOKUP(Tableau134567[[#This Row],[Repère]],Tableau1[#All],8,FALSE))</f>
        <v/>
      </c>
      <c r="I22" s="13" t="str">
        <f>IF(Tableau134567[[#This Row],[Repère]]="","",VLOOKUP(Tableau134567[[#This Row],[Repère]],Tableau1[#All],9,FALSE))</f>
        <v/>
      </c>
      <c r="J22" s="13" t="str">
        <f>IF(Tableau134567[[#This Row],[Repère]]="","",VLOOKUP(Tableau134567[[#This Row],[Repère]],Tableau1[#All],10,FALSE))</f>
        <v/>
      </c>
      <c r="K22" s="13" t="str">
        <f>IF(Tableau134567[[#This Row],[Repère]]="","",VLOOKUP(Tableau134567[[#This Row],[Repère]],Tableau1[#All],11,FALSE))</f>
        <v/>
      </c>
      <c r="L22" s="14" t="str">
        <f>IF(Tableau134567[[#This Row],[Repère]]="","",VLOOKUP(Tableau134567[[#This Row],[Repère]],Tableau1[#All],12,FALSE))</f>
        <v/>
      </c>
    </row>
    <row r="23" spans="1:12" x14ac:dyDescent="0.3">
      <c r="A23" s="18"/>
      <c r="B23" s="19"/>
      <c r="C23" s="13" t="str">
        <f>IF(Tableau134567[[#This Row],[Repère]]="","",VLOOKUP(Tableau134567[[#This Row],[Repère]],Tableau1[#All],3,FALSE))</f>
        <v/>
      </c>
      <c r="D23" s="13" t="str">
        <f>IF(Tableau134567[[#This Row],[Repère]]="","",VLOOKUP(Tableau134567[[#This Row],[Repère]],Tableau1[#All],4,FALSE))</f>
        <v/>
      </c>
      <c r="E23" s="13" t="str">
        <f>IF(Tableau134567[[#This Row],[Repère]]="","",VLOOKUP(Tableau134567[[#This Row],[Repère]],Tableau1[#All],5,FALSE))</f>
        <v/>
      </c>
      <c r="F23" s="13" t="str">
        <f>IF(Tableau134567[[#This Row],[Repère]]="","",VLOOKUP(Tableau134567[[#This Row],[Repère]],Tableau1[#All],6,FALSE))</f>
        <v/>
      </c>
      <c r="G23" s="13" t="str">
        <f>IF(Tableau134567[[#This Row],[Repère]]="","",VLOOKUP(Tableau134567[[#This Row],[Repère]],Tableau1[#All],7,FALSE))</f>
        <v/>
      </c>
      <c r="H23" s="13" t="str">
        <f>IF(Tableau134567[[#This Row],[Repère]]="","",VLOOKUP(Tableau134567[[#This Row],[Repère]],Tableau1[#All],8,FALSE))</f>
        <v/>
      </c>
      <c r="I23" s="13" t="str">
        <f>IF(Tableau134567[[#This Row],[Repère]]="","",VLOOKUP(Tableau134567[[#This Row],[Repère]],Tableau1[#All],9,FALSE))</f>
        <v/>
      </c>
      <c r="J23" s="13" t="str">
        <f>IF(Tableau134567[[#This Row],[Repère]]="","",VLOOKUP(Tableau134567[[#This Row],[Repère]],Tableau1[#All],10,FALSE))</f>
        <v/>
      </c>
      <c r="K23" s="13" t="str">
        <f>IF(Tableau134567[[#This Row],[Repère]]="","",VLOOKUP(Tableau134567[[#This Row],[Repère]],Tableau1[#All],11,FALSE))</f>
        <v/>
      </c>
      <c r="L23" s="14" t="str">
        <f>IF(Tableau134567[[#This Row],[Repère]]="","",VLOOKUP(Tableau134567[[#This Row],[Repère]],Tableau1[#All],12,FALSE))</f>
        <v/>
      </c>
    </row>
    <row r="24" spans="1:12" x14ac:dyDescent="0.3">
      <c r="A24" s="18"/>
      <c r="B24" s="19"/>
      <c r="C24" s="13" t="str">
        <f>IF(Tableau134567[[#This Row],[Repère]]="","",VLOOKUP(Tableau134567[[#This Row],[Repère]],Tableau1[#All],3,FALSE))</f>
        <v/>
      </c>
      <c r="D24" s="13" t="str">
        <f>IF(Tableau134567[[#This Row],[Repère]]="","",VLOOKUP(Tableau134567[[#This Row],[Repère]],Tableau1[#All],4,FALSE))</f>
        <v/>
      </c>
      <c r="E24" s="13" t="str">
        <f>IF(Tableau134567[[#This Row],[Repère]]="","",VLOOKUP(Tableau134567[[#This Row],[Repère]],Tableau1[#All],5,FALSE))</f>
        <v/>
      </c>
      <c r="F24" s="13" t="str">
        <f>IF(Tableau134567[[#This Row],[Repère]]="","",VLOOKUP(Tableau134567[[#This Row],[Repère]],Tableau1[#All],6,FALSE))</f>
        <v/>
      </c>
      <c r="G24" s="13" t="str">
        <f>IF(Tableau134567[[#This Row],[Repère]]="","",VLOOKUP(Tableau134567[[#This Row],[Repère]],Tableau1[#All],7,FALSE))</f>
        <v/>
      </c>
      <c r="H24" s="13" t="str">
        <f>IF(Tableau134567[[#This Row],[Repère]]="","",VLOOKUP(Tableau134567[[#This Row],[Repère]],Tableau1[#All],8,FALSE))</f>
        <v/>
      </c>
      <c r="I24" s="13" t="str">
        <f>IF(Tableau134567[[#This Row],[Repère]]="","",VLOOKUP(Tableau134567[[#This Row],[Repère]],Tableau1[#All],9,FALSE))</f>
        <v/>
      </c>
      <c r="J24" s="13" t="str">
        <f>IF(Tableau134567[[#This Row],[Repère]]="","",VLOOKUP(Tableau134567[[#This Row],[Repère]],Tableau1[#All],10,FALSE))</f>
        <v/>
      </c>
      <c r="K24" s="13" t="str">
        <f>IF(Tableau134567[[#This Row],[Repère]]="","",VLOOKUP(Tableau134567[[#This Row],[Repère]],Tableau1[#All],11,FALSE))</f>
        <v/>
      </c>
      <c r="L24" s="14" t="str">
        <f>IF(Tableau134567[[#This Row],[Repère]]="","",VLOOKUP(Tableau134567[[#This Row],[Repère]],Tableau1[#All],12,FALSE))</f>
        <v/>
      </c>
    </row>
    <row r="25" spans="1:12" x14ac:dyDescent="0.3">
      <c r="A25" s="18"/>
      <c r="B25" s="19"/>
      <c r="C25" s="13" t="str">
        <f>IF(Tableau134567[[#This Row],[Repère]]="","",VLOOKUP(Tableau134567[[#This Row],[Repère]],Tableau1[#All],3,FALSE))</f>
        <v/>
      </c>
      <c r="D25" s="13" t="str">
        <f>IF(Tableau134567[[#This Row],[Repère]]="","",VLOOKUP(Tableau134567[[#This Row],[Repère]],Tableau1[#All],4,FALSE))</f>
        <v/>
      </c>
      <c r="E25" s="13" t="str">
        <f>IF(Tableau134567[[#This Row],[Repère]]="","",VLOOKUP(Tableau134567[[#This Row],[Repère]],Tableau1[#All],5,FALSE))</f>
        <v/>
      </c>
      <c r="F25" s="13" t="str">
        <f>IF(Tableau134567[[#This Row],[Repère]]="","",VLOOKUP(Tableau134567[[#This Row],[Repère]],Tableau1[#All],6,FALSE))</f>
        <v/>
      </c>
      <c r="G25" s="13" t="str">
        <f>IF(Tableau134567[[#This Row],[Repère]]="","",VLOOKUP(Tableau134567[[#This Row],[Repère]],Tableau1[#All],7,FALSE))</f>
        <v/>
      </c>
      <c r="H25" s="13" t="str">
        <f>IF(Tableau134567[[#This Row],[Repère]]="","",VLOOKUP(Tableau134567[[#This Row],[Repère]],Tableau1[#All],8,FALSE))</f>
        <v/>
      </c>
      <c r="I25" s="13" t="str">
        <f>IF(Tableau134567[[#This Row],[Repère]]="","",VLOOKUP(Tableau134567[[#This Row],[Repère]],Tableau1[#All],9,FALSE))</f>
        <v/>
      </c>
      <c r="J25" s="13" t="str">
        <f>IF(Tableau134567[[#This Row],[Repère]]="","",VLOOKUP(Tableau134567[[#This Row],[Repère]],Tableau1[#All],10,FALSE))</f>
        <v/>
      </c>
      <c r="K25" s="13" t="str">
        <f>IF(Tableau134567[[#This Row],[Repère]]="","",VLOOKUP(Tableau134567[[#This Row],[Repère]],Tableau1[#All],11,FALSE))</f>
        <v/>
      </c>
      <c r="L25" s="14" t="str">
        <f>IF(Tableau134567[[#This Row],[Repère]]="","",VLOOKUP(Tableau134567[[#This Row],[Repère]],Tableau1[#All],12,FALSE))</f>
        <v/>
      </c>
    </row>
    <row r="26" spans="1:12" x14ac:dyDescent="0.3">
      <c r="A26" s="18"/>
      <c r="B26" s="19"/>
      <c r="C26" s="13" t="str">
        <f>IF(Tableau134567[[#This Row],[Repère]]="","",VLOOKUP(Tableau134567[[#This Row],[Repère]],Tableau1[#All],3,FALSE))</f>
        <v/>
      </c>
      <c r="D26" s="13" t="str">
        <f>IF(Tableau134567[[#This Row],[Repère]]="","",VLOOKUP(Tableau134567[[#This Row],[Repère]],Tableau1[#All],4,FALSE))</f>
        <v/>
      </c>
      <c r="E26" s="13" t="str">
        <f>IF(Tableau134567[[#This Row],[Repère]]="","",VLOOKUP(Tableau134567[[#This Row],[Repère]],Tableau1[#All],5,FALSE))</f>
        <v/>
      </c>
      <c r="F26" s="13" t="str">
        <f>IF(Tableau134567[[#This Row],[Repère]]="","",VLOOKUP(Tableau134567[[#This Row],[Repère]],Tableau1[#All],6,FALSE))</f>
        <v/>
      </c>
      <c r="G26" s="13" t="str">
        <f>IF(Tableau134567[[#This Row],[Repère]]="","",VLOOKUP(Tableau134567[[#This Row],[Repère]],Tableau1[#All],7,FALSE))</f>
        <v/>
      </c>
      <c r="H26" s="13" t="str">
        <f>IF(Tableau134567[[#This Row],[Repère]]="","",VLOOKUP(Tableau134567[[#This Row],[Repère]],Tableau1[#All],8,FALSE))</f>
        <v/>
      </c>
      <c r="I26" s="13" t="str">
        <f>IF(Tableau134567[[#This Row],[Repère]]="","",VLOOKUP(Tableau134567[[#This Row],[Repère]],Tableau1[#All],9,FALSE))</f>
        <v/>
      </c>
      <c r="J26" s="13" t="str">
        <f>IF(Tableau134567[[#This Row],[Repère]]="","",VLOOKUP(Tableau134567[[#This Row],[Repère]],Tableau1[#All],10,FALSE))</f>
        <v/>
      </c>
      <c r="K26" s="13" t="str">
        <f>IF(Tableau134567[[#This Row],[Repère]]="","",VLOOKUP(Tableau134567[[#This Row],[Repère]],Tableau1[#All],11,FALSE))</f>
        <v/>
      </c>
      <c r="L26" s="14" t="str">
        <f>IF(Tableau134567[[#This Row],[Repère]]="","",VLOOKUP(Tableau134567[[#This Row],[Repère]],Tableau1[#All],12,FALSE))</f>
        <v/>
      </c>
    </row>
    <row r="27" spans="1:12" x14ac:dyDescent="0.3">
      <c r="A27" s="18"/>
      <c r="B27" s="19"/>
      <c r="C27" s="13" t="str">
        <f>IF(Tableau134567[[#This Row],[Repère]]="","",VLOOKUP(Tableau134567[[#This Row],[Repère]],Tableau1[#All],3,FALSE))</f>
        <v/>
      </c>
      <c r="D27" s="13" t="str">
        <f>IF(Tableau134567[[#This Row],[Repère]]="","",VLOOKUP(Tableau134567[[#This Row],[Repère]],Tableau1[#All],4,FALSE))</f>
        <v/>
      </c>
      <c r="E27" s="13" t="str">
        <f>IF(Tableau134567[[#This Row],[Repère]]="","",VLOOKUP(Tableau134567[[#This Row],[Repère]],Tableau1[#All],5,FALSE))</f>
        <v/>
      </c>
      <c r="F27" s="13" t="str">
        <f>IF(Tableau134567[[#This Row],[Repère]]="","",VLOOKUP(Tableau134567[[#This Row],[Repère]],Tableau1[#All],6,FALSE))</f>
        <v/>
      </c>
      <c r="G27" s="13" t="str">
        <f>IF(Tableau134567[[#This Row],[Repère]]="","",VLOOKUP(Tableau134567[[#This Row],[Repère]],Tableau1[#All],7,FALSE))</f>
        <v/>
      </c>
      <c r="H27" s="13" t="str">
        <f>IF(Tableau134567[[#This Row],[Repère]]="","",VLOOKUP(Tableau134567[[#This Row],[Repère]],Tableau1[#All],8,FALSE))</f>
        <v/>
      </c>
      <c r="I27" s="13" t="str">
        <f>IF(Tableau134567[[#This Row],[Repère]]="","",VLOOKUP(Tableau134567[[#This Row],[Repère]],Tableau1[#All],9,FALSE))</f>
        <v/>
      </c>
      <c r="J27" s="13" t="str">
        <f>IF(Tableau134567[[#This Row],[Repère]]="","",VLOOKUP(Tableau134567[[#This Row],[Repère]],Tableau1[#All],10,FALSE))</f>
        <v/>
      </c>
      <c r="K27" s="13" t="str">
        <f>IF(Tableau134567[[#This Row],[Repère]]="","",VLOOKUP(Tableau134567[[#This Row],[Repère]],Tableau1[#All],11,FALSE))</f>
        <v/>
      </c>
      <c r="L27" s="14" t="str">
        <f>IF(Tableau134567[[#This Row],[Repère]]="","",VLOOKUP(Tableau134567[[#This Row],[Repère]],Tableau1[#All],12,FALSE))</f>
        <v/>
      </c>
    </row>
    <row r="28" spans="1:12" x14ac:dyDescent="0.3">
      <c r="A28" s="18"/>
      <c r="B28" s="19"/>
      <c r="C28" s="13" t="str">
        <f>IF(Tableau134567[[#This Row],[Repère]]="","",VLOOKUP(Tableau134567[[#This Row],[Repère]],Tableau1[#All],3,FALSE))</f>
        <v/>
      </c>
      <c r="D28" s="13" t="str">
        <f>IF(Tableau134567[[#This Row],[Repère]]="","",VLOOKUP(Tableau134567[[#This Row],[Repère]],Tableau1[#All],4,FALSE))</f>
        <v/>
      </c>
      <c r="E28" s="13" t="str">
        <f>IF(Tableau134567[[#This Row],[Repère]]="","",VLOOKUP(Tableau134567[[#This Row],[Repère]],Tableau1[#All],5,FALSE))</f>
        <v/>
      </c>
      <c r="F28" s="13" t="str">
        <f>IF(Tableau134567[[#This Row],[Repère]]="","",VLOOKUP(Tableau134567[[#This Row],[Repère]],Tableau1[#All],6,FALSE))</f>
        <v/>
      </c>
      <c r="G28" s="13" t="str">
        <f>IF(Tableau134567[[#This Row],[Repère]]="","",VLOOKUP(Tableau134567[[#This Row],[Repère]],Tableau1[#All],7,FALSE))</f>
        <v/>
      </c>
      <c r="H28" s="13" t="str">
        <f>IF(Tableau134567[[#This Row],[Repère]]="","",VLOOKUP(Tableau134567[[#This Row],[Repère]],Tableau1[#All],8,FALSE))</f>
        <v/>
      </c>
      <c r="I28" s="13" t="str">
        <f>IF(Tableau134567[[#This Row],[Repère]]="","",VLOOKUP(Tableau134567[[#This Row],[Repère]],Tableau1[#All],9,FALSE))</f>
        <v/>
      </c>
      <c r="J28" s="13" t="str">
        <f>IF(Tableau134567[[#This Row],[Repère]]="","",VLOOKUP(Tableau134567[[#This Row],[Repère]],Tableau1[#All],10,FALSE))</f>
        <v/>
      </c>
      <c r="K28" s="13" t="str">
        <f>IF(Tableau134567[[#This Row],[Repère]]="","",VLOOKUP(Tableau134567[[#This Row],[Repère]],Tableau1[#All],11,FALSE))</f>
        <v/>
      </c>
      <c r="L28" s="14" t="str">
        <f>IF(Tableau134567[[#This Row],[Repère]]="","",VLOOKUP(Tableau134567[[#This Row],[Repère]],Tableau1[#All],12,FALSE))</f>
        <v/>
      </c>
    </row>
    <row r="29" spans="1:12" x14ac:dyDescent="0.3">
      <c r="A29" s="18"/>
      <c r="B29" s="19"/>
      <c r="C29" s="13" t="str">
        <f>IF(Tableau134567[[#This Row],[Repère]]="","",VLOOKUP(Tableau134567[[#This Row],[Repère]],Tableau1[#All],3,FALSE))</f>
        <v/>
      </c>
      <c r="D29" s="13" t="str">
        <f>IF(Tableau134567[[#This Row],[Repère]]="","",VLOOKUP(Tableau134567[[#This Row],[Repère]],Tableau1[#All],4,FALSE))</f>
        <v/>
      </c>
      <c r="E29" s="13" t="str">
        <f>IF(Tableau134567[[#This Row],[Repère]]="","",VLOOKUP(Tableau134567[[#This Row],[Repère]],Tableau1[#All],5,FALSE))</f>
        <v/>
      </c>
      <c r="F29" s="13" t="str">
        <f>IF(Tableau134567[[#This Row],[Repère]]="","",VLOOKUP(Tableau134567[[#This Row],[Repère]],Tableau1[#All],6,FALSE))</f>
        <v/>
      </c>
      <c r="G29" s="13" t="str">
        <f>IF(Tableau134567[[#This Row],[Repère]]="","",VLOOKUP(Tableau134567[[#This Row],[Repère]],Tableau1[#All],7,FALSE))</f>
        <v/>
      </c>
      <c r="H29" s="13" t="str">
        <f>IF(Tableau134567[[#This Row],[Repère]]="","",VLOOKUP(Tableau134567[[#This Row],[Repère]],Tableau1[#All],8,FALSE))</f>
        <v/>
      </c>
      <c r="I29" s="13" t="str">
        <f>IF(Tableau134567[[#This Row],[Repère]]="","",VLOOKUP(Tableau134567[[#This Row],[Repère]],Tableau1[#All],9,FALSE))</f>
        <v/>
      </c>
      <c r="J29" s="13" t="str">
        <f>IF(Tableau134567[[#This Row],[Repère]]="","",VLOOKUP(Tableau134567[[#This Row],[Repère]],Tableau1[#All],10,FALSE))</f>
        <v/>
      </c>
      <c r="K29" s="13" t="str">
        <f>IF(Tableau134567[[#This Row],[Repère]]="","",VLOOKUP(Tableau134567[[#This Row],[Repère]],Tableau1[#All],11,FALSE))</f>
        <v/>
      </c>
      <c r="L29" s="14" t="str">
        <f>IF(Tableau134567[[#This Row],[Repère]]="","",VLOOKUP(Tableau134567[[#This Row],[Repère]],Tableau1[#All],12,FALSE))</f>
        <v/>
      </c>
    </row>
    <row r="30" spans="1:12" x14ac:dyDescent="0.3">
      <c r="A30" s="18"/>
      <c r="B30" s="19"/>
      <c r="C30" s="13" t="str">
        <f>IF(Tableau134567[[#This Row],[Repère]]="","",VLOOKUP(Tableau134567[[#This Row],[Repère]],Tableau1[#All],3,FALSE))</f>
        <v/>
      </c>
      <c r="D30" s="13" t="str">
        <f>IF(Tableau134567[[#This Row],[Repère]]="","",VLOOKUP(Tableau134567[[#This Row],[Repère]],Tableau1[#All],4,FALSE))</f>
        <v/>
      </c>
      <c r="E30" s="13" t="str">
        <f>IF(Tableau134567[[#This Row],[Repère]]="","",VLOOKUP(Tableau134567[[#This Row],[Repère]],Tableau1[#All],5,FALSE))</f>
        <v/>
      </c>
      <c r="F30" s="13" t="str">
        <f>IF(Tableau134567[[#This Row],[Repère]]="","",VLOOKUP(Tableau134567[[#This Row],[Repère]],Tableau1[#All],6,FALSE))</f>
        <v/>
      </c>
      <c r="G30" s="13" t="str">
        <f>IF(Tableau134567[[#This Row],[Repère]]="","",VLOOKUP(Tableau134567[[#This Row],[Repère]],Tableau1[#All],7,FALSE))</f>
        <v/>
      </c>
      <c r="H30" s="13" t="str">
        <f>IF(Tableau134567[[#This Row],[Repère]]="","",VLOOKUP(Tableau134567[[#This Row],[Repère]],Tableau1[#All],8,FALSE))</f>
        <v/>
      </c>
      <c r="I30" s="13" t="str">
        <f>IF(Tableau134567[[#This Row],[Repère]]="","",VLOOKUP(Tableau134567[[#This Row],[Repère]],Tableau1[#All],9,FALSE))</f>
        <v/>
      </c>
      <c r="J30" s="13" t="str">
        <f>IF(Tableau134567[[#This Row],[Repère]]="","",VLOOKUP(Tableau134567[[#This Row],[Repère]],Tableau1[#All],10,FALSE))</f>
        <v/>
      </c>
      <c r="K30" s="13" t="str">
        <f>IF(Tableau134567[[#This Row],[Repère]]="","",VLOOKUP(Tableau134567[[#This Row],[Repère]],Tableau1[#All],11,FALSE))</f>
        <v/>
      </c>
      <c r="L30" s="14" t="str">
        <f>IF(Tableau134567[[#This Row],[Repère]]="","",VLOOKUP(Tableau134567[[#This Row],[Repère]],Tableau1[#All],12,FALSE))</f>
        <v/>
      </c>
    </row>
    <row r="31" spans="1:12" x14ac:dyDescent="0.3">
      <c r="A31" s="18"/>
      <c r="B31" s="19"/>
      <c r="C31" s="13" t="str">
        <f>IF(Tableau134567[[#This Row],[Repère]]="","",VLOOKUP(Tableau134567[[#This Row],[Repère]],Tableau1[#All],3,FALSE))</f>
        <v/>
      </c>
      <c r="D31" s="13" t="str">
        <f>IF(Tableau134567[[#This Row],[Repère]]="","",VLOOKUP(Tableau134567[[#This Row],[Repère]],Tableau1[#All],4,FALSE))</f>
        <v/>
      </c>
      <c r="E31" s="13" t="str">
        <f>IF(Tableau134567[[#This Row],[Repère]]="","",VLOOKUP(Tableau134567[[#This Row],[Repère]],Tableau1[#All],5,FALSE))</f>
        <v/>
      </c>
      <c r="F31" s="13" t="str">
        <f>IF(Tableau134567[[#This Row],[Repère]]="","",VLOOKUP(Tableau134567[[#This Row],[Repère]],Tableau1[#All],6,FALSE))</f>
        <v/>
      </c>
      <c r="G31" s="13" t="str">
        <f>IF(Tableau134567[[#This Row],[Repère]]="","",VLOOKUP(Tableau134567[[#This Row],[Repère]],Tableau1[#All],7,FALSE))</f>
        <v/>
      </c>
      <c r="H31" s="13" t="str">
        <f>IF(Tableau134567[[#This Row],[Repère]]="","",VLOOKUP(Tableau134567[[#This Row],[Repère]],Tableau1[#All],8,FALSE))</f>
        <v/>
      </c>
      <c r="I31" s="13" t="str">
        <f>IF(Tableau134567[[#This Row],[Repère]]="","",VLOOKUP(Tableau134567[[#This Row],[Repère]],Tableau1[#All],9,FALSE))</f>
        <v/>
      </c>
      <c r="J31" s="13" t="str">
        <f>IF(Tableau134567[[#This Row],[Repère]]="","",VLOOKUP(Tableau134567[[#This Row],[Repère]],Tableau1[#All],10,FALSE))</f>
        <v/>
      </c>
      <c r="K31" s="13" t="str">
        <f>IF(Tableau134567[[#This Row],[Repère]]="","",VLOOKUP(Tableau134567[[#This Row],[Repère]],Tableau1[#All],11,FALSE))</f>
        <v/>
      </c>
      <c r="L31" s="14" t="str">
        <f>IF(Tableau134567[[#This Row],[Repère]]="","",VLOOKUP(Tableau134567[[#This Row],[Repère]],Tableau1[#All],12,FALSE))</f>
        <v/>
      </c>
    </row>
    <row r="32" spans="1:12" x14ac:dyDescent="0.3">
      <c r="A32" s="18"/>
      <c r="B32" s="19"/>
      <c r="C32" s="13" t="str">
        <f>IF(Tableau134567[[#This Row],[Repère]]="","",VLOOKUP(Tableau134567[[#This Row],[Repère]],Tableau1[#All],3,FALSE))</f>
        <v/>
      </c>
      <c r="D32" s="13" t="str">
        <f>IF(Tableau134567[[#This Row],[Repère]]="","",VLOOKUP(Tableau134567[[#This Row],[Repère]],Tableau1[#All],4,FALSE))</f>
        <v/>
      </c>
      <c r="E32" s="13" t="str">
        <f>IF(Tableau134567[[#This Row],[Repère]]="","",VLOOKUP(Tableau134567[[#This Row],[Repère]],Tableau1[#All],5,FALSE))</f>
        <v/>
      </c>
      <c r="F32" s="13" t="str">
        <f>IF(Tableau134567[[#This Row],[Repère]]="","",VLOOKUP(Tableau134567[[#This Row],[Repère]],Tableau1[#All],6,FALSE))</f>
        <v/>
      </c>
      <c r="G32" s="13" t="str">
        <f>IF(Tableau134567[[#This Row],[Repère]]="","",VLOOKUP(Tableau134567[[#This Row],[Repère]],Tableau1[#All],7,FALSE))</f>
        <v/>
      </c>
      <c r="H32" s="13" t="str">
        <f>IF(Tableau134567[[#This Row],[Repère]]="","",VLOOKUP(Tableau134567[[#This Row],[Repère]],Tableau1[#All],8,FALSE))</f>
        <v/>
      </c>
      <c r="I32" s="13" t="str">
        <f>IF(Tableau134567[[#This Row],[Repère]]="","",VLOOKUP(Tableau134567[[#This Row],[Repère]],Tableau1[#All],9,FALSE))</f>
        <v/>
      </c>
      <c r="J32" s="13" t="str">
        <f>IF(Tableau134567[[#This Row],[Repère]]="","",VLOOKUP(Tableau134567[[#This Row],[Repère]],Tableau1[#All],10,FALSE))</f>
        <v/>
      </c>
      <c r="K32" s="13" t="str">
        <f>IF(Tableau134567[[#This Row],[Repère]]="","",VLOOKUP(Tableau134567[[#This Row],[Repère]],Tableau1[#All],11,FALSE))</f>
        <v/>
      </c>
      <c r="L32" s="14" t="str">
        <f>IF(Tableau134567[[#This Row],[Repère]]="","",VLOOKUP(Tableau134567[[#This Row],[Repère]],Tableau1[#All],12,FALSE))</f>
        <v/>
      </c>
    </row>
    <row r="33" spans="1:12" x14ac:dyDescent="0.3">
      <c r="A33" s="18"/>
      <c r="B33" s="19"/>
      <c r="C33" s="13" t="str">
        <f>IF(Tableau134567[[#This Row],[Repère]]="","",VLOOKUP(Tableau134567[[#This Row],[Repère]],Tableau1[#All],3,FALSE))</f>
        <v/>
      </c>
      <c r="D33" s="13" t="str">
        <f>IF(Tableau134567[[#This Row],[Repère]]="","",VLOOKUP(Tableau134567[[#This Row],[Repère]],Tableau1[#All],4,FALSE))</f>
        <v/>
      </c>
      <c r="E33" s="13" t="str">
        <f>IF(Tableau134567[[#This Row],[Repère]]="","",VLOOKUP(Tableau134567[[#This Row],[Repère]],Tableau1[#All],5,FALSE))</f>
        <v/>
      </c>
      <c r="F33" s="13" t="str">
        <f>IF(Tableau134567[[#This Row],[Repère]]="","",VLOOKUP(Tableau134567[[#This Row],[Repère]],Tableau1[#All],6,FALSE))</f>
        <v/>
      </c>
      <c r="G33" s="13" t="str">
        <f>IF(Tableau134567[[#This Row],[Repère]]="","",VLOOKUP(Tableau134567[[#This Row],[Repère]],Tableau1[#All],7,FALSE))</f>
        <v/>
      </c>
      <c r="H33" s="13" t="str">
        <f>IF(Tableau134567[[#This Row],[Repère]]="","",VLOOKUP(Tableau134567[[#This Row],[Repère]],Tableau1[#All],8,FALSE))</f>
        <v/>
      </c>
      <c r="I33" s="13" t="str">
        <f>IF(Tableau134567[[#This Row],[Repère]]="","",VLOOKUP(Tableau134567[[#This Row],[Repère]],Tableau1[#All],9,FALSE))</f>
        <v/>
      </c>
      <c r="J33" s="13" t="str">
        <f>IF(Tableau134567[[#This Row],[Repère]]="","",VLOOKUP(Tableau134567[[#This Row],[Repère]],Tableau1[#All],10,FALSE))</f>
        <v/>
      </c>
      <c r="K33" s="13" t="str">
        <f>IF(Tableau134567[[#This Row],[Repère]]="","",VLOOKUP(Tableau134567[[#This Row],[Repère]],Tableau1[#All],11,FALSE))</f>
        <v/>
      </c>
      <c r="L33" s="14" t="str">
        <f>IF(Tableau134567[[#This Row],[Repère]]="","",VLOOKUP(Tableau134567[[#This Row],[Repère]],Tableau1[#All],12,FALSE))</f>
        <v/>
      </c>
    </row>
    <row r="34" spans="1:12" x14ac:dyDescent="0.3">
      <c r="A34" s="18"/>
      <c r="B34" s="19"/>
      <c r="C34" s="13" t="str">
        <f>IF(Tableau134567[[#This Row],[Repère]]="","",VLOOKUP(Tableau134567[[#This Row],[Repère]],Tableau1[#All],3,FALSE))</f>
        <v/>
      </c>
      <c r="D34" s="13" t="str">
        <f>IF(Tableau134567[[#This Row],[Repère]]="","",VLOOKUP(Tableau134567[[#This Row],[Repère]],Tableau1[#All],4,FALSE))</f>
        <v/>
      </c>
      <c r="E34" s="13" t="str">
        <f>IF(Tableau134567[[#This Row],[Repère]]="","",VLOOKUP(Tableau134567[[#This Row],[Repère]],Tableau1[#All],5,FALSE))</f>
        <v/>
      </c>
      <c r="F34" s="13" t="str">
        <f>IF(Tableau134567[[#This Row],[Repère]]="","",VLOOKUP(Tableau134567[[#This Row],[Repère]],Tableau1[#All],6,FALSE))</f>
        <v/>
      </c>
      <c r="G34" s="13" t="str">
        <f>IF(Tableau134567[[#This Row],[Repère]]="","",VLOOKUP(Tableau134567[[#This Row],[Repère]],Tableau1[#All],7,FALSE))</f>
        <v/>
      </c>
      <c r="H34" s="13" t="str">
        <f>IF(Tableau134567[[#This Row],[Repère]]="","",VLOOKUP(Tableau134567[[#This Row],[Repère]],Tableau1[#All],8,FALSE))</f>
        <v/>
      </c>
      <c r="I34" s="13" t="str">
        <f>IF(Tableau134567[[#This Row],[Repère]]="","",VLOOKUP(Tableau134567[[#This Row],[Repère]],Tableau1[#All],9,FALSE))</f>
        <v/>
      </c>
      <c r="J34" s="13" t="str">
        <f>IF(Tableau134567[[#This Row],[Repère]]="","",VLOOKUP(Tableau134567[[#This Row],[Repère]],Tableau1[#All],10,FALSE))</f>
        <v/>
      </c>
      <c r="K34" s="13" t="str">
        <f>IF(Tableau134567[[#This Row],[Repère]]="","",VLOOKUP(Tableau134567[[#This Row],[Repère]],Tableau1[#All],11,FALSE))</f>
        <v/>
      </c>
      <c r="L34" s="14" t="str">
        <f>IF(Tableau134567[[#This Row],[Repère]]="","",VLOOKUP(Tableau134567[[#This Row],[Repère]],Tableau1[#All],12,FALSE))</f>
        <v/>
      </c>
    </row>
    <row r="35" spans="1:12" x14ac:dyDescent="0.3">
      <c r="A35" s="18"/>
      <c r="B35" s="19"/>
      <c r="C35" s="13" t="str">
        <f>IF(Tableau134567[[#This Row],[Repère]]="","",VLOOKUP(Tableau134567[[#This Row],[Repère]],Tableau1[#All],3,FALSE))</f>
        <v/>
      </c>
      <c r="D35" s="13" t="str">
        <f>IF(Tableau134567[[#This Row],[Repère]]="","",VLOOKUP(Tableau134567[[#This Row],[Repère]],Tableau1[#All],4,FALSE))</f>
        <v/>
      </c>
      <c r="E35" s="13" t="str">
        <f>IF(Tableau134567[[#This Row],[Repère]]="","",VLOOKUP(Tableau134567[[#This Row],[Repère]],Tableau1[#All],5,FALSE))</f>
        <v/>
      </c>
      <c r="F35" s="13" t="str">
        <f>IF(Tableau134567[[#This Row],[Repère]]="","",VLOOKUP(Tableau134567[[#This Row],[Repère]],Tableau1[#All],6,FALSE))</f>
        <v/>
      </c>
      <c r="G35" s="13" t="str">
        <f>IF(Tableau134567[[#This Row],[Repère]]="","",VLOOKUP(Tableau134567[[#This Row],[Repère]],Tableau1[#All],7,FALSE))</f>
        <v/>
      </c>
      <c r="H35" s="13" t="str">
        <f>IF(Tableau134567[[#This Row],[Repère]]="","",VLOOKUP(Tableau134567[[#This Row],[Repère]],Tableau1[#All],8,FALSE))</f>
        <v/>
      </c>
      <c r="I35" s="13" t="str">
        <f>IF(Tableau134567[[#This Row],[Repère]]="","",VLOOKUP(Tableau134567[[#This Row],[Repère]],Tableau1[#All],9,FALSE))</f>
        <v/>
      </c>
      <c r="J35" s="13" t="str">
        <f>IF(Tableau134567[[#This Row],[Repère]]="","",VLOOKUP(Tableau134567[[#This Row],[Repère]],Tableau1[#All],10,FALSE))</f>
        <v/>
      </c>
      <c r="K35" s="13" t="str">
        <f>IF(Tableau134567[[#This Row],[Repère]]="","",VLOOKUP(Tableau134567[[#This Row],[Repère]],Tableau1[#All],11,FALSE))</f>
        <v/>
      </c>
      <c r="L35" s="14" t="str">
        <f>IF(Tableau134567[[#This Row],[Repère]]="","",VLOOKUP(Tableau134567[[#This Row],[Repère]],Tableau1[#All],12,FALSE))</f>
        <v/>
      </c>
    </row>
    <row r="36" spans="1:12" x14ac:dyDescent="0.3">
      <c r="A36" s="18"/>
      <c r="B36" s="19"/>
      <c r="C36" s="13" t="str">
        <f>IF(Tableau134567[[#This Row],[Repère]]="","",VLOOKUP(Tableau134567[[#This Row],[Repère]],Tableau1[#All],3,FALSE))</f>
        <v/>
      </c>
      <c r="D36" s="13" t="str">
        <f>IF(Tableau134567[[#This Row],[Repère]]="","",VLOOKUP(Tableau134567[[#This Row],[Repère]],Tableau1[#All],4,FALSE))</f>
        <v/>
      </c>
      <c r="E36" s="13" t="str">
        <f>IF(Tableau134567[[#This Row],[Repère]]="","",VLOOKUP(Tableau134567[[#This Row],[Repère]],Tableau1[#All],5,FALSE))</f>
        <v/>
      </c>
      <c r="F36" s="13" t="str">
        <f>IF(Tableau134567[[#This Row],[Repère]]="","",VLOOKUP(Tableau134567[[#This Row],[Repère]],Tableau1[#All],6,FALSE))</f>
        <v/>
      </c>
      <c r="G36" s="13" t="str">
        <f>IF(Tableau134567[[#This Row],[Repère]]="","",VLOOKUP(Tableau134567[[#This Row],[Repère]],Tableau1[#All],7,FALSE))</f>
        <v/>
      </c>
      <c r="H36" s="13" t="str">
        <f>IF(Tableau134567[[#This Row],[Repère]]="","",VLOOKUP(Tableau134567[[#This Row],[Repère]],Tableau1[#All],8,FALSE))</f>
        <v/>
      </c>
      <c r="I36" s="13" t="str">
        <f>IF(Tableau134567[[#This Row],[Repère]]="","",VLOOKUP(Tableau134567[[#This Row],[Repère]],Tableau1[#All],9,FALSE))</f>
        <v/>
      </c>
      <c r="J36" s="13" t="str">
        <f>IF(Tableau134567[[#This Row],[Repère]]="","",VLOOKUP(Tableau134567[[#This Row],[Repère]],Tableau1[#All],10,FALSE))</f>
        <v/>
      </c>
      <c r="K36" s="13" t="str">
        <f>IF(Tableau134567[[#This Row],[Repère]]="","",VLOOKUP(Tableau134567[[#This Row],[Repère]],Tableau1[#All],11,FALSE))</f>
        <v/>
      </c>
      <c r="L36" s="14" t="str">
        <f>IF(Tableau134567[[#This Row],[Repère]]="","",VLOOKUP(Tableau134567[[#This Row],[Repère]],Tableau1[#All],12,FALSE))</f>
        <v/>
      </c>
    </row>
    <row r="37" spans="1:12" x14ac:dyDescent="0.3">
      <c r="A37" s="18"/>
      <c r="B37" s="19"/>
      <c r="C37" s="13" t="str">
        <f>IF(Tableau134567[[#This Row],[Repère]]="","",VLOOKUP(Tableau134567[[#This Row],[Repère]],Tableau1[#All],3,FALSE))</f>
        <v/>
      </c>
      <c r="D37" s="13" t="str">
        <f>IF(Tableau134567[[#This Row],[Repère]]="","",VLOOKUP(Tableau134567[[#This Row],[Repère]],Tableau1[#All],4,FALSE))</f>
        <v/>
      </c>
      <c r="E37" s="13" t="str">
        <f>IF(Tableau134567[[#This Row],[Repère]]="","",VLOOKUP(Tableau134567[[#This Row],[Repère]],Tableau1[#All],5,FALSE))</f>
        <v/>
      </c>
      <c r="F37" s="13" t="str">
        <f>IF(Tableau134567[[#This Row],[Repère]]="","",VLOOKUP(Tableau134567[[#This Row],[Repère]],Tableau1[#All],6,FALSE))</f>
        <v/>
      </c>
      <c r="G37" s="13" t="str">
        <f>IF(Tableau134567[[#This Row],[Repère]]="","",VLOOKUP(Tableau134567[[#This Row],[Repère]],Tableau1[#All],7,FALSE))</f>
        <v/>
      </c>
      <c r="H37" s="13" t="str">
        <f>IF(Tableau134567[[#This Row],[Repère]]="","",VLOOKUP(Tableau134567[[#This Row],[Repère]],Tableau1[#All],8,FALSE))</f>
        <v/>
      </c>
      <c r="I37" s="13" t="str">
        <f>IF(Tableau134567[[#This Row],[Repère]]="","",VLOOKUP(Tableau134567[[#This Row],[Repère]],Tableau1[#All],9,FALSE))</f>
        <v/>
      </c>
      <c r="J37" s="13" t="str">
        <f>IF(Tableau134567[[#This Row],[Repère]]="","",VLOOKUP(Tableau134567[[#This Row],[Repère]],Tableau1[#All],10,FALSE))</f>
        <v/>
      </c>
      <c r="K37" s="13" t="str">
        <f>IF(Tableau134567[[#This Row],[Repère]]="","",VLOOKUP(Tableau134567[[#This Row],[Repère]],Tableau1[#All],11,FALSE))</f>
        <v/>
      </c>
      <c r="L37" s="14" t="str">
        <f>IF(Tableau134567[[#This Row],[Repère]]="","",VLOOKUP(Tableau134567[[#This Row],[Repère]],Tableau1[#All],12,FALSE))</f>
        <v/>
      </c>
    </row>
    <row r="38" spans="1:12" x14ac:dyDescent="0.3">
      <c r="A38" s="18"/>
      <c r="B38" s="19"/>
      <c r="C38" s="13" t="str">
        <f>IF(Tableau134567[[#This Row],[Repère]]="","",VLOOKUP(Tableau134567[[#This Row],[Repère]],Tableau1[#All],3,FALSE))</f>
        <v/>
      </c>
      <c r="D38" s="13" t="str">
        <f>IF(Tableau134567[[#This Row],[Repère]]="","",VLOOKUP(Tableau134567[[#This Row],[Repère]],Tableau1[#All],4,FALSE))</f>
        <v/>
      </c>
      <c r="E38" s="13" t="str">
        <f>IF(Tableau134567[[#This Row],[Repère]]="","",VLOOKUP(Tableau134567[[#This Row],[Repère]],Tableau1[#All],5,FALSE))</f>
        <v/>
      </c>
      <c r="F38" s="13" t="str">
        <f>IF(Tableau134567[[#This Row],[Repère]]="","",VLOOKUP(Tableau134567[[#This Row],[Repère]],Tableau1[#All],6,FALSE))</f>
        <v/>
      </c>
      <c r="G38" s="13" t="str">
        <f>IF(Tableau134567[[#This Row],[Repère]]="","",VLOOKUP(Tableau134567[[#This Row],[Repère]],Tableau1[#All],7,FALSE))</f>
        <v/>
      </c>
      <c r="H38" s="13" t="str">
        <f>IF(Tableau134567[[#This Row],[Repère]]="","",VLOOKUP(Tableau134567[[#This Row],[Repère]],Tableau1[#All],8,FALSE))</f>
        <v/>
      </c>
      <c r="I38" s="13" t="str">
        <f>IF(Tableau134567[[#This Row],[Repère]]="","",VLOOKUP(Tableau134567[[#This Row],[Repère]],Tableau1[#All],9,FALSE))</f>
        <v/>
      </c>
      <c r="J38" s="13" t="str">
        <f>IF(Tableau134567[[#This Row],[Repère]]="","",VLOOKUP(Tableau134567[[#This Row],[Repère]],Tableau1[#All],10,FALSE))</f>
        <v/>
      </c>
      <c r="K38" s="13" t="str">
        <f>IF(Tableau134567[[#This Row],[Repère]]="","",VLOOKUP(Tableau134567[[#This Row],[Repère]],Tableau1[#All],11,FALSE))</f>
        <v/>
      </c>
      <c r="L38" s="14" t="str">
        <f>IF(Tableau134567[[#This Row],[Repère]]="","",VLOOKUP(Tableau134567[[#This Row],[Repère]],Tableau1[#All],12,FALSE))</f>
        <v/>
      </c>
    </row>
    <row r="39" spans="1:12" x14ac:dyDescent="0.3">
      <c r="A39" s="18"/>
      <c r="B39" s="19"/>
      <c r="C39" s="13" t="str">
        <f>IF(Tableau134567[[#This Row],[Repère]]="","",VLOOKUP(Tableau134567[[#This Row],[Repère]],Tableau1[#All],3,FALSE))</f>
        <v/>
      </c>
      <c r="D39" s="13" t="str">
        <f>IF(Tableau134567[[#This Row],[Repère]]="","",VLOOKUP(Tableau134567[[#This Row],[Repère]],Tableau1[#All],4,FALSE))</f>
        <v/>
      </c>
      <c r="E39" s="13" t="str">
        <f>IF(Tableau134567[[#This Row],[Repère]]="","",VLOOKUP(Tableau134567[[#This Row],[Repère]],Tableau1[#All],5,FALSE))</f>
        <v/>
      </c>
      <c r="F39" s="13" t="str">
        <f>IF(Tableau134567[[#This Row],[Repère]]="","",VLOOKUP(Tableau134567[[#This Row],[Repère]],Tableau1[#All],6,FALSE))</f>
        <v/>
      </c>
      <c r="G39" s="13" t="str">
        <f>IF(Tableau134567[[#This Row],[Repère]]="","",VLOOKUP(Tableau134567[[#This Row],[Repère]],Tableau1[#All],7,FALSE))</f>
        <v/>
      </c>
      <c r="H39" s="13" t="str">
        <f>IF(Tableau134567[[#This Row],[Repère]]="","",VLOOKUP(Tableau134567[[#This Row],[Repère]],Tableau1[#All],8,FALSE))</f>
        <v/>
      </c>
      <c r="I39" s="13" t="str">
        <f>IF(Tableau134567[[#This Row],[Repère]]="","",VLOOKUP(Tableau134567[[#This Row],[Repère]],Tableau1[#All],9,FALSE))</f>
        <v/>
      </c>
      <c r="J39" s="13" t="str">
        <f>IF(Tableau134567[[#This Row],[Repère]]="","",VLOOKUP(Tableau134567[[#This Row],[Repère]],Tableau1[#All],10,FALSE))</f>
        <v/>
      </c>
      <c r="K39" s="13" t="str">
        <f>IF(Tableau134567[[#This Row],[Repère]]="","",VLOOKUP(Tableau134567[[#This Row],[Repère]],Tableau1[#All],11,FALSE))</f>
        <v/>
      </c>
      <c r="L39" s="14" t="str">
        <f>IF(Tableau134567[[#This Row],[Repère]]="","",VLOOKUP(Tableau134567[[#This Row],[Repère]],Tableau1[#All],12,FALSE))</f>
        <v/>
      </c>
    </row>
    <row r="40" spans="1:12" x14ac:dyDescent="0.3">
      <c r="A40" s="18"/>
      <c r="B40" s="19"/>
      <c r="C40" s="13" t="str">
        <f>IF(Tableau134567[[#This Row],[Repère]]="","",VLOOKUP(Tableau134567[[#This Row],[Repère]],Tableau1[#All],3,FALSE))</f>
        <v/>
      </c>
      <c r="D40" s="13" t="str">
        <f>IF(Tableau134567[[#This Row],[Repère]]="","",VLOOKUP(Tableau134567[[#This Row],[Repère]],Tableau1[#All],4,FALSE))</f>
        <v/>
      </c>
      <c r="E40" s="13" t="str">
        <f>IF(Tableau134567[[#This Row],[Repère]]="","",VLOOKUP(Tableau134567[[#This Row],[Repère]],Tableau1[#All],5,FALSE))</f>
        <v/>
      </c>
      <c r="F40" s="13" t="str">
        <f>IF(Tableau134567[[#This Row],[Repère]]="","",VLOOKUP(Tableau134567[[#This Row],[Repère]],Tableau1[#All],6,FALSE))</f>
        <v/>
      </c>
      <c r="G40" s="13" t="str">
        <f>IF(Tableau134567[[#This Row],[Repère]]="","",VLOOKUP(Tableau134567[[#This Row],[Repère]],Tableau1[#All],7,FALSE))</f>
        <v/>
      </c>
      <c r="H40" s="13" t="str">
        <f>IF(Tableau134567[[#This Row],[Repère]]="","",VLOOKUP(Tableau134567[[#This Row],[Repère]],Tableau1[#All],8,FALSE))</f>
        <v/>
      </c>
      <c r="I40" s="13" t="str">
        <f>IF(Tableau134567[[#This Row],[Repère]]="","",VLOOKUP(Tableau134567[[#This Row],[Repère]],Tableau1[#All],9,FALSE))</f>
        <v/>
      </c>
      <c r="J40" s="13" t="str">
        <f>IF(Tableau134567[[#This Row],[Repère]]="","",VLOOKUP(Tableau134567[[#This Row],[Repère]],Tableau1[#All],10,FALSE))</f>
        <v/>
      </c>
      <c r="K40" s="13" t="str">
        <f>IF(Tableau134567[[#This Row],[Repère]]="","",VLOOKUP(Tableau134567[[#This Row],[Repère]],Tableau1[#All],11,FALSE))</f>
        <v/>
      </c>
      <c r="L40" s="14" t="str">
        <f>IF(Tableau134567[[#This Row],[Repère]]="","",VLOOKUP(Tableau134567[[#This Row],[Repère]],Tableau1[#All],12,FALSE))</f>
        <v/>
      </c>
    </row>
    <row r="41" spans="1:12" x14ac:dyDescent="0.3">
      <c r="A41" s="18"/>
      <c r="B41" s="19"/>
      <c r="C41" s="13" t="str">
        <f>IF(Tableau134567[[#This Row],[Repère]]="","",VLOOKUP(Tableau134567[[#This Row],[Repère]],Tableau1[#All],3,FALSE))</f>
        <v/>
      </c>
      <c r="D41" s="13" t="str">
        <f>IF(Tableau134567[[#This Row],[Repère]]="","",VLOOKUP(Tableau134567[[#This Row],[Repère]],Tableau1[#All],4,FALSE))</f>
        <v/>
      </c>
      <c r="E41" s="13" t="str">
        <f>IF(Tableau134567[[#This Row],[Repère]]="","",VLOOKUP(Tableau134567[[#This Row],[Repère]],Tableau1[#All],5,FALSE))</f>
        <v/>
      </c>
      <c r="F41" s="13" t="str">
        <f>IF(Tableau134567[[#This Row],[Repère]]="","",VLOOKUP(Tableau134567[[#This Row],[Repère]],Tableau1[#All],6,FALSE))</f>
        <v/>
      </c>
      <c r="G41" s="13" t="str">
        <f>IF(Tableau134567[[#This Row],[Repère]]="","",VLOOKUP(Tableau134567[[#This Row],[Repère]],Tableau1[#All],7,FALSE))</f>
        <v/>
      </c>
      <c r="H41" s="13" t="str">
        <f>IF(Tableau134567[[#This Row],[Repère]]="","",VLOOKUP(Tableau134567[[#This Row],[Repère]],Tableau1[#All],8,FALSE))</f>
        <v/>
      </c>
      <c r="I41" s="13" t="str">
        <f>IF(Tableau134567[[#This Row],[Repère]]="","",VLOOKUP(Tableau134567[[#This Row],[Repère]],Tableau1[#All],9,FALSE))</f>
        <v/>
      </c>
      <c r="J41" s="13" t="str">
        <f>IF(Tableau134567[[#This Row],[Repère]]="","",VLOOKUP(Tableau134567[[#This Row],[Repère]],Tableau1[#All],10,FALSE))</f>
        <v/>
      </c>
      <c r="K41" s="13" t="str">
        <f>IF(Tableau134567[[#This Row],[Repère]]="","",VLOOKUP(Tableau134567[[#This Row],[Repère]],Tableau1[#All],11,FALSE))</f>
        <v/>
      </c>
      <c r="L41" s="14" t="str">
        <f>IF(Tableau134567[[#This Row],[Repère]]="","",VLOOKUP(Tableau134567[[#This Row],[Repère]],Tableau1[#All],12,FALSE))</f>
        <v/>
      </c>
    </row>
    <row r="42" spans="1:12" x14ac:dyDescent="0.3">
      <c r="A42" s="18"/>
      <c r="B42" s="19"/>
      <c r="C42" s="13" t="str">
        <f>IF(Tableau134567[[#This Row],[Repère]]="","",VLOOKUP(Tableau134567[[#This Row],[Repère]],Tableau1[#All],3,FALSE))</f>
        <v/>
      </c>
      <c r="D42" s="13" t="str">
        <f>IF(Tableau134567[[#This Row],[Repère]]="","",VLOOKUP(Tableau134567[[#This Row],[Repère]],Tableau1[#All],4,FALSE))</f>
        <v/>
      </c>
      <c r="E42" s="13" t="str">
        <f>IF(Tableau134567[[#This Row],[Repère]]="","",VLOOKUP(Tableau134567[[#This Row],[Repère]],Tableau1[#All],5,FALSE))</f>
        <v/>
      </c>
      <c r="F42" s="13" t="str">
        <f>IF(Tableau134567[[#This Row],[Repère]]="","",VLOOKUP(Tableau134567[[#This Row],[Repère]],Tableau1[#All],6,FALSE))</f>
        <v/>
      </c>
      <c r="G42" s="13" t="str">
        <f>IF(Tableau134567[[#This Row],[Repère]]="","",VLOOKUP(Tableau134567[[#This Row],[Repère]],Tableau1[#All],7,FALSE))</f>
        <v/>
      </c>
      <c r="H42" s="13" t="str">
        <f>IF(Tableau134567[[#This Row],[Repère]]="","",VLOOKUP(Tableau134567[[#This Row],[Repère]],Tableau1[#All],8,FALSE))</f>
        <v/>
      </c>
      <c r="I42" s="13" t="str">
        <f>IF(Tableau134567[[#This Row],[Repère]]="","",VLOOKUP(Tableau134567[[#This Row],[Repère]],Tableau1[#All],9,FALSE))</f>
        <v/>
      </c>
      <c r="J42" s="13" t="str">
        <f>IF(Tableau134567[[#This Row],[Repère]]="","",VLOOKUP(Tableau134567[[#This Row],[Repère]],Tableau1[#All],10,FALSE))</f>
        <v/>
      </c>
      <c r="K42" s="13" t="str">
        <f>IF(Tableau134567[[#This Row],[Repère]]="","",VLOOKUP(Tableau134567[[#This Row],[Repère]],Tableau1[#All],11,FALSE))</f>
        <v/>
      </c>
      <c r="L42" s="14" t="str">
        <f>IF(Tableau134567[[#This Row],[Repère]]="","",VLOOKUP(Tableau134567[[#This Row],[Repère]],Tableau1[#All],12,FALSE))</f>
        <v/>
      </c>
    </row>
    <row r="43" spans="1:12" x14ac:dyDescent="0.3">
      <c r="A43" s="18"/>
      <c r="B43" s="19"/>
      <c r="C43" s="13" t="str">
        <f>IF(Tableau134567[[#This Row],[Repère]]="","",VLOOKUP(Tableau134567[[#This Row],[Repère]],Tableau1[#All],3,FALSE))</f>
        <v/>
      </c>
      <c r="D43" s="13" t="str">
        <f>IF(Tableau134567[[#This Row],[Repère]]="","",VLOOKUP(Tableau134567[[#This Row],[Repère]],Tableau1[#All],4,FALSE))</f>
        <v/>
      </c>
      <c r="E43" s="13" t="str">
        <f>IF(Tableau134567[[#This Row],[Repère]]="","",VLOOKUP(Tableau134567[[#This Row],[Repère]],Tableau1[#All],5,FALSE))</f>
        <v/>
      </c>
      <c r="F43" s="13" t="str">
        <f>IF(Tableau134567[[#This Row],[Repère]]="","",VLOOKUP(Tableau134567[[#This Row],[Repère]],Tableau1[#All],6,FALSE))</f>
        <v/>
      </c>
      <c r="G43" s="13" t="str">
        <f>IF(Tableau134567[[#This Row],[Repère]]="","",VLOOKUP(Tableau134567[[#This Row],[Repère]],Tableau1[#All],7,FALSE))</f>
        <v/>
      </c>
      <c r="H43" s="13" t="str">
        <f>IF(Tableau134567[[#This Row],[Repère]]="","",VLOOKUP(Tableau134567[[#This Row],[Repère]],Tableau1[#All],8,FALSE))</f>
        <v/>
      </c>
      <c r="I43" s="13" t="str">
        <f>IF(Tableau134567[[#This Row],[Repère]]="","",VLOOKUP(Tableau134567[[#This Row],[Repère]],Tableau1[#All],9,FALSE))</f>
        <v/>
      </c>
      <c r="J43" s="13" t="str">
        <f>IF(Tableau134567[[#This Row],[Repère]]="","",VLOOKUP(Tableau134567[[#This Row],[Repère]],Tableau1[#All],10,FALSE))</f>
        <v/>
      </c>
      <c r="K43" s="13" t="str">
        <f>IF(Tableau134567[[#This Row],[Repère]]="","",VLOOKUP(Tableau134567[[#This Row],[Repère]],Tableau1[#All],11,FALSE))</f>
        <v/>
      </c>
      <c r="L43" s="14" t="str">
        <f>IF(Tableau134567[[#This Row],[Repère]]="","",VLOOKUP(Tableau134567[[#This Row],[Repère]],Tableau1[#All],12,FALSE))</f>
        <v/>
      </c>
    </row>
    <row r="44" spans="1:12" x14ac:dyDescent="0.3">
      <c r="A44" s="18"/>
      <c r="B44" s="19"/>
      <c r="C44" s="13" t="str">
        <f>IF(Tableau134567[[#This Row],[Repère]]="","",VLOOKUP(Tableau134567[[#This Row],[Repère]],Tableau1[#All],3,FALSE))</f>
        <v/>
      </c>
      <c r="D44" s="13" t="str">
        <f>IF(Tableau134567[[#This Row],[Repère]]="","",VLOOKUP(Tableau134567[[#This Row],[Repère]],Tableau1[#All],4,FALSE))</f>
        <v/>
      </c>
      <c r="E44" s="13" t="str">
        <f>IF(Tableau134567[[#This Row],[Repère]]="","",VLOOKUP(Tableau134567[[#This Row],[Repère]],Tableau1[#All],5,FALSE))</f>
        <v/>
      </c>
      <c r="F44" s="13" t="str">
        <f>IF(Tableau134567[[#This Row],[Repère]]="","",VLOOKUP(Tableau134567[[#This Row],[Repère]],Tableau1[#All],6,FALSE))</f>
        <v/>
      </c>
      <c r="G44" s="13" t="str">
        <f>IF(Tableau134567[[#This Row],[Repère]]="","",VLOOKUP(Tableau134567[[#This Row],[Repère]],Tableau1[#All],7,FALSE))</f>
        <v/>
      </c>
      <c r="H44" s="13" t="str">
        <f>IF(Tableau134567[[#This Row],[Repère]]="","",VLOOKUP(Tableau134567[[#This Row],[Repère]],Tableau1[#All],8,FALSE))</f>
        <v/>
      </c>
      <c r="I44" s="13" t="str">
        <f>IF(Tableau134567[[#This Row],[Repère]]="","",VLOOKUP(Tableau134567[[#This Row],[Repère]],Tableau1[#All],9,FALSE))</f>
        <v/>
      </c>
      <c r="J44" s="13" t="str">
        <f>IF(Tableau134567[[#This Row],[Repère]]="","",VLOOKUP(Tableau134567[[#This Row],[Repère]],Tableau1[#All],10,FALSE))</f>
        <v/>
      </c>
      <c r="K44" s="13" t="str">
        <f>IF(Tableau134567[[#This Row],[Repère]]="","",VLOOKUP(Tableau134567[[#This Row],[Repère]],Tableau1[#All],11,FALSE))</f>
        <v/>
      </c>
      <c r="L44" s="14" t="str">
        <f>IF(Tableau134567[[#This Row],[Repère]]="","",VLOOKUP(Tableau134567[[#This Row],[Repère]],Tableau1[#All],12,FALSE))</f>
        <v/>
      </c>
    </row>
    <row r="45" spans="1:12" x14ac:dyDescent="0.3">
      <c r="A45" s="18"/>
      <c r="B45" s="19"/>
      <c r="C45" s="13" t="str">
        <f>IF(Tableau134567[[#This Row],[Repère]]="","",VLOOKUP(Tableau134567[[#This Row],[Repère]],Tableau1[#All],3,FALSE))</f>
        <v/>
      </c>
      <c r="D45" s="13" t="str">
        <f>IF(Tableau134567[[#This Row],[Repère]]="","",VLOOKUP(Tableau134567[[#This Row],[Repère]],Tableau1[#All],4,FALSE))</f>
        <v/>
      </c>
      <c r="E45" s="13" t="str">
        <f>IF(Tableau134567[[#This Row],[Repère]]="","",VLOOKUP(Tableau134567[[#This Row],[Repère]],Tableau1[#All],5,FALSE))</f>
        <v/>
      </c>
      <c r="F45" s="13" t="str">
        <f>IF(Tableau134567[[#This Row],[Repère]]="","",VLOOKUP(Tableau134567[[#This Row],[Repère]],Tableau1[#All],6,FALSE))</f>
        <v/>
      </c>
      <c r="G45" s="13" t="str">
        <f>IF(Tableau134567[[#This Row],[Repère]]="","",VLOOKUP(Tableau134567[[#This Row],[Repère]],Tableau1[#All],7,FALSE))</f>
        <v/>
      </c>
      <c r="H45" s="13" t="str">
        <f>IF(Tableau134567[[#This Row],[Repère]]="","",VLOOKUP(Tableau134567[[#This Row],[Repère]],Tableau1[#All],8,FALSE))</f>
        <v/>
      </c>
      <c r="I45" s="13" t="str">
        <f>IF(Tableau134567[[#This Row],[Repère]]="","",VLOOKUP(Tableau134567[[#This Row],[Repère]],Tableau1[#All],9,FALSE))</f>
        <v/>
      </c>
      <c r="J45" s="13" t="str">
        <f>IF(Tableau134567[[#This Row],[Repère]]="","",VLOOKUP(Tableau134567[[#This Row],[Repère]],Tableau1[#All],10,FALSE))</f>
        <v/>
      </c>
      <c r="K45" s="13" t="str">
        <f>IF(Tableau134567[[#This Row],[Repère]]="","",VLOOKUP(Tableau134567[[#This Row],[Repère]],Tableau1[#All],11,FALSE))</f>
        <v/>
      </c>
      <c r="L45" s="14" t="str">
        <f>IF(Tableau134567[[#This Row],[Repère]]="","",VLOOKUP(Tableau134567[[#This Row],[Repère]],Tableau1[#All],12,FALSE))</f>
        <v/>
      </c>
    </row>
    <row r="46" spans="1:12" x14ac:dyDescent="0.3">
      <c r="A46" s="18"/>
      <c r="B46" s="19"/>
      <c r="C46" s="13" t="str">
        <f>IF(Tableau134567[[#This Row],[Repère]]="","",VLOOKUP(Tableau134567[[#This Row],[Repère]],Tableau1[#All],3,FALSE))</f>
        <v/>
      </c>
      <c r="D46" s="13" t="str">
        <f>IF(Tableau134567[[#This Row],[Repère]]="","",VLOOKUP(Tableau134567[[#This Row],[Repère]],Tableau1[#All],4,FALSE))</f>
        <v/>
      </c>
      <c r="E46" s="13" t="str">
        <f>IF(Tableau134567[[#This Row],[Repère]]="","",VLOOKUP(Tableau134567[[#This Row],[Repère]],Tableau1[#All],5,FALSE))</f>
        <v/>
      </c>
      <c r="F46" s="13" t="str">
        <f>IF(Tableau134567[[#This Row],[Repère]]="","",VLOOKUP(Tableau134567[[#This Row],[Repère]],Tableau1[#All],6,FALSE))</f>
        <v/>
      </c>
      <c r="G46" s="13" t="str">
        <f>IF(Tableau134567[[#This Row],[Repère]]="","",VLOOKUP(Tableau134567[[#This Row],[Repère]],Tableau1[#All],7,FALSE))</f>
        <v/>
      </c>
      <c r="H46" s="13" t="str">
        <f>IF(Tableau134567[[#This Row],[Repère]]="","",VLOOKUP(Tableau134567[[#This Row],[Repère]],Tableau1[#All],8,FALSE))</f>
        <v/>
      </c>
      <c r="I46" s="13" t="str">
        <f>IF(Tableau134567[[#This Row],[Repère]]="","",VLOOKUP(Tableau134567[[#This Row],[Repère]],Tableau1[#All],9,FALSE))</f>
        <v/>
      </c>
      <c r="J46" s="13" t="str">
        <f>IF(Tableau134567[[#This Row],[Repère]]="","",VLOOKUP(Tableau134567[[#This Row],[Repère]],Tableau1[#All],10,FALSE))</f>
        <v/>
      </c>
      <c r="K46" s="13" t="str">
        <f>IF(Tableau134567[[#This Row],[Repère]]="","",VLOOKUP(Tableau134567[[#This Row],[Repère]],Tableau1[#All],11,FALSE))</f>
        <v/>
      </c>
      <c r="L46" s="14" t="str">
        <f>IF(Tableau134567[[#This Row],[Repère]]="","",VLOOKUP(Tableau134567[[#This Row],[Repère]],Tableau1[#All],12,FALSE))</f>
        <v/>
      </c>
    </row>
    <row r="47" spans="1:12" x14ac:dyDescent="0.3">
      <c r="A47" s="18"/>
      <c r="B47" s="19"/>
      <c r="C47" s="13" t="str">
        <f>IF(Tableau134567[[#This Row],[Repère]]="","",VLOOKUP(Tableau134567[[#This Row],[Repère]],Tableau1[#All],3,FALSE))</f>
        <v/>
      </c>
      <c r="D47" s="13" t="str">
        <f>IF(Tableau134567[[#This Row],[Repère]]="","",VLOOKUP(Tableau134567[[#This Row],[Repère]],Tableau1[#All],4,FALSE))</f>
        <v/>
      </c>
      <c r="E47" s="13" t="str">
        <f>IF(Tableau134567[[#This Row],[Repère]]="","",VLOOKUP(Tableau134567[[#This Row],[Repère]],Tableau1[#All],5,FALSE))</f>
        <v/>
      </c>
      <c r="F47" s="13" t="str">
        <f>IF(Tableau134567[[#This Row],[Repère]]="","",VLOOKUP(Tableau134567[[#This Row],[Repère]],Tableau1[#All],6,FALSE))</f>
        <v/>
      </c>
      <c r="G47" s="13" t="str">
        <f>IF(Tableau134567[[#This Row],[Repère]]="","",VLOOKUP(Tableau134567[[#This Row],[Repère]],Tableau1[#All],7,FALSE))</f>
        <v/>
      </c>
      <c r="H47" s="13" t="str">
        <f>IF(Tableau134567[[#This Row],[Repère]]="","",VLOOKUP(Tableau134567[[#This Row],[Repère]],Tableau1[#All],8,FALSE))</f>
        <v/>
      </c>
      <c r="I47" s="13" t="str">
        <f>IF(Tableau134567[[#This Row],[Repère]]="","",VLOOKUP(Tableau134567[[#This Row],[Repère]],Tableau1[#All],9,FALSE))</f>
        <v/>
      </c>
      <c r="J47" s="13" t="str">
        <f>IF(Tableau134567[[#This Row],[Repère]]="","",VLOOKUP(Tableau134567[[#This Row],[Repère]],Tableau1[#All],10,FALSE))</f>
        <v/>
      </c>
      <c r="K47" s="13" t="str">
        <f>IF(Tableau134567[[#This Row],[Repère]]="","",VLOOKUP(Tableau134567[[#This Row],[Repère]],Tableau1[#All],11,FALSE))</f>
        <v/>
      </c>
      <c r="L47" s="14" t="str">
        <f>IF(Tableau134567[[#This Row],[Repère]]="","",VLOOKUP(Tableau134567[[#This Row],[Repère]],Tableau1[#All],12,FALSE))</f>
        <v/>
      </c>
    </row>
    <row r="48" spans="1:12" x14ac:dyDescent="0.3">
      <c r="A48" s="18"/>
      <c r="B48" s="19"/>
      <c r="C48" s="13" t="str">
        <f>IF(Tableau134567[[#This Row],[Repère]]="","",VLOOKUP(Tableau134567[[#This Row],[Repère]],Tableau1[#All],3,FALSE))</f>
        <v/>
      </c>
      <c r="D48" s="13" t="str">
        <f>IF(Tableau134567[[#This Row],[Repère]]="","",VLOOKUP(Tableau134567[[#This Row],[Repère]],Tableau1[#All],4,FALSE))</f>
        <v/>
      </c>
      <c r="E48" s="13" t="str">
        <f>IF(Tableau134567[[#This Row],[Repère]]="","",VLOOKUP(Tableau134567[[#This Row],[Repère]],Tableau1[#All],5,FALSE))</f>
        <v/>
      </c>
      <c r="F48" s="13" t="str">
        <f>IF(Tableau134567[[#This Row],[Repère]]="","",VLOOKUP(Tableau134567[[#This Row],[Repère]],Tableau1[#All],6,FALSE))</f>
        <v/>
      </c>
      <c r="G48" s="13" t="str">
        <f>IF(Tableau134567[[#This Row],[Repère]]="","",VLOOKUP(Tableau134567[[#This Row],[Repère]],Tableau1[#All],7,FALSE))</f>
        <v/>
      </c>
      <c r="H48" s="13" t="str">
        <f>IF(Tableau134567[[#This Row],[Repère]]="","",VLOOKUP(Tableau134567[[#This Row],[Repère]],Tableau1[#All],8,FALSE))</f>
        <v/>
      </c>
      <c r="I48" s="13" t="str">
        <f>IF(Tableau134567[[#This Row],[Repère]]="","",VLOOKUP(Tableau134567[[#This Row],[Repère]],Tableau1[#All],9,FALSE))</f>
        <v/>
      </c>
      <c r="J48" s="13" t="str">
        <f>IF(Tableau134567[[#This Row],[Repère]]="","",VLOOKUP(Tableau134567[[#This Row],[Repère]],Tableau1[#All],10,FALSE))</f>
        <v/>
      </c>
      <c r="K48" s="13" t="str">
        <f>IF(Tableau134567[[#This Row],[Repère]]="","",VLOOKUP(Tableau134567[[#This Row],[Repère]],Tableau1[#All],11,FALSE))</f>
        <v/>
      </c>
      <c r="L48" s="14" t="str">
        <f>IF(Tableau134567[[#This Row],[Repère]]="","",VLOOKUP(Tableau134567[[#This Row],[Repère]],Tableau1[#All],12,FALSE))</f>
        <v/>
      </c>
    </row>
    <row r="49" spans="1:12" x14ac:dyDescent="0.3">
      <c r="A49" s="18"/>
      <c r="B49" s="19"/>
      <c r="C49" s="13" t="str">
        <f>IF(Tableau134567[[#This Row],[Repère]]="","",VLOOKUP(Tableau134567[[#This Row],[Repère]],Tableau1[#All],3,FALSE))</f>
        <v/>
      </c>
      <c r="D49" s="13" t="str">
        <f>IF(Tableau134567[[#This Row],[Repère]]="","",VLOOKUP(Tableau134567[[#This Row],[Repère]],Tableau1[#All],4,FALSE))</f>
        <v/>
      </c>
      <c r="E49" s="13" t="str">
        <f>IF(Tableau134567[[#This Row],[Repère]]="","",VLOOKUP(Tableau134567[[#This Row],[Repère]],Tableau1[#All],5,FALSE))</f>
        <v/>
      </c>
      <c r="F49" s="13" t="str">
        <f>IF(Tableau134567[[#This Row],[Repère]]="","",VLOOKUP(Tableau134567[[#This Row],[Repère]],Tableau1[#All],6,FALSE))</f>
        <v/>
      </c>
      <c r="G49" s="13" t="str">
        <f>IF(Tableau134567[[#This Row],[Repère]]="","",VLOOKUP(Tableau134567[[#This Row],[Repère]],Tableau1[#All],7,FALSE))</f>
        <v/>
      </c>
      <c r="H49" s="13" t="str">
        <f>IF(Tableau134567[[#This Row],[Repère]]="","",VLOOKUP(Tableau134567[[#This Row],[Repère]],Tableau1[#All],8,FALSE))</f>
        <v/>
      </c>
      <c r="I49" s="13" t="str">
        <f>IF(Tableau134567[[#This Row],[Repère]]="","",VLOOKUP(Tableau134567[[#This Row],[Repère]],Tableau1[#All],9,FALSE))</f>
        <v/>
      </c>
      <c r="J49" s="13" t="str">
        <f>IF(Tableau134567[[#This Row],[Repère]]="","",VLOOKUP(Tableau134567[[#This Row],[Repère]],Tableau1[#All],10,FALSE))</f>
        <v/>
      </c>
      <c r="K49" s="13" t="str">
        <f>IF(Tableau134567[[#This Row],[Repère]]="","",VLOOKUP(Tableau134567[[#This Row],[Repère]],Tableau1[#All],11,FALSE))</f>
        <v/>
      </c>
      <c r="L49" s="14" t="str">
        <f>IF(Tableau134567[[#This Row],[Repère]]="","",VLOOKUP(Tableau134567[[#This Row],[Repère]],Tableau1[#All],12,FALSE))</f>
        <v/>
      </c>
    </row>
    <row r="50" spans="1:12" x14ac:dyDescent="0.3">
      <c r="A50" s="18"/>
      <c r="B50" s="19"/>
      <c r="C50" s="13" t="str">
        <f>IF(Tableau134567[[#This Row],[Repère]]="","",VLOOKUP(Tableau134567[[#This Row],[Repère]],Tableau1[#All],3,FALSE))</f>
        <v/>
      </c>
      <c r="D50" s="13" t="str">
        <f>IF(Tableau134567[[#This Row],[Repère]]="","",VLOOKUP(Tableau134567[[#This Row],[Repère]],Tableau1[#All],4,FALSE))</f>
        <v/>
      </c>
      <c r="E50" s="13" t="str">
        <f>IF(Tableau134567[[#This Row],[Repère]]="","",VLOOKUP(Tableau134567[[#This Row],[Repère]],Tableau1[#All],5,FALSE))</f>
        <v/>
      </c>
      <c r="F50" s="13" t="str">
        <f>IF(Tableau134567[[#This Row],[Repère]]="","",VLOOKUP(Tableau134567[[#This Row],[Repère]],Tableau1[#All],6,FALSE))</f>
        <v/>
      </c>
      <c r="G50" s="13" t="str">
        <f>IF(Tableau134567[[#This Row],[Repère]]="","",VLOOKUP(Tableau134567[[#This Row],[Repère]],Tableau1[#All],7,FALSE))</f>
        <v/>
      </c>
      <c r="H50" s="13" t="str">
        <f>IF(Tableau134567[[#This Row],[Repère]]="","",VLOOKUP(Tableau134567[[#This Row],[Repère]],Tableau1[#All],8,FALSE))</f>
        <v/>
      </c>
      <c r="I50" s="13" t="str">
        <f>IF(Tableau134567[[#This Row],[Repère]]="","",VLOOKUP(Tableau134567[[#This Row],[Repère]],Tableau1[#All],9,FALSE))</f>
        <v/>
      </c>
      <c r="J50" s="13" t="str">
        <f>IF(Tableau134567[[#This Row],[Repère]]="","",VLOOKUP(Tableau134567[[#This Row],[Repère]],Tableau1[#All],10,FALSE))</f>
        <v/>
      </c>
      <c r="K50" s="13" t="str">
        <f>IF(Tableau134567[[#This Row],[Repère]]="","",VLOOKUP(Tableau134567[[#This Row],[Repère]],Tableau1[#All],11,FALSE))</f>
        <v/>
      </c>
      <c r="L50" s="14" t="str">
        <f>IF(Tableau134567[[#This Row],[Repère]]="","",VLOOKUP(Tableau134567[[#This Row],[Repère]],Tableau1[#All],12,FALSE))</f>
        <v/>
      </c>
    </row>
    <row r="51" spans="1:12" x14ac:dyDescent="0.3">
      <c r="A51" s="18"/>
      <c r="B51" s="19"/>
      <c r="C51" s="13" t="str">
        <f>IF(Tableau134567[[#This Row],[Repère]]="","",VLOOKUP(Tableau134567[[#This Row],[Repère]],Tableau1[#All],3,FALSE))</f>
        <v/>
      </c>
      <c r="D51" s="13" t="str">
        <f>IF(Tableau134567[[#This Row],[Repère]]="","",VLOOKUP(Tableau134567[[#This Row],[Repère]],Tableau1[#All],4,FALSE))</f>
        <v/>
      </c>
      <c r="E51" s="13" t="str">
        <f>IF(Tableau134567[[#This Row],[Repère]]="","",VLOOKUP(Tableau134567[[#This Row],[Repère]],Tableau1[#All],5,FALSE))</f>
        <v/>
      </c>
      <c r="F51" s="13" t="str">
        <f>IF(Tableau134567[[#This Row],[Repère]]="","",VLOOKUP(Tableau134567[[#This Row],[Repère]],Tableau1[#All],6,FALSE))</f>
        <v/>
      </c>
      <c r="G51" s="13" t="str">
        <f>IF(Tableau134567[[#This Row],[Repère]]="","",VLOOKUP(Tableau134567[[#This Row],[Repère]],Tableau1[#All],7,FALSE))</f>
        <v/>
      </c>
      <c r="H51" s="13" t="str">
        <f>IF(Tableau134567[[#This Row],[Repère]]="","",VLOOKUP(Tableau134567[[#This Row],[Repère]],Tableau1[#All],8,FALSE))</f>
        <v/>
      </c>
      <c r="I51" s="13" t="str">
        <f>IF(Tableau134567[[#This Row],[Repère]]="","",VLOOKUP(Tableau134567[[#This Row],[Repère]],Tableau1[#All],9,FALSE))</f>
        <v/>
      </c>
      <c r="J51" s="13" t="str">
        <f>IF(Tableau134567[[#This Row],[Repère]]="","",VLOOKUP(Tableau134567[[#This Row],[Repère]],Tableau1[#All],10,FALSE))</f>
        <v/>
      </c>
      <c r="K51" s="13" t="str">
        <f>IF(Tableau134567[[#This Row],[Repère]]="","",VLOOKUP(Tableau134567[[#This Row],[Repère]],Tableau1[#All],11,FALSE))</f>
        <v/>
      </c>
      <c r="L51" s="14" t="str">
        <f>IF(Tableau134567[[#This Row],[Repère]]="","",VLOOKUP(Tableau134567[[#This Row],[Repère]],Tableau1[#All],12,FALSE))</f>
        <v/>
      </c>
    </row>
    <row r="52" spans="1:12" x14ac:dyDescent="0.3">
      <c r="A52" s="18"/>
      <c r="B52" s="19"/>
      <c r="C52" s="13" t="str">
        <f>IF(Tableau134567[[#This Row],[Repère]]="","",VLOOKUP(Tableau134567[[#This Row],[Repère]],Tableau1[#All],3,FALSE))</f>
        <v/>
      </c>
      <c r="D52" s="13" t="str">
        <f>IF(Tableau134567[[#This Row],[Repère]]="","",VLOOKUP(Tableau134567[[#This Row],[Repère]],Tableau1[#All],4,FALSE))</f>
        <v/>
      </c>
      <c r="E52" s="13" t="str">
        <f>IF(Tableau134567[[#This Row],[Repère]]="","",VLOOKUP(Tableau134567[[#This Row],[Repère]],Tableau1[#All],5,FALSE))</f>
        <v/>
      </c>
      <c r="F52" s="13" t="str">
        <f>IF(Tableau134567[[#This Row],[Repère]]="","",VLOOKUP(Tableau134567[[#This Row],[Repère]],Tableau1[#All],6,FALSE))</f>
        <v/>
      </c>
      <c r="G52" s="13" t="str">
        <f>IF(Tableau134567[[#This Row],[Repère]]="","",VLOOKUP(Tableau134567[[#This Row],[Repère]],Tableau1[#All],7,FALSE))</f>
        <v/>
      </c>
      <c r="H52" s="13" t="str">
        <f>IF(Tableau134567[[#This Row],[Repère]]="","",VLOOKUP(Tableau134567[[#This Row],[Repère]],Tableau1[#All],8,FALSE))</f>
        <v/>
      </c>
      <c r="I52" s="13" t="str">
        <f>IF(Tableau134567[[#This Row],[Repère]]="","",VLOOKUP(Tableau134567[[#This Row],[Repère]],Tableau1[#All],9,FALSE))</f>
        <v/>
      </c>
      <c r="J52" s="13" t="str">
        <f>IF(Tableau134567[[#This Row],[Repère]]="","",VLOOKUP(Tableau134567[[#This Row],[Repère]],Tableau1[#All],10,FALSE))</f>
        <v/>
      </c>
      <c r="K52" s="13" t="str">
        <f>IF(Tableau134567[[#This Row],[Repère]]="","",VLOOKUP(Tableau134567[[#This Row],[Repère]],Tableau1[#All],11,FALSE))</f>
        <v/>
      </c>
      <c r="L52" s="14" t="str">
        <f>IF(Tableau134567[[#This Row],[Repère]]="","",VLOOKUP(Tableau134567[[#This Row],[Repère]],Tableau1[#All],12,FALSE))</f>
        <v/>
      </c>
    </row>
    <row r="53" spans="1:12" x14ac:dyDescent="0.3">
      <c r="A53" s="18"/>
      <c r="B53" s="19"/>
      <c r="C53" s="13" t="str">
        <f>IF(Tableau134567[[#This Row],[Repère]]="","",VLOOKUP(Tableau134567[[#This Row],[Repère]],Tableau1[#All],3,FALSE))</f>
        <v/>
      </c>
      <c r="D53" s="13" t="str">
        <f>IF(Tableau134567[[#This Row],[Repère]]="","",VLOOKUP(Tableau134567[[#This Row],[Repère]],Tableau1[#All],4,FALSE))</f>
        <v/>
      </c>
      <c r="E53" s="13" t="str">
        <f>IF(Tableau134567[[#This Row],[Repère]]="","",VLOOKUP(Tableau134567[[#This Row],[Repère]],Tableau1[#All],5,FALSE))</f>
        <v/>
      </c>
      <c r="F53" s="13" t="str">
        <f>IF(Tableau134567[[#This Row],[Repère]]="","",VLOOKUP(Tableau134567[[#This Row],[Repère]],Tableau1[#All],6,FALSE))</f>
        <v/>
      </c>
      <c r="G53" s="13" t="str">
        <f>IF(Tableau134567[[#This Row],[Repère]]="","",VLOOKUP(Tableau134567[[#This Row],[Repère]],Tableau1[#All],7,FALSE))</f>
        <v/>
      </c>
      <c r="H53" s="13" t="str">
        <f>IF(Tableau134567[[#This Row],[Repère]]="","",VLOOKUP(Tableau134567[[#This Row],[Repère]],Tableau1[#All],8,FALSE))</f>
        <v/>
      </c>
      <c r="I53" s="13" t="str">
        <f>IF(Tableau134567[[#This Row],[Repère]]="","",VLOOKUP(Tableau134567[[#This Row],[Repère]],Tableau1[#All],9,FALSE))</f>
        <v/>
      </c>
      <c r="J53" s="13" t="str">
        <f>IF(Tableau134567[[#This Row],[Repère]]="","",VLOOKUP(Tableau134567[[#This Row],[Repère]],Tableau1[#All],10,FALSE))</f>
        <v/>
      </c>
      <c r="K53" s="13" t="str">
        <f>IF(Tableau134567[[#This Row],[Repère]]="","",VLOOKUP(Tableau134567[[#This Row],[Repère]],Tableau1[#All],11,FALSE))</f>
        <v/>
      </c>
      <c r="L53" s="14" t="str">
        <f>IF(Tableau134567[[#This Row],[Repère]]="","",VLOOKUP(Tableau134567[[#This Row],[Repère]],Tableau1[#All],12,FALSE))</f>
        <v/>
      </c>
    </row>
    <row r="54" spans="1:12" x14ac:dyDescent="0.3">
      <c r="A54" s="18"/>
      <c r="B54" s="19"/>
      <c r="C54" s="13" t="str">
        <f>IF(Tableau134567[[#This Row],[Repère]]="","",VLOOKUP(Tableau134567[[#This Row],[Repère]],Tableau1[#All],3,FALSE))</f>
        <v/>
      </c>
      <c r="D54" s="13" t="str">
        <f>IF(Tableau134567[[#This Row],[Repère]]="","",VLOOKUP(Tableau134567[[#This Row],[Repère]],Tableau1[#All],4,FALSE))</f>
        <v/>
      </c>
      <c r="E54" s="13" t="str">
        <f>IF(Tableau134567[[#This Row],[Repère]]="","",VLOOKUP(Tableau134567[[#This Row],[Repère]],Tableau1[#All],5,FALSE))</f>
        <v/>
      </c>
      <c r="F54" s="13" t="str">
        <f>IF(Tableau134567[[#This Row],[Repère]]="","",VLOOKUP(Tableau134567[[#This Row],[Repère]],Tableau1[#All],6,FALSE))</f>
        <v/>
      </c>
      <c r="G54" s="13" t="str">
        <f>IF(Tableau134567[[#This Row],[Repère]]="","",VLOOKUP(Tableau134567[[#This Row],[Repère]],Tableau1[#All],7,FALSE))</f>
        <v/>
      </c>
      <c r="H54" s="13" t="str">
        <f>IF(Tableau134567[[#This Row],[Repère]]="","",VLOOKUP(Tableau134567[[#This Row],[Repère]],Tableau1[#All],8,FALSE))</f>
        <v/>
      </c>
      <c r="I54" s="13" t="str">
        <f>IF(Tableau134567[[#This Row],[Repère]]="","",VLOOKUP(Tableau134567[[#This Row],[Repère]],Tableau1[#All],9,FALSE))</f>
        <v/>
      </c>
      <c r="J54" s="13" t="str">
        <f>IF(Tableau134567[[#This Row],[Repère]]="","",VLOOKUP(Tableau134567[[#This Row],[Repère]],Tableau1[#All],10,FALSE))</f>
        <v/>
      </c>
      <c r="K54" s="13" t="str">
        <f>IF(Tableau134567[[#This Row],[Repère]]="","",VLOOKUP(Tableau134567[[#This Row],[Repère]],Tableau1[#All],11,FALSE))</f>
        <v/>
      </c>
      <c r="L54" s="14" t="str">
        <f>IF(Tableau134567[[#This Row],[Repère]]="","",VLOOKUP(Tableau134567[[#This Row],[Repère]],Tableau1[#All],12,FALSE))</f>
        <v/>
      </c>
    </row>
    <row r="55" spans="1:12" x14ac:dyDescent="0.3">
      <c r="A55" s="18"/>
      <c r="B55" s="19"/>
      <c r="C55" s="13" t="str">
        <f>IF(Tableau134567[[#This Row],[Repère]]="","",VLOOKUP(Tableau134567[[#This Row],[Repère]],Tableau1[#All],3,FALSE))</f>
        <v/>
      </c>
      <c r="D55" s="13" t="str">
        <f>IF(Tableau134567[[#This Row],[Repère]]="","",VLOOKUP(Tableau134567[[#This Row],[Repère]],Tableau1[#All],4,FALSE))</f>
        <v/>
      </c>
      <c r="E55" s="13" t="str">
        <f>IF(Tableau134567[[#This Row],[Repère]]="","",VLOOKUP(Tableau134567[[#This Row],[Repère]],Tableau1[#All],5,FALSE))</f>
        <v/>
      </c>
      <c r="F55" s="13" t="str">
        <f>IF(Tableau134567[[#This Row],[Repère]]="","",VLOOKUP(Tableau134567[[#This Row],[Repère]],Tableau1[#All],6,FALSE))</f>
        <v/>
      </c>
      <c r="G55" s="13" t="str">
        <f>IF(Tableau134567[[#This Row],[Repère]]="","",VLOOKUP(Tableau134567[[#This Row],[Repère]],Tableau1[#All],7,FALSE))</f>
        <v/>
      </c>
      <c r="H55" s="13" t="str">
        <f>IF(Tableau134567[[#This Row],[Repère]]="","",VLOOKUP(Tableau134567[[#This Row],[Repère]],Tableau1[#All],8,FALSE))</f>
        <v/>
      </c>
      <c r="I55" s="13" t="str">
        <f>IF(Tableau134567[[#This Row],[Repère]]="","",VLOOKUP(Tableau134567[[#This Row],[Repère]],Tableau1[#All],9,FALSE))</f>
        <v/>
      </c>
      <c r="J55" s="13" t="str">
        <f>IF(Tableau134567[[#This Row],[Repère]]="","",VLOOKUP(Tableau134567[[#This Row],[Repère]],Tableau1[#All],10,FALSE))</f>
        <v/>
      </c>
      <c r="K55" s="13" t="str">
        <f>IF(Tableau134567[[#This Row],[Repère]]="","",VLOOKUP(Tableau134567[[#This Row],[Repère]],Tableau1[#All],11,FALSE))</f>
        <v/>
      </c>
      <c r="L55" s="14" t="str">
        <f>IF(Tableau134567[[#This Row],[Repère]]="","",VLOOKUP(Tableau134567[[#This Row],[Repère]],Tableau1[#All],12,FALSE))</f>
        <v/>
      </c>
    </row>
    <row r="56" spans="1:12" x14ac:dyDescent="0.3">
      <c r="A56" s="18"/>
      <c r="B56" s="19"/>
      <c r="C56" s="13" t="str">
        <f>IF(Tableau134567[[#This Row],[Repère]]="","",VLOOKUP(Tableau134567[[#This Row],[Repère]],Tableau1[#All],3,FALSE))</f>
        <v/>
      </c>
      <c r="D56" s="13" t="str">
        <f>IF(Tableau134567[[#This Row],[Repère]]="","",VLOOKUP(Tableau134567[[#This Row],[Repère]],Tableau1[#All],4,FALSE))</f>
        <v/>
      </c>
      <c r="E56" s="13" t="str">
        <f>IF(Tableau134567[[#This Row],[Repère]]="","",VLOOKUP(Tableau134567[[#This Row],[Repère]],Tableau1[#All],5,FALSE))</f>
        <v/>
      </c>
      <c r="F56" s="13" t="str">
        <f>IF(Tableau134567[[#This Row],[Repère]]="","",VLOOKUP(Tableau134567[[#This Row],[Repère]],Tableau1[#All],6,FALSE))</f>
        <v/>
      </c>
      <c r="G56" s="13" t="str">
        <f>IF(Tableau134567[[#This Row],[Repère]]="","",VLOOKUP(Tableau134567[[#This Row],[Repère]],Tableau1[#All],7,FALSE))</f>
        <v/>
      </c>
      <c r="H56" s="13" t="str">
        <f>IF(Tableau134567[[#This Row],[Repère]]="","",VLOOKUP(Tableau134567[[#This Row],[Repère]],Tableau1[#All],8,FALSE))</f>
        <v/>
      </c>
      <c r="I56" s="13" t="str">
        <f>IF(Tableau134567[[#This Row],[Repère]]="","",VLOOKUP(Tableau134567[[#This Row],[Repère]],Tableau1[#All],9,FALSE))</f>
        <v/>
      </c>
      <c r="J56" s="13" t="str">
        <f>IF(Tableau134567[[#This Row],[Repère]]="","",VLOOKUP(Tableau134567[[#This Row],[Repère]],Tableau1[#All],10,FALSE))</f>
        <v/>
      </c>
      <c r="K56" s="13" t="str">
        <f>IF(Tableau134567[[#This Row],[Repère]]="","",VLOOKUP(Tableau134567[[#This Row],[Repère]],Tableau1[#All],11,FALSE))</f>
        <v/>
      </c>
      <c r="L56" s="14" t="str">
        <f>IF(Tableau134567[[#This Row],[Repère]]="","",VLOOKUP(Tableau134567[[#This Row],[Repère]],Tableau1[#All],12,FALSE))</f>
        <v/>
      </c>
    </row>
    <row r="57" spans="1:12" x14ac:dyDescent="0.3">
      <c r="A57" s="18"/>
      <c r="B57" s="19"/>
      <c r="C57" s="13" t="str">
        <f>IF(Tableau134567[[#This Row],[Repère]]="","",VLOOKUP(Tableau134567[[#This Row],[Repère]],Tableau1[#All],3,FALSE))</f>
        <v/>
      </c>
      <c r="D57" s="13" t="str">
        <f>IF(Tableau134567[[#This Row],[Repère]]="","",VLOOKUP(Tableau134567[[#This Row],[Repère]],Tableau1[#All],4,FALSE))</f>
        <v/>
      </c>
      <c r="E57" s="13" t="str">
        <f>IF(Tableau134567[[#This Row],[Repère]]="","",VLOOKUP(Tableau134567[[#This Row],[Repère]],Tableau1[#All],5,FALSE))</f>
        <v/>
      </c>
      <c r="F57" s="13" t="str">
        <f>IF(Tableau134567[[#This Row],[Repère]]="","",VLOOKUP(Tableau134567[[#This Row],[Repère]],Tableau1[#All],6,FALSE))</f>
        <v/>
      </c>
      <c r="G57" s="13" t="str">
        <f>IF(Tableau134567[[#This Row],[Repère]]="","",VLOOKUP(Tableau134567[[#This Row],[Repère]],Tableau1[#All],7,FALSE))</f>
        <v/>
      </c>
      <c r="H57" s="13" t="str">
        <f>IF(Tableau134567[[#This Row],[Repère]]="","",VLOOKUP(Tableau134567[[#This Row],[Repère]],Tableau1[#All],8,FALSE))</f>
        <v/>
      </c>
      <c r="I57" s="13" t="str">
        <f>IF(Tableau134567[[#This Row],[Repère]]="","",VLOOKUP(Tableau134567[[#This Row],[Repère]],Tableau1[#All],9,FALSE))</f>
        <v/>
      </c>
      <c r="J57" s="13" t="str">
        <f>IF(Tableau134567[[#This Row],[Repère]]="","",VLOOKUP(Tableau134567[[#This Row],[Repère]],Tableau1[#All],10,FALSE))</f>
        <v/>
      </c>
      <c r="K57" s="13" t="str">
        <f>IF(Tableau134567[[#This Row],[Repère]]="","",VLOOKUP(Tableau134567[[#This Row],[Repère]],Tableau1[#All],11,FALSE))</f>
        <v/>
      </c>
      <c r="L57" s="14" t="str">
        <f>IF(Tableau134567[[#This Row],[Repère]]="","",VLOOKUP(Tableau134567[[#This Row],[Repère]],Tableau1[#All],12,FALSE))</f>
        <v/>
      </c>
    </row>
    <row r="58" spans="1:12" x14ac:dyDescent="0.3">
      <c r="A58" s="18"/>
      <c r="B58" s="19"/>
      <c r="C58" s="13" t="str">
        <f>IF(Tableau134567[[#This Row],[Repère]]="","",VLOOKUP(Tableau134567[[#This Row],[Repère]],Tableau1[#All],3,FALSE))</f>
        <v/>
      </c>
      <c r="D58" s="13" t="str">
        <f>IF(Tableau134567[[#This Row],[Repère]]="","",VLOOKUP(Tableau134567[[#This Row],[Repère]],Tableau1[#All],4,FALSE))</f>
        <v/>
      </c>
      <c r="E58" s="13" t="str">
        <f>IF(Tableau134567[[#This Row],[Repère]]="","",VLOOKUP(Tableau134567[[#This Row],[Repère]],Tableau1[#All],5,FALSE))</f>
        <v/>
      </c>
      <c r="F58" s="13" t="str">
        <f>IF(Tableau134567[[#This Row],[Repère]]="","",VLOOKUP(Tableau134567[[#This Row],[Repère]],Tableau1[#All],6,FALSE))</f>
        <v/>
      </c>
      <c r="G58" s="13" t="str">
        <f>IF(Tableau134567[[#This Row],[Repère]]="","",VLOOKUP(Tableau134567[[#This Row],[Repère]],Tableau1[#All],7,FALSE))</f>
        <v/>
      </c>
      <c r="H58" s="13" t="str">
        <f>IF(Tableau134567[[#This Row],[Repère]]="","",VLOOKUP(Tableau134567[[#This Row],[Repère]],Tableau1[#All],8,FALSE))</f>
        <v/>
      </c>
      <c r="I58" s="13" t="str">
        <f>IF(Tableau134567[[#This Row],[Repère]]="","",VLOOKUP(Tableau134567[[#This Row],[Repère]],Tableau1[#All],9,FALSE))</f>
        <v/>
      </c>
      <c r="J58" s="13" t="str">
        <f>IF(Tableau134567[[#This Row],[Repère]]="","",VLOOKUP(Tableau134567[[#This Row],[Repère]],Tableau1[#All],10,FALSE))</f>
        <v/>
      </c>
      <c r="K58" s="13" t="str">
        <f>IF(Tableau134567[[#This Row],[Repère]]="","",VLOOKUP(Tableau134567[[#This Row],[Repère]],Tableau1[#All],11,FALSE))</f>
        <v/>
      </c>
      <c r="L58" s="14" t="str">
        <f>IF(Tableau134567[[#This Row],[Repère]]="","",VLOOKUP(Tableau134567[[#This Row],[Repère]],Tableau1[#All],12,FALSE))</f>
        <v/>
      </c>
    </row>
    <row r="59" spans="1:12" x14ac:dyDescent="0.3">
      <c r="A59" s="18"/>
      <c r="B59" s="19"/>
      <c r="C59" s="13" t="str">
        <f>IF(Tableau134567[[#This Row],[Repère]]="","",VLOOKUP(Tableau134567[[#This Row],[Repère]],Tableau1[#All],3,FALSE))</f>
        <v/>
      </c>
      <c r="D59" s="13" t="str">
        <f>IF(Tableau134567[[#This Row],[Repère]]="","",VLOOKUP(Tableau134567[[#This Row],[Repère]],Tableau1[#All],4,FALSE))</f>
        <v/>
      </c>
      <c r="E59" s="13" t="str">
        <f>IF(Tableau134567[[#This Row],[Repère]]="","",VLOOKUP(Tableau134567[[#This Row],[Repère]],Tableau1[#All],5,FALSE))</f>
        <v/>
      </c>
      <c r="F59" s="13" t="str">
        <f>IF(Tableau134567[[#This Row],[Repère]]="","",VLOOKUP(Tableau134567[[#This Row],[Repère]],Tableau1[#All],6,FALSE))</f>
        <v/>
      </c>
      <c r="G59" s="13" t="str">
        <f>IF(Tableau134567[[#This Row],[Repère]]="","",VLOOKUP(Tableau134567[[#This Row],[Repère]],Tableau1[#All],7,FALSE))</f>
        <v/>
      </c>
      <c r="H59" s="13" t="str">
        <f>IF(Tableau134567[[#This Row],[Repère]]="","",VLOOKUP(Tableau134567[[#This Row],[Repère]],Tableau1[#All],8,FALSE))</f>
        <v/>
      </c>
      <c r="I59" s="13" t="str">
        <f>IF(Tableau134567[[#This Row],[Repère]]="","",VLOOKUP(Tableau134567[[#This Row],[Repère]],Tableau1[#All],9,FALSE))</f>
        <v/>
      </c>
      <c r="J59" s="13" t="str">
        <f>IF(Tableau134567[[#This Row],[Repère]]="","",VLOOKUP(Tableau134567[[#This Row],[Repère]],Tableau1[#All],10,FALSE))</f>
        <v/>
      </c>
      <c r="K59" s="13" t="str">
        <f>IF(Tableau134567[[#This Row],[Repère]]="","",VLOOKUP(Tableau134567[[#This Row],[Repère]],Tableau1[#All],11,FALSE))</f>
        <v/>
      </c>
      <c r="L59" s="14" t="str">
        <f>IF(Tableau134567[[#This Row],[Repère]]="","",VLOOKUP(Tableau134567[[#This Row],[Repère]],Tableau1[#All],12,FALSE))</f>
        <v/>
      </c>
    </row>
    <row r="60" spans="1:12" x14ac:dyDescent="0.3">
      <c r="A60" s="18"/>
      <c r="B60" s="19"/>
      <c r="C60" s="13" t="str">
        <f>IF(Tableau134567[[#This Row],[Repère]]="","",VLOOKUP(Tableau134567[[#This Row],[Repère]],Tableau1[#All],3,FALSE))</f>
        <v/>
      </c>
      <c r="D60" s="13" t="str">
        <f>IF(Tableau134567[[#This Row],[Repère]]="","",VLOOKUP(Tableau134567[[#This Row],[Repère]],Tableau1[#All],4,FALSE))</f>
        <v/>
      </c>
      <c r="E60" s="13" t="str">
        <f>IF(Tableau134567[[#This Row],[Repère]]="","",VLOOKUP(Tableau134567[[#This Row],[Repère]],Tableau1[#All],5,FALSE))</f>
        <v/>
      </c>
      <c r="F60" s="13" t="str">
        <f>IF(Tableau134567[[#This Row],[Repère]]="","",VLOOKUP(Tableau134567[[#This Row],[Repère]],Tableau1[#All],6,FALSE))</f>
        <v/>
      </c>
      <c r="G60" s="13" t="str">
        <f>IF(Tableau134567[[#This Row],[Repère]]="","",VLOOKUP(Tableau134567[[#This Row],[Repère]],Tableau1[#All],7,FALSE))</f>
        <v/>
      </c>
      <c r="H60" s="13" t="str">
        <f>IF(Tableau134567[[#This Row],[Repère]]="","",VLOOKUP(Tableau134567[[#This Row],[Repère]],Tableau1[#All],8,FALSE))</f>
        <v/>
      </c>
      <c r="I60" s="13" t="str">
        <f>IF(Tableau134567[[#This Row],[Repère]]="","",VLOOKUP(Tableau134567[[#This Row],[Repère]],Tableau1[#All],9,FALSE))</f>
        <v/>
      </c>
      <c r="J60" s="13" t="str">
        <f>IF(Tableau134567[[#This Row],[Repère]]="","",VLOOKUP(Tableau134567[[#This Row],[Repère]],Tableau1[#All],10,FALSE))</f>
        <v/>
      </c>
      <c r="K60" s="13" t="str">
        <f>IF(Tableau134567[[#This Row],[Repère]]="","",VLOOKUP(Tableau134567[[#This Row],[Repère]],Tableau1[#All],11,FALSE))</f>
        <v/>
      </c>
      <c r="L60" s="14" t="str">
        <f>IF(Tableau134567[[#This Row],[Repère]]="","",VLOOKUP(Tableau134567[[#This Row],[Repère]],Tableau1[#All],12,FALSE))</f>
        <v/>
      </c>
    </row>
    <row r="61" spans="1:12" x14ac:dyDescent="0.3">
      <c r="A61" s="18"/>
      <c r="B61" s="19"/>
      <c r="C61" s="13" t="str">
        <f>IF(Tableau134567[[#This Row],[Repère]]="","",VLOOKUP(Tableau134567[[#This Row],[Repère]],Tableau1[#All],3,FALSE))</f>
        <v/>
      </c>
      <c r="D61" s="13" t="str">
        <f>IF(Tableau134567[[#This Row],[Repère]]="","",VLOOKUP(Tableau134567[[#This Row],[Repère]],Tableau1[#All],4,FALSE))</f>
        <v/>
      </c>
      <c r="E61" s="13" t="str">
        <f>IF(Tableau134567[[#This Row],[Repère]]="","",VLOOKUP(Tableau134567[[#This Row],[Repère]],Tableau1[#All],5,FALSE))</f>
        <v/>
      </c>
      <c r="F61" s="13" t="str">
        <f>IF(Tableau134567[[#This Row],[Repère]]="","",VLOOKUP(Tableau134567[[#This Row],[Repère]],Tableau1[#All],6,FALSE))</f>
        <v/>
      </c>
      <c r="G61" s="13" t="str">
        <f>IF(Tableau134567[[#This Row],[Repère]]="","",VLOOKUP(Tableau134567[[#This Row],[Repère]],Tableau1[#All],7,FALSE))</f>
        <v/>
      </c>
      <c r="H61" s="13" t="str">
        <f>IF(Tableau134567[[#This Row],[Repère]]="","",VLOOKUP(Tableau134567[[#This Row],[Repère]],Tableau1[#All],8,FALSE))</f>
        <v/>
      </c>
      <c r="I61" s="13" t="str">
        <f>IF(Tableau134567[[#This Row],[Repère]]="","",VLOOKUP(Tableau134567[[#This Row],[Repère]],Tableau1[#All],9,FALSE))</f>
        <v/>
      </c>
      <c r="J61" s="13" t="str">
        <f>IF(Tableau134567[[#This Row],[Repère]]="","",VLOOKUP(Tableau134567[[#This Row],[Repère]],Tableau1[#All],10,FALSE))</f>
        <v/>
      </c>
      <c r="K61" s="13" t="str">
        <f>IF(Tableau134567[[#This Row],[Repère]]="","",VLOOKUP(Tableau134567[[#This Row],[Repère]],Tableau1[#All],11,FALSE))</f>
        <v/>
      </c>
      <c r="L61" s="14" t="str">
        <f>IF(Tableau134567[[#This Row],[Repère]]="","",VLOOKUP(Tableau134567[[#This Row],[Repère]],Tableau1[#All],12,FALSE))</f>
        <v/>
      </c>
    </row>
    <row r="62" spans="1:12" x14ac:dyDescent="0.3">
      <c r="A62" s="18"/>
      <c r="B62" s="19"/>
      <c r="C62" s="13" t="str">
        <f>IF(Tableau134567[[#This Row],[Repère]]="","",VLOOKUP(Tableau134567[[#This Row],[Repère]],Tableau1[#All],3,FALSE))</f>
        <v/>
      </c>
      <c r="D62" s="13" t="str">
        <f>IF(Tableau134567[[#This Row],[Repère]]="","",VLOOKUP(Tableau134567[[#This Row],[Repère]],Tableau1[#All],4,FALSE))</f>
        <v/>
      </c>
      <c r="E62" s="13" t="str">
        <f>IF(Tableau134567[[#This Row],[Repère]]="","",VLOOKUP(Tableau134567[[#This Row],[Repère]],Tableau1[#All],5,FALSE))</f>
        <v/>
      </c>
      <c r="F62" s="13" t="str">
        <f>IF(Tableau134567[[#This Row],[Repère]]="","",VLOOKUP(Tableau134567[[#This Row],[Repère]],Tableau1[#All],6,FALSE))</f>
        <v/>
      </c>
      <c r="G62" s="13" t="str">
        <f>IF(Tableau134567[[#This Row],[Repère]]="","",VLOOKUP(Tableau134567[[#This Row],[Repère]],Tableau1[#All],7,FALSE))</f>
        <v/>
      </c>
      <c r="H62" s="13" t="str">
        <f>IF(Tableau134567[[#This Row],[Repère]]="","",VLOOKUP(Tableau134567[[#This Row],[Repère]],Tableau1[#All],8,FALSE))</f>
        <v/>
      </c>
      <c r="I62" s="13" t="str">
        <f>IF(Tableau134567[[#This Row],[Repère]]="","",VLOOKUP(Tableau134567[[#This Row],[Repère]],Tableau1[#All],9,FALSE))</f>
        <v/>
      </c>
      <c r="J62" s="13" t="str">
        <f>IF(Tableau134567[[#This Row],[Repère]]="","",VLOOKUP(Tableau134567[[#This Row],[Repère]],Tableau1[#All],10,FALSE))</f>
        <v/>
      </c>
      <c r="K62" s="13" t="str">
        <f>IF(Tableau134567[[#This Row],[Repère]]="","",VLOOKUP(Tableau134567[[#This Row],[Repère]],Tableau1[#All],11,FALSE))</f>
        <v/>
      </c>
      <c r="L62" s="14" t="str">
        <f>IF(Tableau134567[[#This Row],[Repère]]="","",VLOOKUP(Tableau134567[[#This Row],[Repère]],Tableau1[#All],12,FALSE))</f>
        <v/>
      </c>
    </row>
    <row r="63" spans="1:12" x14ac:dyDescent="0.3">
      <c r="A63" s="18"/>
      <c r="B63" s="19"/>
      <c r="C63" s="13" t="str">
        <f>IF(Tableau134567[[#This Row],[Repère]]="","",VLOOKUP(Tableau134567[[#This Row],[Repère]],Tableau1[#All],3,FALSE))</f>
        <v/>
      </c>
      <c r="D63" s="13" t="str">
        <f>IF(Tableau134567[[#This Row],[Repère]]="","",VLOOKUP(Tableau134567[[#This Row],[Repère]],Tableau1[#All],4,FALSE))</f>
        <v/>
      </c>
      <c r="E63" s="13" t="str">
        <f>IF(Tableau134567[[#This Row],[Repère]]="","",VLOOKUP(Tableau134567[[#This Row],[Repère]],Tableau1[#All],5,FALSE))</f>
        <v/>
      </c>
      <c r="F63" s="13" t="str">
        <f>IF(Tableau134567[[#This Row],[Repère]]="","",VLOOKUP(Tableau134567[[#This Row],[Repère]],Tableau1[#All],6,FALSE))</f>
        <v/>
      </c>
      <c r="G63" s="13" t="str">
        <f>IF(Tableau134567[[#This Row],[Repère]]="","",VLOOKUP(Tableau134567[[#This Row],[Repère]],Tableau1[#All],7,FALSE))</f>
        <v/>
      </c>
      <c r="H63" s="13" t="str">
        <f>IF(Tableau134567[[#This Row],[Repère]]="","",VLOOKUP(Tableau134567[[#This Row],[Repère]],Tableau1[#All],8,FALSE))</f>
        <v/>
      </c>
      <c r="I63" s="13" t="str">
        <f>IF(Tableau134567[[#This Row],[Repère]]="","",VLOOKUP(Tableau134567[[#This Row],[Repère]],Tableau1[#All],9,FALSE))</f>
        <v/>
      </c>
      <c r="J63" s="13" t="str">
        <f>IF(Tableau134567[[#This Row],[Repère]]="","",VLOOKUP(Tableau134567[[#This Row],[Repère]],Tableau1[#All],10,FALSE))</f>
        <v/>
      </c>
      <c r="K63" s="13" t="str">
        <f>IF(Tableau134567[[#This Row],[Repère]]="","",VLOOKUP(Tableau134567[[#This Row],[Repère]],Tableau1[#All],11,FALSE))</f>
        <v/>
      </c>
      <c r="L63" s="14" t="str">
        <f>IF(Tableau134567[[#This Row],[Repère]]="","",VLOOKUP(Tableau134567[[#This Row],[Repère]],Tableau1[#All],12,FALSE))</f>
        <v/>
      </c>
    </row>
    <row r="64" spans="1:12" x14ac:dyDescent="0.3">
      <c r="A64" s="18"/>
      <c r="B64" s="19"/>
      <c r="C64" s="13" t="str">
        <f>IF(Tableau134567[[#This Row],[Repère]]="","",VLOOKUP(Tableau134567[[#This Row],[Repère]],Tableau1[#All],3,FALSE))</f>
        <v/>
      </c>
      <c r="D64" s="13" t="str">
        <f>IF(Tableau134567[[#This Row],[Repère]]="","",VLOOKUP(Tableau134567[[#This Row],[Repère]],Tableau1[#All],4,FALSE))</f>
        <v/>
      </c>
      <c r="E64" s="13" t="str">
        <f>IF(Tableau134567[[#This Row],[Repère]]="","",VLOOKUP(Tableau134567[[#This Row],[Repère]],Tableau1[#All],5,FALSE))</f>
        <v/>
      </c>
      <c r="F64" s="13" t="str">
        <f>IF(Tableau134567[[#This Row],[Repère]]="","",VLOOKUP(Tableau134567[[#This Row],[Repère]],Tableau1[#All],6,FALSE))</f>
        <v/>
      </c>
      <c r="G64" s="13" t="str">
        <f>IF(Tableau134567[[#This Row],[Repère]]="","",VLOOKUP(Tableau134567[[#This Row],[Repère]],Tableau1[#All],7,FALSE))</f>
        <v/>
      </c>
      <c r="H64" s="13" t="str">
        <f>IF(Tableau134567[[#This Row],[Repère]]="","",VLOOKUP(Tableau134567[[#This Row],[Repère]],Tableau1[#All],8,FALSE))</f>
        <v/>
      </c>
      <c r="I64" s="13" t="str">
        <f>IF(Tableau134567[[#This Row],[Repère]]="","",VLOOKUP(Tableau134567[[#This Row],[Repère]],Tableau1[#All],9,FALSE))</f>
        <v/>
      </c>
      <c r="J64" s="13" t="str">
        <f>IF(Tableau134567[[#This Row],[Repère]]="","",VLOOKUP(Tableau134567[[#This Row],[Repère]],Tableau1[#All],10,FALSE))</f>
        <v/>
      </c>
      <c r="K64" s="13" t="str">
        <f>IF(Tableau134567[[#This Row],[Repère]]="","",VLOOKUP(Tableau134567[[#This Row],[Repère]],Tableau1[#All],11,FALSE))</f>
        <v/>
      </c>
      <c r="L64" s="14" t="str">
        <f>IF(Tableau134567[[#This Row],[Repère]]="","",VLOOKUP(Tableau134567[[#This Row],[Repère]],Tableau1[#All],12,FALSE))</f>
        <v/>
      </c>
    </row>
    <row r="65" spans="1:12" x14ac:dyDescent="0.3">
      <c r="A65" s="18"/>
      <c r="B65" s="19"/>
      <c r="C65" s="13" t="str">
        <f>IF(Tableau134567[[#This Row],[Repère]]="","",VLOOKUP(Tableau134567[[#This Row],[Repère]],Tableau1[#All],3,FALSE))</f>
        <v/>
      </c>
      <c r="D65" s="13" t="str">
        <f>IF(Tableau134567[[#This Row],[Repère]]="","",VLOOKUP(Tableau134567[[#This Row],[Repère]],Tableau1[#All],4,FALSE))</f>
        <v/>
      </c>
      <c r="E65" s="13" t="str">
        <f>IF(Tableau134567[[#This Row],[Repère]]="","",VLOOKUP(Tableau134567[[#This Row],[Repère]],Tableau1[#All],5,FALSE))</f>
        <v/>
      </c>
      <c r="F65" s="13" t="str">
        <f>IF(Tableau134567[[#This Row],[Repère]]="","",VLOOKUP(Tableau134567[[#This Row],[Repère]],Tableau1[#All],6,FALSE))</f>
        <v/>
      </c>
      <c r="G65" s="13" t="str">
        <f>IF(Tableau134567[[#This Row],[Repère]]="","",VLOOKUP(Tableau134567[[#This Row],[Repère]],Tableau1[#All],7,FALSE))</f>
        <v/>
      </c>
      <c r="H65" s="13" t="str">
        <f>IF(Tableau134567[[#This Row],[Repère]]="","",VLOOKUP(Tableau134567[[#This Row],[Repère]],Tableau1[#All],8,FALSE))</f>
        <v/>
      </c>
      <c r="I65" s="13" t="str">
        <f>IF(Tableau134567[[#This Row],[Repère]]="","",VLOOKUP(Tableau134567[[#This Row],[Repère]],Tableau1[#All],9,FALSE))</f>
        <v/>
      </c>
      <c r="J65" s="13" t="str">
        <f>IF(Tableau134567[[#This Row],[Repère]]="","",VLOOKUP(Tableau134567[[#This Row],[Repère]],Tableau1[#All],10,FALSE))</f>
        <v/>
      </c>
      <c r="K65" s="13" t="str">
        <f>IF(Tableau134567[[#This Row],[Repère]]="","",VLOOKUP(Tableau134567[[#This Row],[Repère]],Tableau1[#All],11,FALSE))</f>
        <v/>
      </c>
      <c r="L65" s="14" t="str">
        <f>IF(Tableau134567[[#This Row],[Repère]]="","",VLOOKUP(Tableau134567[[#This Row],[Repère]],Tableau1[#All],12,FALSE))</f>
        <v/>
      </c>
    </row>
    <row r="66" spans="1:12" x14ac:dyDescent="0.3">
      <c r="A66" s="18"/>
      <c r="B66" s="19"/>
      <c r="C66" s="13" t="str">
        <f>IF(Tableau134567[[#This Row],[Repère]]="","",VLOOKUP(Tableau134567[[#This Row],[Repère]],Tableau1[#All],3,FALSE))</f>
        <v/>
      </c>
      <c r="D66" s="13" t="str">
        <f>IF(Tableau134567[[#This Row],[Repère]]="","",VLOOKUP(Tableau134567[[#This Row],[Repère]],Tableau1[#All],4,FALSE))</f>
        <v/>
      </c>
      <c r="E66" s="13" t="str">
        <f>IF(Tableau134567[[#This Row],[Repère]]="","",VLOOKUP(Tableau134567[[#This Row],[Repère]],Tableau1[#All],5,FALSE))</f>
        <v/>
      </c>
      <c r="F66" s="13" t="str">
        <f>IF(Tableau134567[[#This Row],[Repère]]="","",VLOOKUP(Tableau134567[[#This Row],[Repère]],Tableau1[#All],6,FALSE))</f>
        <v/>
      </c>
      <c r="G66" s="13" t="str">
        <f>IF(Tableau134567[[#This Row],[Repère]]="","",VLOOKUP(Tableau134567[[#This Row],[Repère]],Tableau1[#All],7,FALSE))</f>
        <v/>
      </c>
      <c r="H66" s="13" t="str">
        <f>IF(Tableau134567[[#This Row],[Repère]]="","",VLOOKUP(Tableau134567[[#This Row],[Repère]],Tableau1[#All],8,FALSE))</f>
        <v/>
      </c>
      <c r="I66" s="13" t="str">
        <f>IF(Tableau134567[[#This Row],[Repère]]="","",VLOOKUP(Tableau134567[[#This Row],[Repère]],Tableau1[#All],9,FALSE))</f>
        <v/>
      </c>
      <c r="J66" s="13" t="str">
        <f>IF(Tableau134567[[#This Row],[Repère]]="","",VLOOKUP(Tableau134567[[#This Row],[Repère]],Tableau1[#All],10,FALSE))</f>
        <v/>
      </c>
      <c r="K66" s="13" t="str">
        <f>IF(Tableau134567[[#This Row],[Repère]]="","",VLOOKUP(Tableau134567[[#This Row],[Repère]],Tableau1[#All],11,FALSE))</f>
        <v/>
      </c>
      <c r="L66" s="14" t="str">
        <f>IF(Tableau134567[[#This Row],[Repère]]="","",VLOOKUP(Tableau134567[[#This Row],[Repère]],Tableau1[#All],12,FALSE))</f>
        <v/>
      </c>
    </row>
    <row r="67" spans="1:12" x14ac:dyDescent="0.3">
      <c r="A67" s="18"/>
      <c r="B67" s="19"/>
      <c r="C67" s="13" t="str">
        <f>IF(Tableau134567[[#This Row],[Repère]]="","",VLOOKUP(Tableau134567[[#This Row],[Repère]],Tableau1[#All],3,FALSE))</f>
        <v/>
      </c>
      <c r="D67" s="13" t="str">
        <f>IF(Tableau134567[[#This Row],[Repère]]="","",VLOOKUP(Tableau134567[[#This Row],[Repère]],Tableau1[#All],4,FALSE))</f>
        <v/>
      </c>
      <c r="E67" s="13" t="str">
        <f>IF(Tableau134567[[#This Row],[Repère]]="","",VLOOKUP(Tableau134567[[#This Row],[Repère]],Tableau1[#All],5,FALSE))</f>
        <v/>
      </c>
      <c r="F67" s="13" t="str">
        <f>IF(Tableau134567[[#This Row],[Repère]]="","",VLOOKUP(Tableau134567[[#This Row],[Repère]],Tableau1[#All],6,FALSE))</f>
        <v/>
      </c>
      <c r="G67" s="13" t="str">
        <f>IF(Tableau134567[[#This Row],[Repère]]="","",VLOOKUP(Tableau134567[[#This Row],[Repère]],Tableau1[#All],7,FALSE))</f>
        <v/>
      </c>
      <c r="H67" s="13" t="str">
        <f>IF(Tableau134567[[#This Row],[Repère]]="","",VLOOKUP(Tableau134567[[#This Row],[Repère]],Tableau1[#All],8,FALSE))</f>
        <v/>
      </c>
      <c r="I67" s="13" t="str">
        <f>IF(Tableau134567[[#This Row],[Repère]]="","",VLOOKUP(Tableau134567[[#This Row],[Repère]],Tableau1[#All],9,FALSE))</f>
        <v/>
      </c>
      <c r="J67" s="13" t="str">
        <f>IF(Tableau134567[[#This Row],[Repère]]="","",VLOOKUP(Tableau134567[[#This Row],[Repère]],Tableau1[#All],10,FALSE))</f>
        <v/>
      </c>
      <c r="K67" s="13" t="str">
        <f>IF(Tableau134567[[#This Row],[Repère]]="","",VLOOKUP(Tableau134567[[#This Row],[Repère]],Tableau1[#All],11,FALSE))</f>
        <v/>
      </c>
      <c r="L67" s="14" t="str">
        <f>IF(Tableau134567[[#This Row],[Repère]]="","",VLOOKUP(Tableau134567[[#This Row],[Repère]],Tableau1[#All],12,FALSE))</f>
        <v/>
      </c>
    </row>
    <row r="68" spans="1:12" x14ac:dyDescent="0.3">
      <c r="A68" s="18"/>
      <c r="B68" s="19"/>
      <c r="C68" s="13" t="str">
        <f>IF(Tableau134567[[#This Row],[Repère]]="","",VLOOKUP(Tableau134567[[#This Row],[Repère]],Tableau1[#All],3,FALSE))</f>
        <v/>
      </c>
      <c r="D68" s="13" t="str">
        <f>IF(Tableau134567[[#This Row],[Repère]]="","",VLOOKUP(Tableau134567[[#This Row],[Repère]],Tableau1[#All],4,FALSE))</f>
        <v/>
      </c>
      <c r="E68" s="13" t="str">
        <f>IF(Tableau134567[[#This Row],[Repère]]="","",VLOOKUP(Tableau134567[[#This Row],[Repère]],Tableau1[#All],5,FALSE))</f>
        <v/>
      </c>
      <c r="F68" s="13" t="str">
        <f>IF(Tableau134567[[#This Row],[Repère]]="","",VLOOKUP(Tableau134567[[#This Row],[Repère]],Tableau1[#All],6,FALSE))</f>
        <v/>
      </c>
      <c r="G68" s="13" t="str">
        <f>IF(Tableau134567[[#This Row],[Repère]]="","",VLOOKUP(Tableau134567[[#This Row],[Repère]],Tableau1[#All],7,FALSE))</f>
        <v/>
      </c>
      <c r="H68" s="13" t="str">
        <f>IF(Tableau134567[[#This Row],[Repère]]="","",VLOOKUP(Tableau134567[[#This Row],[Repère]],Tableau1[#All],8,FALSE))</f>
        <v/>
      </c>
      <c r="I68" s="13" t="str">
        <f>IF(Tableau134567[[#This Row],[Repère]]="","",VLOOKUP(Tableau134567[[#This Row],[Repère]],Tableau1[#All],9,FALSE))</f>
        <v/>
      </c>
      <c r="J68" s="13" t="str">
        <f>IF(Tableau134567[[#This Row],[Repère]]="","",VLOOKUP(Tableau134567[[#This Row],[Repère]],Tableau1[#All],10,FALSE))</f>
        <v/>
      </c>
      <c r="K68" s="13" t="str">
        <f>IF(Tableau134567[[#This Row],[Repère]]="","",VLOOKUP(Tableau134567[[#This Row],[Repère]],Tableau1[#All],11,FALSE))</f>
        <v/>
      </c>
      <c r="L68" s="14" t="str">
        <f>IF(Tableau134567[[#This Row],[Repère]]="","",VLOOKUP(Tableau134567[[#This Row],[Repère]],Tableau1[#All],12,FALSE))</f>
        <v/>
      </c>
    </row>
    <row r="69" spans="1:12" x14ac:dyDescent="0.3">
      <c r="A69" s="18"/>
      <c r="B69" s="19"/>
      <c r="C69" s="13" t="str">
        <f>IF(Tableau134567[[#This Row],[Repère]]="","",VLOOKUP(Tableau134567[[#This Row],[Repère]],Tableau1[#All],3,FALSE))</f>
        <v/>
      </c>
      <c r="D69" s="13" t="str">
        <f>IF(Tableau134567[[#This Row],[Repère]]="","",VLOOKUP(Tableau134567[[#This Row],[Repère]],Tableau1[#All],4,FALSE))</f>
        <v/>
      </c>
      <c r="E69" s="13" t="str">
        <f>IF(Tableau134567[[#This Row],[Repère]]="","",VLOOKUP(Tableau134567[[#This Row],[Repère]],Tableau1[#All],5,FALSE))</f>
        <v/>
      </c>
      <c r="F69" s="13" t="str">
        <f>IF(Tableau134567[[#This Row],[Repère]]="","",VLOOKUP(Tableau134567[[#This Row],[Repère]],Tableau1[#All],6,FALSE))</f>
        <v/>
      </c>
      <c r="G69" s="13" t="str">
        <f>IF(Tableau134567[[#This Row],[Repère]]="","",VLOOKUP(Tableau134567[[#This Row],[Repère]],Tableau1[#All],7,FALSE))</f>
        <v/>
      </c>
      <c r="H69" s="13" t="str">
        <f>IF(Tableau134567[[#This Row],[Repère]]="","",VLOOKUP(Tableau134567[[#This Row],[Repère]],Tableau1[#All],8,FALSE))</f>
        <v/>
      </c>
      <c r="I69" s="13" t="str">
        <f>IF(Tableau134567[[#This Row],[Repère]]="","",VLOOKUP(Tableau134567[[#This Row],[Repère]],Tableau1[#All],9,FALSE))</f>
        <v/>
      </c>
      <c r="J69" s="13" t="str">
        <f>IF(Tableau134567[[#This Row],[Repère]]="","",VLOOKUP(Tableau134567[[#This Row],[Repère]],Tableau1[#All],10,FALSE))</f>
        <v/>
      </c>
      <c r="K69" s="13" t="str">
        <f>IF(Tableau134567[[#This Row],[Repère]]="","",VLOOKUP(Tableau134567[[#This Row],[Repère]],Tableau1[#All],11,FALSE))</f>
        <v/>
      </c>
      <c r="L69" s="14" t="str">
        <f>IF(Tableau134567[[#This Row],[Repère]]="","",VLOOKUP(Tableau134567[[#This Row],[Repère]],Tableau1[#All],12,FALSE))</f>
        <v/>
      </c>
    </row>
    <row r="70" spans="1:12" x14ac:dyDescent="0.3">
      <c r="A70" s="18"/>
      <c r="B70" s="19"/>
      <c r="C70" s="13" t="str">
        <f>IF(Tableau134567[[#This Row],[Repère]]="","",VLOOKUP(Tableau134567[[#This Row],[Repère]],Tableau1[#All],3,FALSE))</f>
        <v/>
      </c>
      <c r="D70" s="13" t="str">
        <f>IF(Tableau134567[[#This Row],[Repère]]="","",VLOOKUP(Tableau134567[[#This Row],[Repère]],Tableau1[#All],4,FALSE))</f>
        <v/>
      </c>
      <c r="E70" s="13" t="str">
        <f>IF(Tableau134567[[#This Row],[Repère]]="","",VLOOKUP(Tableau134567[[#This Row],[Repère]],Tableau1[#All],5,FALSE))</f>
        <v/>
      </c>
      <c r="F70" s="13" t="str">
        <f>IF(Tableau134567[[#This Row],[Repère]]="","",VLOOKUP(Tableau134567[[#This Row],[Repère]],Tableau1[#All],6,FALSE))</f>
        <v/>
      </c>
      <c r="G70" s="13" t="str">
        <f>IF(Tableau134567[[#This Row],[Repère]]="","",VLOOKUP(Tableau134567[[#This Row],[Repère]],Tableau1[#All],7,FALSE))</f>
        <v/>
      </c>
      <c r="H70" s="13" t="str">
        <f>IF(Tableau134567[[#This Row],[Repère]]="","",VLOOKUP(Tableau134567[[#This Row],[Repère]],Tableau1[#All],8,FALSE))</f>
        <v/>
      </c>
      <c r="I70" s="13" t="str">
        <f>IF(Tableau134567[[#This Row],[Repère]]="","",VLOOKUP(Tableau134567[[#This Row],[Repère]],Tableau1[#All],9,FALSE))</f>
        <v/>
      </c>
      <c r="J70" s="13" t="str">
        <f>IF(Tableau134567[[#This Row],[Repère]]="","",VLOOKUP(Tableau134567[[#This Row],[Repère]],Tableau1[#All],10,FALSE))</f>
        <v/>
      </c>
      <c r="K70" s="13" t="str">
        <f>IF(Tableau134567[[#This Row],[Repère]]="","",VLOOKUP(Tableau134567[[#This Row],[Repère]],Tableau1[#All],11,FALSE))</f>
        <v/>
      </c>
      <c r="L70" s="14" t="str">
        <f>IF(Tableau134567[[#This Row],[Repère]]="","",VLOOKUP(Tableau134567[[#This Row],[Repère]],Tableau1[#All],12,FALSE))</f>
        <v/>
      </c>
    </row>
    <row r="71" spans="1:12" x14ac:dyDescent="0.3">
      <c r="A71" s="18"/>
      <c r="B71" s="19"/>
      <c r="C71" s="13" t="str">
        <f>IF(Tableau134567[[#This Row],[Repère]]="","",VLOOKUP(Tableau134567[[#This Row],[Repère]],Tableau1[#All],3,FALSE))</f>
        <v/>
      </c>
      <c r="D71" s="13" t="str">
        <f>IF(Tableau134567[[#This Row],[Repère]]="","",VLOOKUP(Tableau134567[[#This Row],[Repère]],Tableau1[#All],4,FALSE))</f>
        <v/>
      </c>
      <c r="E71" s="13" t="str">
        <f>IF(Tableau134567[[#This Row],[Repère]]="","",VLOOKUP(Tableau134567[[#This Row],[Repère]],Tableau1[#All],5,FALSE))</f>
        <v/>
      </c>
      <c r="F71" s="13" t="str">
        <f>IF(Tableau134567[[#This Row],[Repère]]="","",VLOOKUP(Tableau134567[[#This Row],[Repère]],Tableau1[#All],6,FALSE))</f>
        <v/>
      </c>
      <c r="G71" s="13" t="str">
        <f>IF(Tableau134567[[#This Row],[Repère]]="","",VLOOKUP(Tableau134567[[#This Row],[Repère]],Tableau1[#All],7,FALSE))</f>
        <v/>
      </c>
      <c r="H71" s="13" t="str">
        <f>IF(Tableau134567[[#This Row],[Repère]]="","",VLOOKUP(Tableau134567[[#This Row],[Repère]],Tableau1[#All],8,FALSE))</f>
        <v/>
      </c>
      <c r="I71" s="13" t="str">
        <f>IF(Tableau134567[[#This Row],[Repère]]="","",VLOOKUP(Tableau134567[[#This Row],[Repère]],Tableau1[#All],9,FALSE))</f>
        <v/>
      </c>
      <c r="J71" s="13" t="str">
        <f>IF(Tableau134567[[#This Row],[Repère]]="","",VLOOKUP(Tableau134567[[#This Row],[Repère]],Tableau1[#All],10,FALSE))</f>
        <v/>
      </c>
      <c r="K71" s="13" t="str">
        <f>IF(Tableau134567[[#This Row],[Repère]]="","",VLOOKUP(Tableau134567[[#This Row],[Repère]],Tableau1[#All],11,FALSE))</f>
        <v/>
      </c>
      <c r="L71" s="14" t="str">
        <f>IF(Tableau134567[[#This Row],[Repère]]="","",VLOOKUP(Tableau134567[[#This Row],[Repère]],Tableau1[#All],12,FALSE))</f>
        <v/>
      </c>
    </row>
    <row r="72" spans="1:12" x14ac:dyDescent="0.3">
      <c r="A72" s="18"/>
      <c r="B72" s="19"/>
      <c r="C72" s="13" t="str">
        <f>IF(Tableau134567[[#This Row],[Repère]]="","",VLOOKUP(Tableau134567[[#This Row],[Repère]],Tableau1[#All],3,FALSE))</f>
        <v/>
      </c>
      <c r="D72" s="13" t="str">
        <f>IF(Tableau134567[[#This Row],[Repère]]="","",VLOOKUP(Tableau134567[[#This Row],[Repère]],Tableau1[#All],4,FALSE))</f>
        <v/>
      </c>
      <c r="E72" s="13" t="str">
        <f>IF(Tableau134567[[#This Row],[Repère]]="","",VLOOKUP(Tableau134567[[#This Row],[Repère]],Tableau1[#All],5,FALSE))</f>
        <v/>
      </c>
      <c r="F72" s="13" t="str">
        <f>IF(Tableau134567[[#This Row],[Repère]]="","",VLOOKUP(Tableau134567[[#This Row],[Repère]],Tableau1[#All],6,FALSE))</f>
        <v/>
      </c>
      <c r="G72" s="13" t="str">
        <f>IF(Tableau134567[[#This Row],[Repère]]="","",VLOOKUP(Tableau134567[[#This Row],[Repère]],Tableau1[#All],7,FALSE))</f>
        <v/>
      </c>
      <c r="H72" s="13" t="str">
        <f>IF(Tableau134567[[#This Row],[Repère]]="","",VLOOKUP(Tableau134567[[#This Row],[Repère]],Tableau1[#All],8,FALSE))</f>
        <v/>
      </c>
      <c r="I72" s="13" t="str">
        <f>IF(Tableau134567[[#This Row],[Repère]]="","",VLOOKUP(Tableau134567[[#This Row],[Repère]],Tableau1[#All],9,FALSE))</f>
        <v/>
      </c>
      <c r="J72" s="13" t="str">
        <f>IF(Tableau134567[[#This Row],[Repère]]="","",VLOOKUP(Tableau134567[[#This Row],[Repère]],Tableau1[#All],10,FALSE))</f>
        <v/>
      </c>
      <c r="K72" s="13" t="str">
        <f>IF(Tableau134567[[#This Row],[Repère]]="","",VLOOKUP(Tableau134567[[#This Row],[Repère]],Tableau1[#All],11,FALSE))</f>
        <v/>
      </c>
      <c r="L72" s="14" t="str">
        <f>IF(Tableau134567[[#This Row],[Repère]]="","",VLOOKUP(Tableau134567[[#This Row],[Repère]],Tableau1[#All],12,FALSE))</f>
        <v/>
      </c>
    </row>
    <row r="73" spans="1:12" x14ac:dyDescent="0.3">
      <c r="A73" s="18"/>
      <c r="B73" s="19"/>
      <c r="C73" s="13" t="str">
        <f>IF(Tableau134567[[#This Row],[Repère]]="","",VLOOKUP(Tableau134567[[#This Row],[Repère]],Tableau1[#All],3,FALSE))</f>
        <v/>
      </c>
      <c r="D73" s="13" t="str">
        <f>IF(Tableau134567[[#This Row],[Repère]]="","",VLOOKUP(Tableau134567[[#This Row],[Repère]],Tableau1[#All],4,FALSE))</f>
        <v/>
      </c>
      <c r="E73" s="13" t="str">
        <f>IF(Tableau134567[[#This Row],[Repère]]="","",VLOOKUP(Tableau134567[[#This Row],[Repère]],Tableau1[#All],5,FALSE))</f>
        <v/>
      </c>
      <c r="F73" s="13" t="str">
        <f>IF(Tableau134567[[#This Row],[Repère]]="","",VLOOKUP(Tableau134567[[#This Row],[Repère]],Tableau1[#All],6,FALSE))</f>
        <v/>
      </c>
      <c r="G73" s="13" t="str">
        <f>IF(Tableau134567[[#This Row],[Repère]]="","",VLOOKUP(Tableau134567[[#This Row],[Repère]],Tableau1[#All],7,FALSE))</f>
        <v/>
      </c>
      <c r="H73" s="13" t="str">
        <f>IF(Tableau134567[[#This Row],[Repère]]="","",VLOOKUP(Tableau134567[[#This Row],[Repère]],Tableau1[#All],8,FALSE))</f>
        <v/>
      </c>
      <c r="I73" s="13" t="str">
        <f>IF(Tableau134567[[#This Row],[Repère]]="","",VLOOKUP(Tableau134567[[#This Row],[Repère]],Tableau1[#All],9,FALSE))</f>
        <v/>
      </c>
      <c r="J73" s="13" t="str">
        <f>IF(Tableau134567[[#This Row],[Repère]]="","",VLOOKUP(Tableau134567[[#This Row],[Repère]],Tableau1[#All],10,FALSE))</f>
        <v/>
      </c>
      <c r="K73" s="13" t="str">
        <f>IF(Tableau134567[[#This Row],[Repère]]="","",VLOOKUP(Tableau134567[[#This Row],[Repère]],Tableau1[#All],11,FALSE))</f>
        <v/>
      </c>
      <c r="L73" s="14" t="str">
        <f>IF(Tableau134567[[#This Row],[Repère]]="","",VLOOKUP(Tableau134567[[#This Row],[Repère]],Tableau1[#All],12,FALSE))</f>
        <v/>
      </c>
    </row>
    <row r="74" spans="1:12" x14ac:dyDescent="0.3">
      <c r="A74" s="18"/>
      <c r="B74" s="19"/>
      <c r="C74" s="13" t="str">
        <f>IF(Tableau134567[[#This Row],[Repère]]="","",VLOOKUP(Tableau134567[[#This Row],[Repère]],Tableau1[#All],3,FALSE))</f>
        <v/>
      </c>
      <c r="D74" s="13" t="str">
        <f>IF(Tableau134567[[#This Row],[Repère]]="","",VLOOKUP(Tableau134567[[#This Row],[Repère]],Tableau1[#All],4,FALSE))</f>
        <v/>
      </c>
      <c r="E74" s="13" t="str">
        <f>IF(Tableau134567[[#This Row],[Repère]]="","",VLOOKUP(Tableau134567[[#This Row],[Repère]],Tableau1[#All],5,FALSE))</f>
        <v/>
      </c>
      <c r="F74" s="13" t="str">
        <f>IF(Tableau134567[[#This Row],[Repère]]="","",VLOOKUP(Tableau134567[[#This Row],[Repère]],Tableau1[#All],6,FALSE))</f>
        <v/>
      </c>
      <c r="G74" s="13" t="str">
        <f>IF(Tableau134567[[#This Row],[Repère]]="","",VLOOKUP(Tableau134567[[#This Row],[Repère]],Tableau1[#All],7,FALSE))</f>
        <v/>
      </c>
      <c r="H74" s="13" t="str">
        <f>IF(Tableau134567[[#This Row],[Repère]]="","",VLOOKUP(Tableau134567[[#This Row],[Repère]],Tableau1[#All],8,FALSE))</f>
        <v/>
      </c>
      <c r="I74" s="13" t="str">
        <f>IF(Tableau134567[[#This Row],[Repère]]="","",VLOOKUP(Tableau134567[[#This Row],[Repère]],Tableau1[#All],9,FALSE))</f>
        <v/>
      </c>
      <c r="J74" s="13" t="str">
        <f>IF(Tableau134567[[#This Row],[Repère]]="","",VLOOKUP(Tableau134567[[#This Row],[Repère]],Tableau1[#All],10,FALSE))</f>
        <v/>
      </c>
      <c r="K74" s="13" t="str">
        <f>IF(Tableau134567[[#This Row],[Repère]]="","",VLOOKUP(Tableau134567[[#This Row],[Repère]],Tableau1[#All],11,FALSE))</f>
        <v/>
      </c>
      <c r="L74" s="14" t="str">
        <f>IF(Tableau134567[[#This Row],[Repère]]="","",VLOOKUP(Tableau134567[[#This Row],[Repère]],Tableau1[#All],12,FALSE))</f>
        <v/>
      </c>
    </row>
    <row r="75" spans="1:12" x14ac:dyDescent="0.3">
      <c r="A75" s="18"/>
      <c r="B75" s="19"/>
      <c r="C75" s="13" t="str">
        <f>IF(Tableau134567[[#This Row],[Repère]]="","",VLOOKUP(Tableau134567[[#This Row],[Repère]],Tableau1[#All],3,FALSE))</f>
        <v/>
      </c>
      <c r="D75" s="13" t="str">
        <f>IF(Tableau134567[[#This Row],[Repère]]="","",VLOOKUP(Tableau134567[[#This Row],[Repère]],Tableau1[#All],4,FALSE))</f>
        <v/>
      </c>
      <c r="E75" s="13" t="str">
        <f>IF(Tableau134567[[#This Row],[Repère]]="","",VLOOKUP(Tableau134567[[#This Row],[Repère]],Tableau1[#All],5,FALSE))</f>
        <v/>
      </c>
      <c r="F75" s="13" t="str">
        <f>IF(Tableau134567[[#This Row],[Repère]]="","",VLOOKUP(Tableau134567[[#This Row],[Repère]],Tableau1[#All],6,FALSE))</f>
        <v/>
      </c>
      <c r="G75" s="13" t="str">
        <f>IF(Tableau134567[[#This Row],[Repère]]="","",VLOOKUP(Tableau134567[[#This Row],[Repère]],Tableau1[#All],7,FALSE))</f>
        <v/>
      </c>
      <c r="H75" s="13" t="str">
        <f>IF(Tableau134567[[#This Row],[Repère]]="","",VLOOKUP(Tableau134567[[#This Row],[Repère]],Tableau1[#All],8,FALSE))</f>
        <v/>
      </c>
      <c r="I75" s="13" t="str">
        <f>IF(Tableau134567[[#This Row],[Repère]]="","",VLOOKUP(Tableau134567[[#This Row],[Repère]],Tableau1[#All],9,FALSE))</f>
        <v/>
      </c>
      <c r="J75" s="13" t="str">
        <f>IF(Tableau134567[[#This Row],[Repère]]="","",VLOOKUP(Tableau134567[[#This Row],[Repère]],Tableau1[#All],10,FALSE))</f>
        <v/>
      </c>
      <c r="K75" s="13" t="str">
        <f>IF(Tableau134567[[#This Row],[Repère]]="","",VLOOKUP(Tableau134567[[#This Row],[Repère]],Tableau1[#All],11,FALSE))</f>
        <v/>
      </c>
      <c r="L75" s="14" t="str">
        <f>IF(Tableau134567[[#This Row],[Repère]]="","",VLOOKUP(Tableau134567[[#This Row],[Repère]],Tableau1[#All],12,FALSE))</f>
        <v/>
      </c>
    </row>
    <row r="76" spans="1:12" x14ac:dyDescent="0.3">
      <c r="A76" s="18"/>
      <c r="B76" s="19"/>
      <c r="C76" s="13" t="str">
        <f>IF(Tableau134567[[#This Row],[Repère]]="","",VLOOKUP(Tableau134567[[#This Row],[Repère]],Tableau1[#All],3,FALSE))</f>
        <v/>
      </c>
      <c r="D76" s="13" t="str">
        <f>IF(Tableau134567[[#This Row],[Repère]]="","",VLOOKUP(Tableau134567[[#This Row],[Repère]],Tableau1[#All],4,FALSE))</f>
        <v/>
      </c>
      <c r="E76" s="13" t="str">
        <f>IF(Tableau134567[[#This Row],[Repère]]="","",VLOOKUP(Tableau134567[[#This Row],[Repère]],Tableau1[#All],5,FALSE))</f>
        <v/>
      </c>
      <c r="F76" s="13" t="str">
        <f>IF(Tableau134567[[#This Row],[Repère]]="","",VLOOKUP(Tableau134567[[#This Row],[Repère]],Tableau1[#All],6,FALSE))</f>
        <v/>
      </c>
      <c r="G76" s="13" t="str">
        <f>IF(Tableau134567[[#This Row],[Repère]]="","",VLOOKUP(Tableau134567[[#This Row],[Repère]],Tableau1[#All],7,FALSE))</f>
        <v/>
      </c>
      <c r="H76" s="13" t="str">
        <f>IF(Tableau134567[[#This Row],[Repère]]="","",VLOOKUP(Tableau134567[[#This Row],[Repère]],Tableau1[#All],8,FALSE))</f>
        <v/>
      </c>
      <c r="I76" s="13" t="str">
        <f>IF(Tableau134567[[#This Row],[Repère]]="","",VLOOKUP(Tableau134567[[#This Row],[Repère]],Tableau1[#All],9,FALSE))</f>
        <v/>
      </c>
      <c r="J76" s="13" t="str">
        <f>IF(Tableau134567[[#This Row],[Repère]]="","",VLOOKUP(Tableau134567[[#This Row],[Repère]],Tableau1[#All],10,FALSE))</f>
        <v/>
      </c>
      <c r="K76" s="13" t="str">
        <f>IF(Tableau134567[[#This Row],[Repère]]="","",VLOOKUP(Tableau134567[[#This Row],[Repère]],Tableau1[#All],11,FALSE))</f>
        <v/>
      </c>
      <c r="L76" s="14" t="str">
        <f>IF(Tableau134567[[#This Row],[Repère]]="","",VLOOKUP(Tableau134567[[#This Row],[Repère]],Tableau1[#All],12,FALSE))</f>
        <v/>
      </c>
    </row>
    <row r="77" spans="1:12" x14ac:dyDescent="0.3">
      <c r="A77" s="18"/>
      <c r="B77" s="19"/>
      <c r="C77" s="13" t="str">
        <f>IF(Tableau134567[[#This Row],[Repère]]="","",VLOOKUP(Tableau134567[[#This Row],[Repère]],Tableau1[#All],3,FALSE))</f>
        <v/>
      </c>
      <c r="D77" s="13" t="str">
        <f>IF(Tableau134567[[#This Row],[Repère]]="","",VLOOKUP(Tableau134567[[#This Row],[Repère]],Tableau1[#All],4,FALSE))</f>
        <v/>
      </c>
      <c r="E77" s="13" t="str">
        <f>IF(Tableau134567[[#This Row],[Repère]]="","",VLOOKUP(Tableau134567[[#This Row],[Repère]],Tableau1[#All],5,FALSE))</f>
        <v/>
      </c>
      <c r="F77" s="13" t="str">
        <f>IF(Tableau134567[[#This Row],[Repère]]="","",VLOOKUP(Tableau134567[[#This Row],[Repère]],Tableau1[#All],6,FALSE))</f>
        <v/>
      </c>
      <c r="G77" s="13" t="str">
        <f>IF(Tableau134567[[#This Row],[Repère]]="","",VLOOKUP(Tableau134567[[#This Row],[Repère]],Tableau1[#All],7,FALSE))</f>
        <v/>
      </c>
      <c r="H77" s="13" t="str">
        <f>IF(Tableau134567[[#This Row],[Repère]]="","",VLOOKUP(Tableau134567[[#This Row],[Repère]],Tableau1[#All],8,FALSE))</f>
        <v/>
      </c>
      <c r="I77" s="13" t="str">
        <f>IF(Tableau134567[[#This Row],[Repère]]="","",VLOOKUP(Tableau134567[[#This Row],[Repère]],Tableau1[#All],9,FALSE))</f>
        <v/>
      </c>
      <c r="J77" s="13" t="str">
        <f>IF(Tableau134567[[#This Row],[Repère]]="","",VLOOKUP(Tableau134567[[#This Row],[Repère]],Tableau1[#All],10,FALSE))</f>
        <v/>
      </c>
      <c r="K77" s="13" t="str">
        <f>IF(Tableau134567[[#This Row],[Repère]]="","",VLOOKUP(Tableau134567[[#This Row],[Repère]],Tableau1[#All],11,FALSE))</f>
        <v/>
      </c>
      <c r="L77" s="14" t="str">
        <f>IF(Tableau134567[[#This Row],[Repère]]="","",VLOOKUP(Tableau134567[[#This Row],[Repère]],Tableau1[#All],12,FALSE))</f>
        <v/>
      </c>
    </row>
    <row r="78" spans="1:12" x14ac:dyDescent="0.3">
      <c r="A78" s="18"/>
      <c r="B78" s="19"/>
      <c r="C78" s="13" t="str">
        <f>IF(Tableau134567[[#This Row],[Repère]]="","",VLOOKUP(Tableau134567[[#This Row],[Repère]],Tableau1[#All],3,FALSE))</f>
        <v/>
      </c>
      <c r="D78" s="13" t="str">
        <f>IF(Tableau134567[[#This Row],[Repère]]="","",VLOOKUP(Tableau134567[[#This Row],[Repère]],Tableau1[#All],4,FALSE))</f>
        <v/>
      </c>
      <c r="E78" s="13" t="str">
        <f>IF(Tableau134567[[#This Row],[Repère]]="","",VLOOKUP(Tableau134567[[#This Row],[Repère]],Tableau1[#All],5,FALSE))</f>
        <v/>
      </c>
      <c r="F78" s="13" t="str">
        <f>IF(Tableau134567[[#This Row],[Repère]]="","",VLOOKUP(Tableau134567[[#This Row],[Repère]],Tableau1[#All],6,FALSE))</f>
        <v/>
      </c>
      <c r="G78" s="13" t="str">
        <f>IF(Tableau134567[[#This Row],[Repère]]="","",VLOOKUP(Tableau134567[[#This Row],[Repère]],Tableau1[#All],7,FALSE))</f>
        <v/>
      </c>
      <c r="H78" s="13" t="str">
        <f>IF(Tableau134567[[#This Row],[Repère]]="","",VLOOKUP(Tableau134567[[#This Row],[Repère]],Tableau1[#All],8,FALSE))</f>
        <v/>
      </c>
      <c r="I78" s="13" t="str">
        <f>IF(Tableau134567[[#This Row],[Repère]]="","",VLOOKUP(Tableau134567[[#This Row],[Repère]],Tableau1[#All],9,FALSE))</f>
        <v/>
      </c>
      <c r="J78" s="13" t="str">
        <f>IF(Tableau134567[[#This Row],[Repère]]="","",VLOOKUP(Tableau134567[[#This Row],[Repère]],Tableau1[#All],10,FALSE))</f>
        <v/>
      </c>
      <c r="K78" s="13" t="str">
        <f>IF(Tableau134567[[#This Row],[Repère]]="","",VLOOKUP(Tableau134567[[#This Row],[Repère]],Tableau1[#All],11,FALSE))</f>
        <v/>
      </c>
      <c r="L78" s="14" t="str">
        <f>IF(Tableau134567[[#This Row],[Repère]]="","",VLOOKUP(Tableau134567[[#This Row],[Repère]],Tableau1[#All],12,FALSE))</f>
        <v/>
      </c>
    </row>
    <row r="79" spans="1:12" x14ac:dyDescent="0.3">
      <c r="A79" s="18"/>
      <c r="B79" s="19"/>
      <c r="C79" s="13" t="str">
        <f>IF(Tableau134567[[#This Row],[Repère]]="","",VLOOKUP(Tableau134567[[#This Row],[Repère]],Tableau1[#All],3,FALSE))</f>
        <v/>
      </c>
      <c r="D79" s="13" t="str">
        <f>IF(Tableau134567[[#This Row],[Repère]]="","",VLOOKUP(Tableau134567[[#This Row],[Repère]],Tableau1[#All],4,FALSE))</f>
        <v/>
      </c>
      <c r="E79" s="13" t="str">
        <f>IF(Tableau134567[[#This Row],[Repère]]="","",VLOOKUP(Tableau134567[[#This Row],[Repère]],Tableau1[#All],5,FALSE))</f>
        <v/>
      </c>
      <c r="F79" s="13" t="str">
        <f>IF(Tableau134567[[#This Row],[Repère]]="","",VLOOKUP(Tableau134567[[#This Row],[Repère]],Tableau1[#All],6,FALSE))</f>
        <v/>
      </c>
      <c r="G79" s="13" t="str">
        <f>IF(Tableau134567[[#This Row],[Repère]]="","",VLOOKUP(Tableau134567[[#This Row],[Repère]],Tableau1[#All],7,FALSE))</f>
        <v/>
      </c>
      <c r="H79" s="13" t="str">
        <f>IF(Tableau134567[[#This Row],[Repère]]="","",VLOOKUP(Tableau134567[[#This Row],[Repère]],Tableau1[#All],8,FALSE))</f>
        <v/>
      </c>
      <c r="I79" s="13" t="str">
        <f>IF(Tableau134567[[#This Row],[Repère]]="","",VLOOKUP(Tableau134567[[#This Row],[Repère]],Tableau1[#All],9,FALSE))</f>
        <v/>
      </c>
      <c r="J79" s="13" t="str">
        <f>IF(Tableau134567[[#This Row],[Repère]]="","",VLOOKUP(Tableau134567[[#This Row],[Repère]],Tableau1[#All],10,FALSE))</f>
        <v/>
      </c>
      <c r="K79" s="13" t="str">
        <f>IF(Tableau134567[[#This Row],[Repère]]="","",VLOOKUP(Tableau134567[[#This Row],[Repère]],Tableau1[#All],11,FALSE))</f>
        <v/>
      </c>
      <c r="L79" s="14" t="str">
        <f>IF(Tableau134567[[#This Row],[Repère]]="","",VLOOKUP(Tableau134567[[#This Row],[Repère]],Tableau1[#All],12,FALSE))</f>
        <v/>
      </c>
    </row>
    <row r="80" spans="1:12" x14ac:dyDescent="0.3">
      <c r="A80" s="18"/>
      <c r="B80" s="19"/>
      <c r="C80" s="13" t="str">
        <f>IF(Tableau134567[[#This Row],[Repère]]="","",VLOOKUP(Tableau134567[[#This Row],[Repère]],Tableau1[#All],3,FALSE))</f>
        <v/>
      </c>
      <c r="D80" s="13" t="str">
        <f>IF(Tableau134567[[#This Row],[Repère]]="","",VLOOKUP(Tableau134567[[#This Row],[Repère]],Tableau1[#All],4,FALSE))</f>
        <v/>
      </c>
      <c r="E80" s="13" t="str">
        <f>IF(Tableau134567[[#This Row],[Repère]]="","",VLOOKUP(Tableau134567[[#This Row],[Repère]],Tableau1[#All],5,FALSE))</f>
        <v/>
      </c>
      <c r="F80" s="13" t="str">
        <f>IF(Tableau134567[[#This Row],[Repère]]="","",VLOOKUP(Tableau134567[[#This Row],[Repère]],Tableau1[#All],6,FALSE))</f>
        <v/>
      </c>
      <c r="G80" s="13" t="str">
        <f>IF(Tableau134567[[#This Row],[Repère]]="","",VLOOKUP(Tableau134567[[#This Row],[Repère]],Tableau1[#All],7,FALSE))</f>
        <v/>
      </c>
      <c r="H80" s="13" t="str">
        <f>IF(Tableau134567[[#This Row],[Repère]]="","",VLOOKUP(Tableau134567[[#This Row],[Repère]],Tableau1[#All],8,FALSE))</f>
        <v/>
      </c>
      <c r="I80" s="13" t="str">
        <f>IF(Tableau134567[[#This Row],[Repère]]="","",VLOOKUP(Tableau134567[[#This Row],[Repère]],Tableau1[#All],9,FALSE))</f>
        <v/>
      </c>
      <c r="J80" s="13" t="str">
        <f>IF(Tableau134567[[#This Row],[Repère]]="","",VLOOKUP(Tableau134567[[#This Row],[Repère]],Tableau1[#All],10,FALSE))</f>
        <v/>
      </c>
      <c r="K80" s="13" t="str">
        <f>IF(Tableau134567[[#This Row],[Repère]]="","",VLOOKUP(Tableau134567[[#This Row],[Repère]],Tableau1[#All],11,FALSE))</f>
        <v/>
      </c>
      <c r="L80" s="14" t="str">
        <f>IF(Tableau134567[[#This Row],[Repère]]="","",VLOOKUP(Tableau134567[[#This Row],[Repère]],Tableau1[#All],12,FALSE))</f>
        <v/>
      </c>
    </row>
    <row r="81" spans="1:12" x14ac:dyDescent="0.3">
      <c r="A81" s="18"/>
      <c r="B81" s="19"/>
      <c r="C81" s="13" t="str">
        <f>IF(Tableau134567[[#This Row],[Repère]]="","",VLOOKUP(Tableau134567[[#This Row],[Repère]],Tableau1[#All],3,FALSE))</f>
        <v/>
      </c>
      <c r="D81" s="13" t="str">
        <f>IF(Tableau134567[[#This Row],[Repère]]="","",VLOOKUP(Tableau134567[[#This Row],[Repère]],Tableau1[#All],4,FALSE))</f>
        <v/>
      </c>
      <c r="E81" s="13" t="str">
        <f>IF(Tableau134567[[#This Row],[Repère]]="","",VLOOKUP(Tableau134567[[#This Row],[Repère]],Tableau1[#All],5,FALSE))</f>
        <v/>
      </c>
      <c r="F81" s="13" t="str">
        <f>IF(Tableau134567[[#This Row],[Repère]]="","",VLOOKUP(Tableau134567[[#This Row],[Repère]],Tableau1[#All],6,FALSE))</f>
        <v/>
      </c>
      <c r="G81" s="13" t="str">
        <f>IF(Tableau134567[[#This Row],[Repère]]="","",VLOOKUP(Tableau134567[[#This Row],[Repère]],Tableau1[#All],7,FALSE))</f>
        <v/>
      </c>
      <c r="H81" s="13" t="str">
        <f>IF(Tableau134567[[#This Row],[Repère]]="","",VLOOKUP(Tableau134567[[#This Row],[Repère]],Tableau1[#All],8,FALSE))</f>
        <v/>
      </c>
      <c r="I81" s="13" t="str">
        <f>IF(Tableau134567[[#This Row],[Repère]]="","",VLOOKUP(Tableau134567[[#This Row],[Repère]],Tableau1[#All],9,FALSE))</f>
        <v/>
      </c>
      <c r="J81" s="13" t="str">
        <f>IF(Tableau134567[[#This Row],[Repère]]="","",VLOOKUP(Tableau134567[[#This Row],[Repère]],Tableau1[#All],10,FALSE))</f>
        <v/>
      </c>
      <c r="K81" s="13" t="str">
        <f>IF(Tableau134567[[#This Row],[Repère]]="","",VLOOKUP(Tableau134567[[#This Row],[Repère]],Tableau1[#All],11,FALSE))</f>
        <v/>
      </c>
      <c r="L81" s="14" t="str">
        <f>IF(Tableau134567[[#This Row],[Repère]]="","",VLOOKUP(Tableau134567[[#This Row],[Repère]],Tableau1[#All],12,FALSE))</f>
        <v/>
      </c>
    </row>
    <row r="82" spans="1:12" x14ac:dyDescent="0.3">
      <c r="A82" s="18"/>
      <c r="B82" s="19"/>
      <c r="C82" s="13" t="str">
        <f>IF(Tableau134567[[#This Row],[Repère]]="","",VLOOKUP(Tableau134567[[#This Row],[Repère]],Tableau1[#All],3,FALSE))</f>
        <v/>
      </c>
      <c r="D82" s="13" t="str">
        <f>IF(Tableau134567[[#This Row],[Repère]]="","",VLOOKUP(Tableau134567[[#This Row],[Repère]],Tableau1[#All],4,FALSE))</f>
        <v/>
      </c>
      <c r="E82" s="13" t="str">
        <f>IF(Tableau134567[[#This Row],[Repère]]="","",VLOOKUP(Tableau134567[[#This Row],[Repère]],Tableau1[#All],5,FALSE))</f>
        <v/>
      </c>
      <c r="F82" s="13" t="str">
        <f>IF(Tableau134567[[#This Row],[Repère]]="","",VLOOKUP(Tableau134567[[#This Row],[Repère]],Tableau1[#All],6,FALSE))</f>
        <v/>
      </c>
      <c r="G82" s="13" t="str">
        <f>IF(Tableau134567[[#This Row],[Repère]]="","",VLOOKUP(Tableau134567[[#This Row],[Repère]],Tableau1[#All],7,FALSE))</f>
        <v/>
      </c>
      <c r="H82" s="13" t="str">
        <f>IF(Tableau134567[[#This Row],[Repère]]="","",VLOOKUP(Tableau134567[[#This Row],[Repère]],Tableau1[#All],8,FALSE))</f>
        <v/>
      </c>
      <c r="I82" s="13" t="str">
        <f>IF(Tableau134567[[#This Row],[Repère]]="","",VLOOKUP(Tableau134567[[#This Row],[Repère]],Tableau1[#All],9,FALSE))</f>
        <v/>
      </c>
      <c r="J82" s="13" t="str">
        <f>IF(Tableau134567[[#This Row],[Repère]]="","",VLOOKUP(Tableau134567[[#This Row],[Repère]],Tableau1[#All],10,FALSE))</f>
        <v/>
      </c>
      <c r="K82" s="13" t="str">
        <f>IF(Tableau134567[[#This Row],[Repère]]="","",VLOOKUP(Tableau134567[[#This Row],[Repère]],Tableau1[#All],11,FALSE))</f>
        <v/>
      </c>
      <c r="L82" s="14" t="str">
        <f>IF(Tableau134567[[#This Row],[Repère]]="","",VLOOKUP(Tableau134567[[#This Row],[Repère]],Tableau1[#All],12,FALSE))</f>
        <v/>
      </c>
    </row>
    <row r="83" spans="1:12" x14ac:dyDescent="0.3">
      <c r="A83" s="18"/>
      <c r="B83" s="19"/>
      <c r="C83" s="13" t="str">
        <f>IF(Tableau134567[[#This Row],[Repère]]="","",VLOOKUP(Tableau134567[[#This Row],[Repère]],Tableau1[#All],3,FALSE))</f>
        <v/>
      </c>
      <c r="D83" s="13" t="str">
        <f>IF(Tableau134567[[#This Row],[Repère]]="","",VLOOKUP(Tableau134567[[#This Row],[Repère]],Tableau1[#All],4,FALSE))</f>
        <v/>
      </c>
      <c r="E83" s="13" t="str">
        <f>IF(Tableau134567[[#This Row],[Repère]]="","",VLOOKUP(Tableau134567[[#This Row],[Repère]],Tableau1[#All],5,FALSE))</f>
        <v/>
      </c>
      <c r="F83" s="13" t="str">
        <f>IF(Tableau134567[[#This Row],[Repère]]="","",VLOOKUP(Tableau134567[[#This Row],[Repère]],Tableau1[#All],6,FALSE))</f>
        <v/>
      </c>
      <c r="G83" s="13" t="str">
        <f>IF(Tableau134567[[#This Row],[Repère]]="","",VLOOKUP(Tableau134567[[#This Row],[Repère]],Tableau1[#All],7,FALSE))</f>
        <v/>
      </c>
      <c r="H83" s="13" t="str">
        <f>IF(Tableau134567[[#This Row],[Repère]]="","",VLOOKUP(Tableau134567[[#This Row],[Repère]],Tableau1[#All],8,FALSE))</f>
        <v/>
      </c>
      <c r="I83" s="13" t="str">
        <f>IF(Tableau134567[[#This Row],[Repère]]="","",VLOOKUP(Tableau134567[[#This Row],[Repère]],Tableau1[#All],9,FALSE))</f>
        <v/>
      </c>
      <c r="J83" s="13" t="str">
        <f>IF(Tableau134567[[#This Row],[Repère]]="","",VLOOKUP(Tableau134567[[#This Row],[Repère]],Tableau1[#All],10,FALSE))</f>
        <v/>
      </c>
      <c r="K83" s="13" t="str">
        <f>IF(Tableau134567[[#This Row],[Repère]]="","",VLOOKUP(Tableau134567[[#This Row],[Repère]],Tableau1[#All],11,FALSE))</f>
        <v/>
      </c>
      <c r="L83" s="14" t="str">
        <f>IF(Tableau134567[[#This Row],[Repère]]="","",VLOOKUP(Tableau134567[[#This Row],[Repère]],Tableau1[#All],12,FALSE))</f>
        <v/>
      </c>
    </row>
    <row r="84" spans="1:12" x14ac:dyDescent="0.3">
      <c r="A84" s="18"/>
      <c r="B84" s="19"/>
      <c r="C84" s="13" t="str">
        <f>IF(Tableau134567[[#This Row],[Repère]]="","",VLOOKUP(Tableau134567[[#This Row],[Repère]],Tableau1[#All],3,FALSE))</f>
        <v/>
      </c>
      <c r="D84" s="13" t="str">
        <f>IF(Tableau134567[[#This Row],[Repère]]="","",VLOOKUP(Tableau134567[[#This Row],[Repère]],Tableau1[#All],4,FALSE))</f>
        <v/>
      </c>
      <c r="E84" s="13" t="str">
        <f>IF(Tableau134567[[#This Row],[Repère]]="","",VLOOKUP(Tableau134567[[#This Row],[Repère]],Tableau1[#All],5,FALSE))</f>
        <v/>
      </c>
      <c r="F84" s="13" t="str">
        <f>IF(Tableau134567[[#This Row],[Repère]]="","",VLOOKUP(Tableau134567[[#This Row],[Repère]],Tableau1[#All],6,FALSE))</f>
        <v/>
      </c>
      <c r="G84" s="13" t="str">
        <f>IF(Tableau134567[[#This Row],[Repère]]="","",VLOOKUP(Tableau134567[[#This Row],[Repère]],Tableau1[#All],7,FALSE))</f>
        <v/>
      </c>
      <c r="H84" s="13" t="str">
        <f>IF(Tableau134567[[#This Row],[Repère]]="","",VLOOKUP(Tableau134567[[#This Row],[Repère]],Tableau1[#All],8,FALSE))</f>
        <v/>
      </c>
      <c r="I84" s="13" t="str">
        <f>IF(Tableau134567[[#This Row],[Repère]]="","",VLOOKUP(Tableau134567[[#This Row],[Repère]],Tableau1[#All],9,FALSE))</f>
        <v/>
      </c>
      <c r="J84" s="13" t="str">
        <f>IF(Tableau134567[[#This Row],[Repère]]="","",VLOOKUP(Tableau134567[[#This Row],[Repère]],Tableau1[#All],10,FALSE))</f>
        <v/>
      </c>
      <c r="K84" s="13" t="str">
        <f>IF(Tableau134567[[#This Row],[Repère]]="","",VLOOKUP(Tableau134567[[#This Row],[Repère]],Tableau1[#All],11,FALSE))</f>
        <v/>
      </c>
      <c r="L84" s="14" t="str">
        <f>IF(Tableau134567[[#This Row],[Repère]]="","",VLOOKUP(Tableau134567[[#This Row],[Repère]],Tableau1[#All],12,FALSE))</f>
        <v/>
      </c>
    </row>
    <row r="85" spans="1:12" x14ac:dyDescent="0.3">
      <c r="A85" s="18"/>
      <c r="B85" s="19"/>
      <c r="C85" s="13" t="str">
        <f>IF(Tableau134567[[#This Row],[Repère]]="","",VLOOKUP(Tableau134567[[#This Row],[Repère]],Tableau1[#All],3,FALSE))</f>
        <v/>
      </c>
      <c r="D85" s="13" t="str">
        <f>IF(Tableau134567[[#This Row],[Repère]]="","",VLOOKUP(Tableau134567[[#This Row],[Repère]],Tableau1[#All],4,FALSE))</f>
        <v/>
      </c>
      <c r="E85" s="13" t="str">
        <f>IF(Tableau134567[[#This Row],[Repère]]="","",VLOOKUP(Tableau134567[[#This Row],[Repère]],Tableau1[#All],5,FALSE))</f>
        <v/>
      </c>
      <c r="F85" s="13" t="str">
        <f>IF(Tableau134567[[#This Row],[Repère]]="","",VLOOKUP(Tableau134567[[#This Row],[Repère]],Tableau1[#All],6,FALSE))</f>
        <v/>
      </c>
      <c r="G85" s="13" t="str">
        <f>IF(Tableau134567[[#This Row],[Repère]]="","",VLOOKUP(Tableau134567[[#This Row],[Repère]],Tableau1[#All],7,FALSE))</f>
        <v/>
      </c>
      <c r="H85" s="13" t="str">
        <f>IF(Tableau134567[[#This Row],[Repère]]="","",VLOOKUP(Tableau134567[[#This Row],[Repère]],Tableau1[#All],8,FALSE))</f>
        <v/>
      </c>
      <c r="I85" s="13" t="str">
        <f>IF(Tableau134567[[#This Row],[Repère]]="","",VLOOKUP(Tableau134567[[#This Row],[Repère]],Tableau1[#All],9,FALSE))</f>
        <v/>
      </c>
      <c r="J85" s="13" t="str">
        <f>IF(Tableau134567[[#This Row],[Repère]]="","",VLOOKUP(Tableau134567[[#This Row],[Repère]],Tableau1[#All],10,FALSE))</f>
        <v/>
      </c>
      <c r="K85" s="13" t="str">
        <f>IF(Tableau134567[[#This Row],[Repère]]="","",VLOOKUP(Tableau134567[[#This Row],[Repère]],Tableau1[#All],11,FALSE))</f>
        <v/>
      </c>
      <c r="L85" s="14" t="str">
        <f>IF(Tableau134567[[#This Row],[Repère]]="","",VLOOKUP(Tableau134567[[#This Row],[Repère]],Tableau1[#All],12,FALSE))</f>
        <v/>
      </c>
    </row>
    <row r="86" spans="1:12" x14ac:dyDescent="0.3">
      <c r="A86" s="18"/>
      <c r="B86" s="19"/>
      <c r="C86" s="13" t="str">
        <f>IF(Tableau134567[[#This Row],[Repère]]="","",VLOOKUP(Tableau134567[[#This Row],[Repère]],Tableau1[#All],3,FALSE))</f>
        <v/>
      </c>
      <c r="D86" s="13" t="str">
        <f>IF(Tableau134567[[#This Row],[Repère]]="","",VLOOKUP(Tableau134567[[#This Row],[Repère]],Tableau1[#All],4,FALSE))</f>
        <v/>
      </c>
      <c r="E86" s="13" t="str">
        <f>IF(Tableau134567[[#This Row],[Repère]]="","",VLOOKUP(Tableau134567[[#This Row],[Repère]],Tableau1[#All],5,FALSE))</f>
        <v/>
      </c>
      <c r="F86" s="13" t="str">
        <f>IF(Tableau134567[[#This Row],[Repère]]="","",VLOOKUP(Tableau134567[[#This Row],[Repère]],Tableau1[#All],6,FALSE))</f>
        <v/>
      </c>
      <c r="G86" s="13" t="str">
        <f>IF(Tableau134567[[#This Row],[Repère]]="","",VLOOKUP(Tableau134567[[#This Row],[Repère]],Tableau1[#All],7,FALSE))</f>
        <v/>
      </c>
      <c r="H86" s="13" t="str">
        <f>IF(Tableau134567[[#This Row],[Repère]]="","",VLOOKUP(Tableau134567[[#This Row],[Repère]],Tableau1[#All],8,FALSE))</f>
        <v/>
      </c>
      <c r="I86" s="13" t="str">
        <f>IF(Tableau134567[[#This Row],[Repère]]="","",VLOOKUP(Tableau134567[[#This Row],[Repère]],Tableau1[#All],9,FALSE))</f>
        <v/>
      </c>
      <c r="J86" s="13" t="str">
        <f>IF(Tableau134567[[#This Row],[Repère]]="","",VLOOKUP(Tableau134567[[#This Row],[Repère]],Tableau1[#All],10,FALSE))</f>
        <v/>
      </c>
      <c r="K86" s="13" t="str">
        <f>IF(Tableau134567[[#This Row],[Repère]]="","",VLOOKUP(Tableau134567[[#This Row],[Repère]],Tableau1[#All],11,FALSE))</f>
        <v/>
      </c>
      <c r="L86" s="14" t="str">
        <f>IF(Tableau134567[[#This Row],[Repère]]="","",VLOOKUP(Tableau134567[[#This Row],[Repère]],Tableau1[#All],12,FALSE))</f>
        <v/>
      </c>
    </row>
    <row r="87" spans="1:12" x14ac:dyDescent="0.3">
      <c r="A87" s="18"/>
      <c r="B87" s="19"/>
      <c r="C87" s="13" t="str">
        <f>IF(Tableau134567[[#This Row],[Repère]]="","",VLOOKUP(Tableau134567[[#This Row],[Repère]],Tableau1[#All],3,FALSE))</f>
        <v/>
      </c>
      <c r="D87" s="13" t="str">
        <f>IF(Tableau134567[[#This Row],[Repère]]="","",VLOOKUP(Tableau134567[[#This Row],[Repère]],Tableau1[#All],4,FALSE))</f>
        <v/>
      </c>
      <c r="E87" s="13" t="str">
        <f>IF(Tableau134567[[#This Row],[Repère]]="","",VLOOKUP(Tableau134567[[#This Row],[Repère]],Tableau1[#All],5,FALSE))</f>
        <v/>
      </c>
      <c r="F87" s="13" t="str">
        <f>IF(Tableau134567[[#This Row],[Repère]]="","",VLOOKUP(Tableau134567[[#This Row],[Repère]],Tableau1[#All],6,FALSE))</f>
        <v/>
      </c>
      <c r="G87" s="13" t="str">
        <f>IF(Tableau134567[[#This Row],[Repère]]="","",VLOOKUP(Tableau134567[[#This Row],[Repère]],Tableau1[#All],7,FALSE))</f>
        <v/>
      </c>
      <c r="H87" s="13" t="str">
        <f>IF(Tableau134567[[#This Row],[Repère]]="","",VLOOKUP(Tableau134567[[#This Row],[Repère]],Tableau1[#All],8,FALSE))</f>
        <v/>
      </c>
      <c r="I87" s="13" t="str">
        <f>IF(Tableau134567[[#This Row],[Repère]]="","",VLOOKUP(Tableau134567[[#This Row],[Repère]],Tableau1[#All],9,FALSE))</f>
        <v/>
      </c>
      <c r="J87" s="13" t="str">
        <f>IF(Tableau134567[[#This Row],[Repère]]="","",VLOOKUP(Tableau134567[[#This Row],[Repère]],Tableau1[#All],10,FALSE))</f>
        <v/>
      </c>
      <c r="K87" s="13" t="str">
        <f>IF(Tableau134567[[#This Row],[Repère]]="","",VLOOKUP(Tableau134567[[#This Row],[Repère]],Tableau1[#All],11,FALSE))</f>
        <v/>
      </c>
      <c r="L87" s="14" t="str">
        <f>IF(Tableau134567[[#This Row],[Repère]]="","",VLOOKUP(Tableau134567[[#This Row],[Repère]],Tableau1[#All],12,FALSE))</f>
        <v/>
      </c>
    </row>
    <row r="88" spans="1:12" x14ac:dyDescent="0.3">
      <c r="A88" s="18"/>
      <c r="B88" s="19"/>
      <c r="C88" s="13" t="str">
        <f>IF(Tableau134567[[#This Row],[Repère]]="","",VLOOKUP(Tableau134567[[#This Row],[Repère]],Tableau1[#All],3,FALSE))</f>
        <v/>
      </c>
      <c r="D88" s="13" t="str">
        <f>IF(Tableau134567[[#This Row],[Repère]]="","",VLOOKUP(Tableau134567[[#This Row],[Repère]],Tableau1[#All],4,FALSE))</f>
        <v/>
      </c>
      <c r="E88" s="13" t="str">
        <f>IF(Tableau134567[[#This Row],[Repère]]="","",VLOOKUP(Tableau134567[[#This Row],[Repère]],Tableau1[#All],5,FALSE))</f>
        <v/>
      </c>
      <c r="F88" s="13" t="str">
        <f>IF(Tableau134567[[#This Row],[Repère]]="","",VLOOKUP(Tableau134567[[#This Row],[Repère]],Tableau1[#All],6,FALSE))</f>
        <v/>
      </c>
      <c r="G88" s="13" t="str">
        <f>IF(Tableau134567[[#This Row],[Repère]]="","",VLOOKUP(Tableau134567[[#This Row],[Repère]],Tableau1[#All],7,FALSE))</f>
        <v/>
      </c>
      <c r="H88" s="13" t="str">
        <f>IF(Tableau134567[[#This Row],[Repère]]="","",VLOOKUP(Tableau134567[[#This Row],[Repère]],Tableau1[#All],8,FALSE))</f>
        <v/>
      </c>
      <c r="I88" s="13" t="str">
        <f>IF(Tableau134567[[#This Row],[Repère]]="","",VLOOKUP(Tableau134567[[#This Row],[Repère]],Tableau1[#All],9,FALSE))</f>
        <v/>
      </c>
      <c r="J88" s="13" t="str">
        <f>IF(Tableau134567[[#This Row],[Repère]]="","",VLOOKUP(Tableau134567[[#This Row],[Repère]],Tableau1[#All],10,FALSE))</f>
        <v/>
      </c>
      <c r="K88" s="13" t="str">
        <f>IF(Tableau134567[[#This Row],[Repère]]="","",VLOOKUP(Tableau134567[[#This Row],[Repère]],Tableau1[#All],11,FALSE))</f>
        <v/>
      </c>
      <c r="L88" s="14" t="str">
        <f>IF(Tableau134567[[#This Row],[Repère]]="","",VLOOKUP(Tableau134567[[#This Row],[Repère]],Tableau1[#All],12,FALSE))</f>
        <v/>
      </c>
    </row>
    <row r="89" spans="1:12" x14ac:dyDescent="0.3">
      <c r="A89" s="18"/>
      <c r="B89" s="19"/>
      <c r="C89" s="13" t="str">
        <f>IF(Tableau134567[[#This Row],[Repère]]="","",VLOOKUP(Tableau134567[[#This Row],[Repère]],Tableau1[#All],3,FALSE))</f>
        <v/>
      </c>
      <c r="D89" s="13" t="str">
        <f>IF(Tableau134567[[#This Row],[Repère]]="","",VLOOKUP(Tableau134567[[#This Row],[Repère]],Tableau1[#All],4,FALSE))</f>
        <v/>
      </c>
      <c r="E89" s="13" t="str">
        <f>IF(Tableau134567[[#This Row],[Repère]]="","",VLOOKUP(Tableau134567[[#This Row],[Repère]],Tableau1[#All],5,FALSE))</f>
        <v/>
      </c>
      <c r="F89" s="13" t="str">
        <f>IF(Tableau134567[[#This Row],[Repère]]="","",VLOOKUP(Tableau134567[[#This Row],[Repère]],Tableau1[#All],6,FALSE))</f>
        <v/>
      </c>
      <c r="G89" s="13" t="str">
        <f>IF(Tableau134567[[#This Row],[Repère]]="","",VLOOKUP(Tableau134567[[#This Row],[Repère]],Tableau1[#All],7,FALSE))</f>
        <v/>
      </c>
      <c r="H89" s="13" t="str">
        <f>IF(Tableau134567[[#This Row],[Repère]]="","",VLOOKUP(Tableau134567[[#This Row],[Repère]],Tableau1[#All],8,FALSE))</f>
        <v/>
      </c>
      <c r="I89" s="13" t="str">
        <f>IF(Tableau134567[[#This Row],[Repère]]="","",VLOOKUP(Tableau134567[[#This Row],[Repère]],Tableau1[#All],9,FALSE))</f>
        <v/>
      </c>
      <c r="J89" s="13" t="str">
        <f>IF(Tableau134567[[#This Row],[Repère]]="","",VLOOKUP(Tableau134567[[#This Row],[Repère]],Tableau1[#All],10,FALSE))</f>
        <v/>
      </c>
      <c r="K89" s="13" t="str">
        <f>IF(Tableau134567[[#This Row],[Repère]]="","",VLOOKUP(Tableau134567[[#This Row],[Repère]],Tableau1[#All],11,FALSE))</f>
        <v/>
      </c>
      <c r="L89" s="14" t="str">
        <f>IF(Tableau134567[[#This Row],[Repère]]="","",VLOOKUP(Tableau134567[[#This Row],[Repère]],Tableau1[#All],12,FALSE))</f>
        <v/>
      </c>
    </row>
    <row r="90" spans="1:12" x14ac:dyDescent="0.3">
      <c r="A90" s="18"/>
      <c r="B90" s="19"/>
      <c r="C90" s="13" t="str">
        <f>IF(Tableau134567[[#This Row],[Repère]]="","",VLOOKUP(Tableau134567[[#This Row],[Repère]],Tableau1[#All],3,FALSE))</f>
        <v/>
      </c>
      <c r="D90" s="13" t="str">
        <f>IF(Tableau134567[[#This Row],[Repère]]="","",VLOOKUP(Tableau134567[[#This Row],[Repère]],Tableau1[#All],4,FALSE))</f>
        <v/>
      </c>
      <c r="E90" s="13" t="str">
        <f>IF(Tableau134567[[#This Row],[Repère]]="","",VLOOKUP(Tableau134567[[#This Row],[Repère]],Tableau1[#All],5,FALSE))</f>
        <v/>
      </c>
      <c r="F90" s="13" t="str">
        <f>IF(Tableau134567[[#This Row],[Repère]]="","",VLOOKUP(Tableau134567[[#This Row],[Repère]],Tableau1[#All],6,FALSE))</f>
        <v/>
      </c>
      <c r="G90" s="13" t="str">
        <f>IF(Tableau134567[[#This Row],[Repère]]="","",VLOOKUP(Tableau134567[[#This Row],[Repère]],Tableau1[#All],7,FALSE))</f>
        <v/>
      </c>
      <c r="H90" s="13" t="str">
        <f>IF(Tableau134567[[#This Row],[Repère]]="","",VLOOKUP(Tableau134567[[#This Row],[Repère]],Tableau1[#All],8,FALSE))</f>
        <v/>
      </c>
      <c r="I90" s="13" t="str">
        <f>IF(Tableau134567[[#This Row],[Repère]]="","",VLOOKUP(Tableau134567[[#This Row],[Repère]],Tableau1[#All],9,FALSE))</f>
        <v/>
      </c>
      <c r="J90" s="13" t="str">
        <f>IF(Tableau134567[[#This Row],[Repère]]="","",VLOOKUP(Tableau134567[[#This Row],[Repère]],Tableau1[#All],10,FALSE))</f>
        <v/>
      </c>
      <c r="K90" s="13" t="str">
        <f>IF(Tableau134567[[#This Row],[Repère]]="","",VLOOKUP(Tableau134567[[#This Row],[Repère]],Tableau1[#All],11,FALSE))</f>
        <v/>
      </c>
      <c r="L90" s="14" t="str">
        <f>IF(Tableau134567[[#This Row],[Repère]]="","",VLOOKUP(Tableau134567[[#This Row],[Repère]],Tableau1[#All],12,FALSE))</f>
        <v/>
      </c>
    </row>
    <row r="91" spans="1:12" x14ac:dyDescent="0.3">
      <c r="A91" s="18"/>
      <c r="B91" s="19"/>
      <c r="C91" s="13" t="str">
        <f>IF(Tableau134567[[#This Row],[Repère]]="","",VLOOKUP(Tableau134567[[#This Row],[Repère]],Tableau1[#All],3,FALSE))</f>
        <v/>
      </c>
      <c r="D91" s="13" t="str">
        <f>IF(Tableau134567[[#This Row],[Repère]]="","",VLOOKUP(Tableau134567[[#This Row],[Repère]],Tableau1[#All],4,FALSE))</f>
        <v/>
      </c>
      <c r="E91" s="13" t="str">
        <f>IF(Tableau134567[[#This Row],[Repère]]="","",VLOOKUP(Tableau134567[[#This Row],[Repère]],Tableau1[#All],5,FALSE))</f>
        <v/>
      </c>
      <c r="F91" s="13" t="str">
        <f>IF(Tableau134567[[#This Row],[Repère]]="","",VLOOKUP(Tableau134567[[#This Row],[Repère]],Tableau1[#All],6,FALSE))</f>
        <v/>
      </c>
      <c r="G91" s="13" t="str">
        <f>IF(Tableau134567[[#This Row],[Repère]]="","",VLOOKUP(Tableau134567[[#This Row],[Repère]],Tableau1[#All],7,FALSE))</f>
        <v/>
      </c>
      <c r="H91" s="13" t="str">
        <f>IF(Tableau134567[[#This Row],[Repère]]="","",VLOOKUP(Tableau134567[[#This Row],[Repère]],Tableau1[#All],8,FALSE))</f>
        <v/>
      </c>
      <c r="I91" s="13" t="str">
        <f>IF(Tableau134567[[#This Row],[Repère]]="","",VLOOKUP(Tableau134567[[#This Row],[Repère]],Tableau1[#All],9,FALSE))</f>
        <v/>
      </c>
      <c r="J91" s="13" t="str">
        <f>IF(Tableau134567[[#This Row],[Repère]]="","",VLOOKUP(Tableau134567[[#This Row],[Repère]],Tableau1[#All],10,FALSE))</f>
        <v/>
      </c>
      <c r="K91" s="13" t="str">
        <f>IF(Tableau134567[[#This Row],[Repère]]="","",VLOOKUP(Tableau134567[[#This Row],[Repère]],Tableau1[#All],11,FALSE))</f>
        <v/>
      </c>
      <c r="L91" s="14" t="str">
        <f>IF(Tableau134567[[#This Row],[Repère]]="","",VLOOKUP(Tableau134567[[#This Row],[Repère]],Tableau1[#All],12,FALSE))</f>
        <v/>
      </c>
    </row>
    <row r="92" spans="1:12" x14ac:dyDescent="0.3">
      <c r="A92" s="18"/>
      <c r="B92" s="19"/>
      <c r="C92" s="13" t="str">
        <f>IF(Tableau134567[[#This Row],[Repère]]="","",VLOOKUP(Tableau134567[[#This Row],[Repère]],Tableau1[#All],3,FALSE))</f>
        <v/>
      </c>
      <c r="D92" s="13" t="str">
        <f>IF(Tableau134567[[#This Row],[Repère]]="","",VLOOKUP(Tableau134567[[#This Row],[Repère]],Tableau1[#All],4,FALSE))</f>
        <v/>
      </c>
      <c r="E92" s="13" t="str">
        <f>IF(Tableau134567[[#This Row],[Repère]]="","",VLOOKUP(Tableau134567[[#This Row],[Repère]],Tableau1[#All],5,FALSE))</f>
        <v/>
      </c>
      <c r="F92" s="13" t="str">
        <f>IF(Tableau134567[[#This Row],[Repère]]="","",VLOOKUP(Tableau134567[[#This Row],[Repère]],Tableau1[#All],6,FALSE))</f>
        <v/>
      </c>
      <c r="G92" s="13" t="str">
        <f>IF(Tableau134567[[#This Row],[Repère]]="","",VLOOKUP(Tableau134567[[#This Row],[Repère]],Tableau1[#All],7,FALSE))</f>
        <v/>
      </c>
      <c r="H92" s="13" t="str">
        <f>IF(Tableau134567[[#This Row],[Repère]]="","",VLOOKUP(Tableau134567[[#This Row],[Repère]],Tableau1[#All],8,FALSE))</f>
        <v/>
      </c>
      <c r="I92" s="13" t="str">
        <f>IF(Tableau134567[[#This Row],[Repère]]="","",VLOOKUP(Tableau134567[[#This Row],[Repère]],Tableau1[#All],9,FALSE))</f>
        <v/>
      </c>
      <c r="J92" s="13" t="str">
        <f>IF(Tableau134567[[#This Row],[Repère]]="","",VLOOKUP(Tableau134567[[#This Row],[Repère]],Tableau1[#All],10,FALSE))</f>
        <v/>
      </c>
      <c r="K92" s="13" t="str">
        <f>IF(Tableau134567[[#This Row],[Repère]]="","",VLOOKUP(Tableau134567[[#This Row],[Repère]],Tableau1[#All],11,FALSE))</f>
        <v/>
      </c>
      <c r="L92" s="14" t="str">
        <f>IF(Tableau134567[[#This Row],[Repère]]="","",VLOOKUP(Tableau134567[[#This Row],[Repère]],Tableau1[#All],12,FALSE))</f>
        <v/>
      </c>
    </row>
    <row r="93" spans="1:12" x14ac:dyDescent="0.3">
      <c r="A93" s="18"/>
      <c r="B93" s="19"/>
      <c r="C93" s="13" t="str">
        <f>IF(Tableau134567[[#This Row],[Repère]]="","",VLOOKUP(Tableau134567[[#This Row],[Repère]],Tableau1[#All],3,FALSE))</f>
        <v/>
      </c>
      <c r="D93" s="13" t="str">
        <f>IF(Tableau134567[[#This Row],[Repère]]="","",VLOOKUP(Tableau134567[[#This Row],[Repère]],Tableau1[#All],4,FALSE))</f>
        <v/>
      </c>
      <c r="E93" s="13" t="str">
        <f>IF(Tableau134567[[#This Row],[Repère]]="","",VLOOKUP(Tableau134567[[#This Row],[Repère]],Tableau1[#All],5,FALSE))</f>
        <v/>
      </c>
      <c r="F93" s="13" t="str">
        <f>IF(Tableau134567[[#This Row],[Repère]]="","",VLOOKUP(Tableau134567[[#This Row],[Repère]],Tableau1[#All],6,FALSE))</f>
        <v/>
      </c>
      <c r="G93" s="13" t="str">
        <f>IF(Tableau134567[[#This Row],[Repère]]="","",VLOOKUP(Tableau134567[[#This Row],[Repère]],Tableau1[#All],7,FALSE))</f>
        <v/>
      </c>
      <c r="H93" s="13" t="str">
        <f>IF(Tableau134567[[#This Row],[Repère]]="","",VLOOKUP(Tableau134567[[#This Row],[Repère]],Tableau1[#All],8,FALSE))</f>
        <v/>
      </c>
      <c r="I93" s="13" t="str">
        <f>IF(Tableau134567[[#This Row],[Repère]]="","",VLOOKUP(Tableau134567[[#This Row],[Repère]],Tableau1[#All],9,FALSE))</f>
        <v/>
      </c>
      <c r="J93" s="13" t="str">
        <f>IF(Tableau134567[[#This Row],[Repère]]="","",VLOOKUP(Tableau134567[[#This Row],[Repère]],Tableau1[#All],10,FALSE))</f>
        <v/>
      </c>
      <c r="K93" s="13" t="str">
        <f>IF(Tableau134567[[#This Row],[Repère]]="","",VLOOKUP(Tableau134567[[#This Row],[Repère]],Tableau1[#All],11,FALSE))</f>
        <v/>
      </c>
      <c r="L93" s="14" t="str">
        <f>IF(Tableau134567[[#This Row],[Repère]]="","",VLOOKUP(Tableau134567[[#This Row],[Repère]],Tableau1[#All],12,FALSE))</f>
        <v/>
      </c>
    </row>
    <row r="94" spans="1:12" x14ac:dyDescent="0.3">
      <c r="A94" s="18"/>
      <c r="B94" s="19"/>
      <c r="C94" s="13" t="str">
        <f>IF(Tableau134567[[#This Row],[Repère]]="","",VLOOKUP(Tableau134567[[#This Row],[Repère]],Tableau1[#All],3,FALSE))</f>
        <v/>
      </c>
      <c r="D94" s="13" t="str">
        <f>IF(Tableau134567[[#This Row],[Repère]]="","",VLOOKUP(Tableau134567[[#This Row],[Repère]],Tableau1[#All],4,FALSE))</f>
        <v/>
      </c>
      <c r="E94" s="13" t="str">
        <f>IF(Tableau134567[[#This Row],[Repère]]="","",VLOOKUP(Tableau134567[[#This Row],[Repère]],Tableau1[#All],5,FALSE))</f>
        <v/>
      </c>
      <c r="F94" s="13" t="str">
        <f>IF(Tableau134567[[#This Row],[Repère]]="","",VLOOKUP(Tableau134567[[#This Row],[Repère]],Tableau1[#All],6,FALSE))</f>
        <v/>
      </c>
      <c r="G94" s="13" t="str">
        <f>IF(Tableau134567[[#This Row],[Repère]]="","",VLOOKUP(Tableau134567[[#This Row],[Repère]],Tableau1[#All],7,FALSE))</f>
        <v/>
      </c>
      <c r="H94" s="13" t="str">
        <f>IF(Tableau134567[[#This Row],[Repère]]="","",VLOOKUP(Tableau134567[[#This Row],[Repère]],Tableau1[#All],8,FALSE))</f>
        <v/>
      </c>
      <c r="I94" s="13" t="str">
        <f>IF(Tableau134567[[#This Row],[Repère]]="","",VLOOKUP(Tableau134567[[#This Row],[Repère]],Tableau1[#All],9,FALSE))</f>
        <v/>
      </c>
      <c r="J94" s="13" t="str">
        <f>IF(Tableau134567[[#This Row],[Repère]]="","",VLOOKUP(Tableau134567[[#This Row],[Repère]],Tableau1[#All],10,FALSE))</f>
        <v/>
      </c>
      <c r="K94" s="13" t="str">
        <f>IF(Tableau134567[[#This Row],[Repère]]="","",VLOOKUP(Tableau134567[[#This Row],[Repère]],Tableau1[#All],11,FALSE))</f>
        <v/>
      </c>
      <c r="L94" s="14" t="str">
        <f>IF(Tableau134567[[#This Row],[Repère]]="","",VLOOKUP(Tableau134567[[#This Row],[Repère]],Tableau1[#All],12,FALSE))</f>
        <v/>
      </c>
    </row>
    <row r="95" spans="1:12" x14ac:dyDescent="0.3">
      <c r="A95" s="18"/>
      <c r="B95" s="19"/>
      <c r="C95" s="13" t="str">
        <f>IF(Tableau134567[[#This Row],[Repère]]="","",VLOOKUP(Tableau134567[[#This Row],[Repère]],Tableau1[#All],3,FALSE))</f>
        <v/>
      </c>
      <c r="D95" s="13" t="str">
        <f>IF(Tableau134567[[#This Row],[Repère]]="","",VLOOKUP(Tableau134567[[#This Row],[Repère]],Tableau1[#All],4,FALSE))</f>
        <v/>
      </c>
      <c r="E95" s="13" t="str">
        <f>IF(Tableau134567[[#This Row],[Repère]]="","",VLOOKUP(Tableau134567[[#This Row],[Repère]],Tableau1[#All],5,FALSE))</f>
        <v/>
      </c>
      <c r="F95" s="13" t="str">
        <f>IF(Tableau134567[[#This Row],[Repère]]="","",VLOOKUP(Tableau134567[[#This Row],[Repère]],Tableau1[#All],6,FALSE))</f>
        <v/>
      </c>
      <c r="G95" s="13" t="str">
        <f>IF(Tableau134567[[#This Row],[Repère]]="","",VLOOKUP(Tableau134567[[#This Row],[Repère]],Tableau1[#All],7,FALSE))</f>
        <v/>
      </c>
      <c r="H95" s="13" t="str">
        <f>IF(Tableau134567[[#This Row],[Repère]]="","",VLOOKUP(Tableau134567[[#This Row],[Repère]],Tableau1[#All],8,FALSE))</f>
        <v/>
      </c>
      <c r="I95" s="13" t="str">
        <f>IF(Tableau134567[[#This Row],[Repère]]="","",VLOOKUP(Tableau134567[[#This Row],[Repère]],Tableau1[#All],9,FALSE))</f>
        <v/>
      </c>
      <c r="J95" s="13" t="str">
        <f>IF(Tableau134567[[#This Row],[Repère]]="","",VLOOKUP(Tableau134567[[#This Row],[Repère]],Tableau1[#All],10,FALSE))</f>
        <v/>
      </c>
      <c r="K95" s="13" t="str">
        <f>IF(Tableau134567[[#This Row],[Repère]]="","",VLOOKUP(Tableau134567[[#This Row],[Repère]],Tableau1[#All],11,FALSE))</f>
        <v/>
      </c>
      <c r="L95" s="14" t="str">
        <f>IF(Tableau134567[[#This Row],[Repère]]="","",VLOOKUP(Tableau134567[[#This Row],[Repère]],Tableau1[#All],12,FALSE))</f>
        <v/>
      </c>
    </row>
    <row r="96" spans="1:12" x14ac:dyDescent="0.3">
      <c r="A96" s="18"/>
      <c r="B96" s="19"/>
      <c r="C96" s="13" t="str">
        <f>IF(Tableau134567[[#This Row],[Repère]]="","",VLOOKUP(Tableau134567[[#This Row],[Repère]],Tableau1[#All],3,FALSE))</f>
        <v/>
      </c>
      <c r="D96" s="13" t="str">
        <f>IF(Tableau134567[[#This Row],[Repère]]="","",VLOOKUP(Tableau134567[[#This Row],[Repère]],Tableau1[#All],4,FALSE))</f>
        <v/>
      </c>
      <c r="E96" s="13" t="str">
        <f>IF(Tableau134567[[#This Row],[Repère]]="","",VLOOKUP(Tableau134567[[#This Row],[Repère]],Tableau1[#All],5,FALSE))</f>
        <v/>
      </c>
      <c r="F96" s="13" t="str">
        <f>IF(Tableau134567[[#This Row],[Repère]]="","",VLOOKUP(Tableau134567[[#This Row],[Repère]],Tableau1[#All],6,FALSE))</f>
        <v/>
      </c>
      <c r="G96" s="13" t="str">
        <f>IF(Tableau134567[[#This Row],[Repère]]="","",VLOOKUP(Tableau134567[[#This Row],[Repère]],Tableau1[#All],7,FALSE))</f>
        <v/>
      </c>
      <c r="H96" s="13" t="str">
        <f>IF(Tableau134567[[#This Row],[Repère]]="","",VLOOKUP(Tableau134567[[#This Row],[Repère]],Tableau1[#All],8,FALSE))</f>
        <v/>
      </c>
      <c r="I96" s="13" t="str">
        <f>IF(Tableau134567[[#This Row],[Repère]]="","",VLOOKUP(Tableau134567[[#This Row],[Repère]],Tableau1[#All],9,FALSE))</f>
        <v/>
      </c>
      <c r="J96" s="13" t="str">
        <f>IF(Tableau134567[[#This Row],[Repère]]="","",VLOOKUP(Tableau134567[[#This Row],[Repère]],Tableau1[#All],10,FALSE))</f>
        <v/>
      </c>
      <c r="K96" s="13" t="str">
        <f>IF(Tableau134567[[#This Row],[Repère]]="","",VLOOKUP(Tableau134567[[#This Row],[Repère]],Tableau1[#All],11,FALSE))</f>
        <v/>
      </c>
      <c r="L96" s="14" t="str">
        <f>IF(Tableau134567[[#This Row],[Repère]]="","",VLOOKUP(Tableau134567[[#This Row],[Repère]],Tableau1[#All],12,FALSE))</f>
        <v/>
      </c>
    </row>
    <row r="97" spans="1:12" x14ac:dyDescent="0.3">
      <c r="A97" s="18"/>
      <c r="B97" s="19"/>
      <c r="C97" s="13" t="str">
        <f>IF(Tableau134567[[#This Row],[Repère]]="","",VLOOKUP(Tableau134567[[#This Row],[Repère]],Tableau1[#All],3,FALSE))</f>
        <v/>
      </c>
      <c r="D97" s="13" t="str">
        <f>IF(Tableau134567[[#This Row],[Repère]]="","",VLOOKUP(Tableau134567[[#This Row],[Repère]],Tableau1[#All],4,FALSE))</f>
        <v/>
      </c>
      <c r="E97" s="13" t="str">
        <f>IF(Tableau134567[[#This Row],[Repère]]="","",VLOOKUP(Tableau134567[[#This Row],[Repère]],Tableau1[#All],5,FALSE))</f>
        <v/>
      </c>
      <c r="F97" s="13" t="str">
        <f>IF(Tableau134567[[#This Row],[Repère]]="","",VLOOKUP(Tableau134567[[#This Row],[Repère]],Tableau1[#All],6,FALSE))</f>
        <v/>
      </c>
      <c r="G97" s="13" t="str">
        <f>IF(Tableau134567[[#This Row],[Repère]]="","",VLOOKUP(Tableau134567[[#This Row],[Repère]],Tableau1[#All],7,FALSE))</f>
        <v/>
      </c>
      <c r="H97" s="13" t="str">
        <f>IF(Tableau134567[[#This Row],[Repère]]="","",VLOOKUP(Tableau134567[[#This Row],[Repère]],Tableau1[#All],8,FALSE))</f>
        <v/>
      </c>
      <c r="I97" s="13" t="str">
        <f>IF(Tableau134567[[#This Row],[Repère]]="","",VLOOKUP(Tableau134567[[#This Row],[Repère]],Tableau1[#All],9,FALSE))</f>
        <v/>
      </c>
      <c r="J97" s="13" t="str">
        <f>IF(Tableau134567[[#This Row],[Repère]]="","",VLOOKUP(Tableau134567[[#This Row],[Repère]],Tableau1[#All],10,FALSE))</f>
        <v/>
      </c>
      <c r="K97" s="13" t="str">
        <f>IF(Tableau134567[[#This Row],[Repère]]="","",VLOOKUP(Tableau134567[[#This Row],[Repère]],Tableau1[#All],11,FALSE))</f>
        <v/>
      </c>
      <c r="L97" s="14" t="str">
        <f>IF(Tableau134567[[#This Row],[Repère]]="","",VLOOKUP(Tableau134567[[#This Row],[Repère]],Tableau1[#All],12,FALSE))</f>
        <v/>
      </c>
    </row>
    <row r="98" spans="1:12" x14ac:dyDescent="0.3">
      <c r="A98" s="18"/>
      <c r="B98" s="19"/>
      <c r="C98" s="13" t="str">
        <f>IF(Tableau134567[[#This Row],[Repère]]="","",VLOOKUP(Tableau134567[[#This Row],[Repère]],Tableau1[#All],3,FALSE))</f>
        <v/>
      </c>
      <c r="D98" s="13" t="str">
        <f>IF(Tableau134567[[#This Row],[Repère]]="","",VLOOKUP(Tableau134567[[#This Row],[Repère]],Tableau1[#All],4,FALSE))</f>
        <v/>
      </c>
      <c r="E98" s="13" t="str">
        <f>IF(Tableau134567[[#This Row],[Repère]]="","",VLOOKUP(Tableau134567[[#This Row],[Repère]],Tableau1[#All],5,FALSE))</f>
        <v/>
      </c>
      <c r="F98" s="13" t="str">
        <f>IF(Tableau134567[[#This Row],[Repère]]="","",VLOOKUP(Tableau134567[[#This Row],[Repère]],Tableau1[#All],6,FALSE))</f>
        <v/>
      </c>
      <c r="G98" s="13" t="str">
        <f>IF(Tableau134567[[#This Row],[Repère]]="","",VLOOKUP(Tableau134567[[#This Row],[Repère]],Tableau1[#All],7,FALSE))</f>
        <v/>
      </c>
      <c r="H98" s="13" t="str">
        <f>IF(Tableau134567[[#This Row],[Repère]]="","",VLOOKUP(Tableau134567[[#This Row],[Repère]],Tableau1[#All],8,FALSE))</f>
        <v/>
      </c>
      <c r="I98" s="13" t="str">
        <f>IF(Tableau134567[[#This Row],[Repère]]="","",VLOOKUP(Tableau134567[[#This Row],[Repère]],Tableau1[#All],9,FALSE))</f>
        <v/>
      </c>
      <c r="J98" s="13" t="str">
        <f>IF(Tableau134567[[#This Row],[Repère]]="","",VLOOKUP(Tableau134567[[#This Row],[Repère]],Tableau1[#All],10,FALSE))</f>
        <v/>
      </c>
      <c r="K98" s="13" t="str">
        <f>IF(Tableau134567[[#This Row],[Repère]]="","",VLOOKUP(Tableau134567[[#This Row],[Repère]],Tableau1[#All],11,FALSE))</f>
        <v/>
      </c>
      <c r="L98" s="14" t="str">
        <f>IF(Tableau134567[[#This Row],[Repère]]="","",VLOOKUP(Tableau134567[[#This Row],[Repère]],Tableau1[#All],12,FALSE))</f>
        <v/>
      </c>
    </row>
    <row r="99" spans="1:12" x14ac:dyDescent="0.3">
      <c r="A99" s="18"/>
      <c r="B99" s="19"/>
      <c r="C99" s="13" t="str">
        <f>IF(Tableau134567[[#This Row],[Repère]]="","",VLOOKUP(Tableau134567[[#This Row],[Repère]],Tableau1[#All],3,FALSE))</f>
        <v/>
      </c>
      <c r="D99" s="13" t="str">
        <f>IF(Tableau134567[[#This Row],[Repère]]="","",VLOOKUP(Tableau134567[[#This Row],[Repère]],Tableau1[#All],4,FALSE))</f>
        <v/>
      </c>
      <c r="E99" s="13" t="str">
        <f>IF(Tableau134567[[#This Row],[Repère]]="","",VLOOKUP(Tableau134567[[#This Row],[Repère]],Tableau1[#All],5,FALSE))</f>
        <v/>
      </c>
      <c r="F99" s="13" t="str">
        <f>IF(Tableau134567[[#This Row],[Repère]]="","",VLOOKUP(Tableau134567[[#This Row],[Repère]],Tableau1[#All],6,FALSE))</f>
        <v/>
      </c>
      <c r="G99" s="13" t="str">
        <f>IF(Tableau134567[[#This Row],[Repère]]="","",VLOOKUP(Tableau134567[[#This Row],[Repère]],Tableau1[#All],7,FALSE))</f>
        <v/>
      </c>
      <c r="H99" s="13" t="str">
        <f>IF(Tableau134567[[#This Row],[Repère]]="","",VLOOKUP(Tableau134567[[#This Row],[Repère]],Tableau1[#All],8,FALSE))</f>
        <v/>
      </c>
      <c r="I99" s="13" t="str">
        <f>IF(Tableau134567[[#This Row],[Repère]]="","",VLOOKUP(Tableau134567[[#This Row],[Repère]],Tableau1[#All],9,FALSE))</f>
        <v/>
      </c>
      <c r="J99" s="13" t="str">
        <f>IF(Tableau134567[[#This Row],[Repère]]="","",VLOOKUP(Tableau134567[[#This Row],[Repère]],Tableau1[#All],10,FALSE))</f>
        <v/>
      </c>
      <c r="K99" s="13" t="str">
        <f>IF(Tableau134567[[#This Row],[Repère]]="","",VLOOKUP(Tableau134567[[#This Row],[Repère]],Tableau1[#All],11,FALSE))</f>
        <v/>
      </c>
      <c r="L99" s="14" t="str">
        <f>IF(Tableau134567[[#This Row],[Repère]]="","",VLOOKUP(Tableau134567[[#This Row],[Repère]],Tableau1[#All],12,FALSE))</f>
        <v/>
      </c>
    </row>
    <row r="100" spans="1:12" x14ac:dyDescent="0.3">
      <c r="A100" s="18"/>
      <c r="B100" s="19"/>
      <c r="C100" s="13" t="str">
        <f>IF(Tableau134567[[#This Row],[Repère]]="","",VLOOKUP(Tableau134567[[#This Row],[Repère]],Tableau1[#All],3,FALSE))</f>
        <v/>
      </c>
      <c r="D100" s="13" t="str">
        <f>IF(Tableau134567[[#This Row],[Repère]]="","",VLOOKUP(Tableau134567[[#This Row],[Repère]],Tableau1[#All],4,FALSE))</f>
        <v/>
      </c>
      <c r="E100" s="13" t="str">
        <f>IF(Tableau134567[[#This Row],[Repère]]="","",VLOOKUP(Tableau134567[[#This Row],[Repère]],Tableau1[#All],5,FALSE))</f>
        <v/>
      </c>
      <c r="F100" s="13" t="str">
        <f>IF(Tableau134567[[#This Row],[Repère]]="","",VLOOKUP(Tableau134567[[#This Row],[Repère]],Tableau1[#All],6,FALSE))</f>
        <v/>
      </c>
      <c r="G100" s="13" t="str">
        <f>IF(Tableau134567[[#This Row],[Repère]]="","",VLOOKUP(Tableau134567[[#This Row],[Repère]],Tableau1[#All],7,FALSE))</f>
        <v/>
      </c>
      <c r="H100" s="13" t="str">
        <f>IF(Tableau134567[[#This Row],[Repère]]="","",VLOOKUP(Tableau134567[[#This Row],[Repère]],Tableau1[#All],8,FALSE))</f>
        <v/>
      </c>
      <c r="I100" s="13" t="str">
        <f>IF(Tableau134567[[#This Row],[Repère]]="","",VLOOKUP(Tableau134567[[#This Row],[Repère]],Tableau1[#All],9,FALSE))</f>
        <v/>
      </c>
      <c r="J100" s="13" t="str">
        <f>IF(Tableau134567[[#This Row],[Repère]]="","",VLOOKUP(Tableau134567[[#This Row],[Repère]],Tableau1[#All],10,FALSE))</f>
        <v/>
      </c>
      <c r="K100" s="13" t="str">
        <f>IF(Tableau134567[[#This Row],[Repère]]="","",VLOOKUP(Tableau134567[[#This Row],[Repère]],Tableau1[#All],11,FALSE))</f>
        <v/>
      </c>
      <c r="L100" s="14" t="str">
        <f>IF(Tableau134567[[#This Row],[Repère]]="","",VLOOKUP(Tableau134567[[#This Row],[Repère]],Tableau1[#All],12,FALSE))</f>
        <v/>
      </c>
    </row>
    <row r="101" spans="1:12" x14ac:dyDescent="0.3">
      <c r="A101" s="18"/>
      <c r="B101" s="19"/>
      <c r="C101" s="13" t="str">
        <f>IF(Tableau134567[[#This Row],[Repère]]="","",VLOOKUP(Tableau134567[[#This Row],[Repère]],Tableau1[#All],3,FALSE))</f>
        <v/>
      </c>
      <c r="D101" s="13" t="str">
        <f>IF(Tableau134567[[#This Row],[Repère]]="","",VLOOKUP(Tableau134567[[#This Row],[Repère]],Tableau1[#All],4,FALSE))</f>
        <v/>
      </c>
      <c r="E101" s="13" t="str">
        <f>IF(Tableau134567[[#This Row],[Repère]]="","",VLOOKUP(Tableau134567[[#This Row],[Repère]],Tableau1[#All],5,FALSE))</f>
        <v/>
      </c>
      <c r="F101" s="13" t="str">
        <f>IF(Tableau134567[[#This Row],[Repère]]="","",VLOOKUP(Tableau134567[[#This Row],[Repère]],Tableau1[#All],6,FALSE))</f>
        <v/>
      </c>
      <c r="G101" s="13" t="str">
        <f>IF(Tableau134567[[#This Row],[Repère]]="","",VLOOKUP(Tableau134567[[#This Row],[Repère]],Tableau1[#All],7,FALSE))</f>
        <v/>
      </c>
      <c r="H101" s="13" t="str">
        <f>IF(Tableau134567[[#This Row],[Repère]]="","",VLOOKUP(Tableau134567[[#This Row],[Repère]],Tableau1[#All],8,FALSE))</f>
        <v/>
      </c>
      <c r="I101" s="13" t="str">
        <f>IF(Tableau134567[[#This Row],[Repère]]="","",VLOOKUP(Tableau134567[[#This Row],[Repère]],Tableau1[#All],9,FALSE))</f>
        <v/>
      </c>
      <c r="J101" s="13" t="str">
        <f>IF(Tableau134567[[#This Row],[Repère]]="","",VLOOKUP(Tableau134567[[#This Row],[Repère]],Tableau1[#All],10,FALSE))</f>
        <v/>
      </c>
      <c r="K101" s="13" t="str">
        <f>IF(Tableau134567[[#This Row],[Repère]]="","",VLOOKUP(Tableau134567[[#This Row],[Repère]],Tableau1[#All],11,FALSE))</f>
        <v/>
      </c>
      <c r="L101" s="14" t="str">
        <f>IF(Tableau134567[[#This Row],[Repère]]="","",VLOOKUP(Tableau134567[[#This Row],[Repère]],Tableau1[#All],12,FALSE))</f>
        <v/>
      </c>
    </row>
  </sheetData>
  <sheetProtection algorithmName="SHA-512" hashValue="UbsD3Mw9eq0D1ULPBB9VuvHEk2RBxO678N4zzS+i/mCLDoTvvJc6pecYFDV9BzOwU0vP6j9eJA5wWbkHPTlC+w==" saltValue="wmRPyFWXnpWQC2iyJ1T1Rg==" spinCount="100000" sheet="1" objects="1" scenario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6311-7870-4DFB-81EE-26D9D9EEE337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IF(Tableau1345678[[#This Row],[Repère]]="","",VLOOKUP(Tableau1345678[[#This Row],[Repère]],Tableau1[#All],3,FALSE))</f>
        <v/>
      </c>
      <c r="D2" s="13" t="str">
        <f>IF(Tableau1345678[[#This Row],[Repère]]="","",VLOOKUP(Tableau1345678[[#This Row],[Repère]],Tableau1[#All],4,FALSE))</f>
        <v/>
      </c>
      <c r="E2" s="13" t="str">
        <f>IF(Tableau1345678[[#This Row],[Repère]]="","",VLOOKUP(Tableau1345678[[#This Row],[Repère]],Tableau1[#All],5,FALSE))</f>
        <v/>
      </c>
      <c r="F2" s="13" t="str">
        <f>IF(Tableau1345678[[#This Row],[Repère]]="","",VLOOKUP(Tableau1345678[[#This Row],[Repère]],Tableau1[#All],6,FALSE))</f>
        <v/>
      </c>
      <c r="G2" s="13" t="str">
        <f>IF(Tableau1345678[[#This Row],[Repère]]="","",VLOOKUP(Tableau1345678[[#This Row],[Repère]],Tableau1[#All],7,FALSE))</f>
        <v/>
      </c>
      <c r="H2" s="13" t="str">
        <f>IF(Tableau1345678[[#This Row],[Repère]]="","",VLOOKUP(Tableau1345678[[#This Row],[Repère]],Tableau1[#All],8,FALSE))</f>
        <v/>
      </c>
      <c r="I2" s="13" t="str">
        <f>IF(Tableau1345678[[#This Row],[Repère]]="","",VLOOKUP(Tableau1345678[[#This Row],[Repère]],Tableau1[#All],9,FALSE))</f>
        <v/>
      </c>
      <c r="J2" s="13" t="str">
        <f>IF(Tableau1345678[[#This Row],[Repère]]="","",VLOOKUP(Tableau1345678[[#This Row],[Repère]],Tableau1[#All],10,FALSE))</f>
        <v/>
      </c>
      <c r="K2" s="13" t="str">
        <f>IF(Tableau1345678[[#This Row],[Repère]]="","",VLOOKUP(Tableau1345678[[#This Row],[Repère]],Tableau1[#All],11,FALSE))</f>
        <v/>
      </c>
      <c r="L2" s="13" t="str">
        <f>IF(Tableau1345678[[#This Row],[Repère]]="","",VLOOKUP(Tableau1345678[[#This Row],[Repère]],Tableau1[#All],12,FALSE))</f>
        <v/>
      </c>
    </row>
    <row r="3" spans="1:12" x14ac:dyDescent="0.3">
      <c r="A3" s="18"/>
      <c r="B3" s="19"/>
      <c r="C3" s="13" t="str">
        <f>IF(Tableau1345678[[#This Row],[Repère]]="","",VLOOKUP(Tableau1345678[[#This Row],[Repère]],Tableau1[#All],3,FALSE))</f>
        <v/>
      </c>
      <c r="D3" s="13" t="str">
        <f>IF(Tableau1345678[[#This Row],[Repère]]="","",VLOOKUP(Tableau1345678[[#This Row],[Repère]],Tableau1[#All],4,FALSE))</f>
        <v/>
      </c>
      <c r="E3" s="13" t="str">
        <f>IF(Tableau1345678[[#This Row],[Repère]]="","",VLOOKUP(Tableau1345678[[#This Row],[Repère]],Tableau1[#All],5,FALSE))</f>
        <v/>
      </c>
      <c r="F3" s="13" t="str">
        <f>IF(Tableau1345678[[#This Row],[Repère]]="","",VLOOKUP(Tableau1345678[[#This Row],[Repère]],Tableau1[#All],6,FALSE))</f>
        <v/>
      </c>
      <c r="G3" s="13" t="str">
        <f>IF(Tableau1345678[[#This Row],[Repère]]="","",VLOOKUP(Tableau1345678[[#This Row],[Repère]],Tableau1[#All],7,FALSE))</f>
        <v/>
      </c>
      <c r="H3" s="13" t="str">
        <f>IF(Tableau1345678[[#This Row],[Repère]]="","",VLOOKUP(Tableau1345678[[#This Row],[Repère]],Tableau1[#All],8,FALSE))</f>
        <v/>
      </c>
      <c r="I3" s="13" t="str">
        <f>IF(Tableau1345678[[#This Row],[Repère]]="","",VLOOKUP(Tableau1345678[[#This Row],[Repère]],Tableau1[#All],9,FALSE))</f>
        <v/>
      </c>
      <c r="J3" s="13" t="str">
        <f>IF(Tableau1345678[[#This Row],[Repère]]="","",VLOOKUP(Tableau1345678[[#This Row],[Repère]],Tableau1[#All],10,FALSE))</f>
        <v/>
      </c>
      <c r="K3" s="13" t="str">
        <f>IF(Tableau1345678[[#This Row],[Repère]]="","",VLOOKUP(Tableau1345678[[#This Row],[Repère]],Tableau1[#All],11,FALSE))</f>
        <v/>
      </c>
      <c r="L3" s="14" t="str">
        <f>IF(Tableau1345678[[#This Row],[Repère]]="","",VLOOKUP(Tableau1345678[[#This Row],[Repère]],Tableau1[#All],12,FALSE))</f>
        <v/>
      </c>
    </row>
    <row r="4" spans="1:12" x14ac:dyDescent="0.3">
      <c r="A4" s="18"/>
      <c r="B4" s="19"/>
      <c r="C4" s="13" t="str">
        <f>IF(Tableau1345678[[#This Row],[Repère]]="","",VLOOKUP(Tableau1345678[[#This Row],[Repère]],Tableau1[#All],3,FALSE))</f>
        <v/>
      </c>
      <c r="D4" s="13" t="str">
        <f>IF(Tableau1345678[[#This Row],[Repère]]="","",VLOOKUP(Tableau1345678[[#This Row],[Repère]],Tableau1[#All],4,FALSE))</f>
        <v/>
      </c>
      <c r="E4" s="13" t="str">
        <f>IF(Tableau1345678[[#This Row],[Repère]]="","",VLOOKUP(Tableau1345678[[#This Row],[Repère]],Tableau1[#All],5,FALSE))</f>
        <v/>
      </c>
      <c r="F4" s="13" t="str">
        <f>IF(Tableau1345678[[#This Row],[Repère]]="","",VLOOKUP(Tableau1345678[[#This Row],[Repère]],Tableau1[#All],6,FALSE))</f>
        <v/>
      </c>
      <c r="G4" s="13" t="str">
        <f>IF(Tableau1345678[[#This Row],[Repère]]="","",VLOOKUP(Tableau1345678[[#This Row],[Repère]],Tableau1[#All],7,FALSE))</f>
        <v/>
      </c>
      <c r="H4" s="13" t="str">
        <f>IF(Tableau1345678[[#This Row],[Repère]]="","",VLOOKUP(Tableau1345678[[#This Row],[Repère]],Tableau1[#All],8,FALSE))</f>
        <v/>
      </c>
      <c r="I4" s="13" t="str">
        <f>IF(Tableau1345678[[#This Row],[Repère]]="","",VLOOKUP(Tableau1345678[[#This Row],[Repère]],Tableau1[#All],9,FALSE))</f>
        <v/>
      </c>
      <c r="J4" s="13" t="str">
        <f>IF(Tableau1345678[[#This Row],[Repère]]="","",VLOOKUP(Tableau1345678[[#This Row],[Repère]],Tableau1[#All],10,FALSE))</f>
        <v/>
      </c>
      <c r="K4" s="13" t="str">
        <f>IF(Tableau1345678[[#This Row],[Repère]]="","",VLOOKUP(Tableau1345678[[#This Row],[Repère]],Tableau1[#All],11,FALSE))</f>
        <v/>
      </c>
      <c r="L4" s="14" t="str">
        <f>IF(Tableau1345678[[#This Row],[Repère]]="","",VLOOKUP(Tableau1345678[[#This Row],[Repère]],Tableau1[#All],12,FALSE))</f>
        <v/>
      </c>
    </row>
    <row r="5" spans="1:12" x14ac:dyDescent="0.3">
      <c r="A5" s="18"/>
      <c r="B5" s="19"/>
      <c r="C5" s="13" t="str">
        <f>IF(Tableau1345678[[#This Row],[Repère]]="","",VLOOKUP(Tableau1345678[[#This Row],[Repère]],Tableau1[#All],3,FALSE))</f>
        <v/>
      </c>
      <c r="D5" s="13" t="str">
        <f>IF(Tableau1345678[[#This Row],[Repère]]="","",VLOOKUP(Tableau1345678[[#This Row],[Repère]],Tableau1[#All],4,FALSE))</f>
        <v/>
      </c>
      <c r="E5" s="13" t="str">
        <f>IF(Tableau1345678[[#This Row],[Repère]]="","",VLOOKUP(Tableau1345678[[#This Row],[Repère]],Tableau1[#All],5,FALSE))</f>
        <v/>
      </c>
      <c r="F5" s="13" t="str">
        <f>IF(Tableau1345678[[#This Row],[Repère]]="","",VLOOKUP(Tableau1345678[[#This Row],[Repère]],Tableau1[#All],6,FALSE))</f>
        <v/>
      </c>
      <c r="G5" s="13" t="str">
        <f>IF(Tableau1345678[[#This Row],[Repère]]="","",VLOOKUP(Tableau1345678[[#This Row],[Repère]],Tableau1[#All],7,FALSE))</f>
        <v/>
      </c>
      <c r="H5" s="13" t="str">
        <f>IF(Tableau1345678[[#This Row],[Repère]]="","",VLOOKUP(Tableau1345678[[#This Row],[Repère]],Tableau1[#All],8,FALSE))</f>
        <v/>
      </c>
      <c r="I5" s="13" t="str">
        <f>IF(Tableau1345678[[#This Row],[Repère]]="","",VLOOKUP(Tableau1345678[[#This Row],[Repère]],Tableau1[#All],9,FALSE))</f>
        <v/>
      </c>
      <c r="J5" s="13" t="str">
        <f>IF(Tableau1345678[[#This Row],[Repère]]="","",VLOOKUP(Tableau1345678[[#This Row],[Repère]],Tableau1[#All],10,FALSE))</f>
        <v/>
      </c>
      <c r="K5" s="13" t="str">
        <f>IF(Tableau1345678[[#This Row],[Repère]]="","",VLOOKUP(Tableau1345678[[#This Row],[Repère]],Tableau1[#All],11,FALSE))</f>
        <v/>
      </c>
      <c r="L5" s="14" t="str">
        <f>IF(Tableau1345678[[#This Row],[Repère]]="","",VLOOKUP(Tableau1345678[[#This Row],[Repère]],Tableau1[#All],12,FALSE))</f>
        <v/>
      </c>
    </row>
    <row r="6" spans="1:12" x14ac:dyDescent="0.3">
      <c r="A6" s="18"/>
      <c r="B6" s="19"/>
      <c r="C6" s="13" t="str">
        <f>IF(Tableau1345678[[#This Row],[Repère]]="","",VLOOKUP(Tableau1345678[[#This Row],[Repère]],Tableau1[#All],3,FALSE))</f>
        <v/>
      </c>
      <c r="D6" s="13" t="str">
        <f>IF(Tableau1345678[[#This Row],[Repère]]="","",VLOOKUP(Tableau1345678[[#This Row],[Repère]],Tableau1[#All],4,FALSE))</f>
        <v/>
      </c>
      <c r="E6" s="13" t="str">
        <f>IF(Tableau1345678[[#This Row],[Repère]]="","",VLOOKUP(Tableau1345678[[#This Row],[Repère]],Tableau1[#All],5,FALSE))</f>
        <v/>
      </c>
      <c r="F6" s="13" t="str">
        <f>IF(Tableau1345678[[#This Row],[Repère]]="","",VLOOKUP(Tableau1345678[[#This Row],[Repère]],Tableau1[#All],6,FALSE))</f>
        <v/>
      </c>
      <c r="G6" s="13" t="str">
        <f>IF(Tableau1345678[[#This Row],[Repère]]="","",VLOOKUP(Tableau1345678[[#This Row],[Repère]],Tableau1[#All],7,FALSE))</f>
        <v/>
      </c>
      <c r="H6" s="13" t="str">
        <f>IF(Tableau1345678[[#This Row],[Repère]]="","",VLOOKUP(Tableau1345678[[#This Row],[Repère]],Tableau1[#All],8,FALSE))</f>
        <v/>
      </c>
      <c r="I6" s="13" t="str">
        <f>IF(Tableau1345678[[#This Row],[Repère]]="","",VLOOKUP(Tableau1345678[[#This Row],[Repère]],Tableau1[#All],9,FALSE))</f>
        <v/>
      </c>
      <c r="J6" s="13" t="str">
        <f>IF(Tableau1345678[[#This Row],[Repère]]="","",VLOOKUP(Tableau1345678[[#This Row],[Repère]],Tableau1[#All],10,FALSE))</f>
        <v/>
      </c>
      <c r="K6" s="13" t="str">
        <f>IF(Tableau1345678[[#This Row],[Repère]]="","",VLOOKUP(Tableau1345678[[#This Row],[Repère]],Tableau1[#All],11,FALSE))</f>
        <v/>
      </c>
      <c r="L6" s="14" t="str">
        <f>IF(Tableau1345678[[#This Row],[Repère]]="","",VLOOKUP(Tableau1345678[[#This Row],[Repère]],Tableau1[#All],12,FALSE))</f>
        <v/>
      </c>
    </row>
    <row r="7" spans="1:12" x14ac:dyDescent="0.3">
      <c r="A7" s="18"/>
      <c r="B7" s="19"/>
      <c r="C7" s="13" t="str">
        <f>IF(Tableau1345678[[#This Row],[Repère]]="","",VLOOKUP(Tableau1345678[[#This Row],[Repère]],Tableau1[#All],3,FALSE))</f>
        <v/>
      </c>
      <c r="D7" s="13" t="str">
        <f>IF(Tableau1345678[[#This Row],[Repère]]="","",VLOOKUP(Tableau1345678[[#This Row],[Repère]],Tableau1[#All],4,FALSE))</f>
        <v/>
      </c>
      <c r="E7" s="13" t="str">
        <f>IF(Tableau1345678[[#This Row],[Repère]]="","",VLOOKUP(Tableau1345678[[#This Row],[Repère]],Tableau1[#All],5,FALSE))</f>
        <v/>
      </c>
      <c r="F7" s="13" t="str">
        <f>IF(Tableau1345678[[#This Row],[Repère]]="","",VLOOKUP(Tableau1345678[[#This Row],[Repère]],Tableau1[#All],6,FALSE))</f>
        <v/>
      </c>
      <c r="G7" s="13" t="str">
        <f>IF(Tableau1345678[[#This Row],[Repère]]="","",VLOOKUP(Tableau1345678[[#This Row],[Repère]],Tableau1[#All],7,FALSE))</f>
        <v/>
      </c>
      <c r="H7" s="13" t="str">
        <f>IF(Tableau1345678[[#This Row],[Repère]]="","",VLOOKUP(Tableau1345678[[#This Row],[Repère]],Tableau1[#All],8,FALSE))</f>
        <v/>
      </c>
      <c r="I7" s="13" t="str">
        <f>IF(Tableau1345678[[#This Row],[Repère]]="","",VLOOKUP(Tableau1345678[[#This Row],[Repère]],Tableau1[#All],9,FALSE))</f>
        <v/>
      </c>
      <c r="J7" s="13" t="str">
        <f>IF(Tableau1345678[[#This Row],[Repère]]="","",VLOOKUP(Tableau1345678[[#This Row],[Repère]],Tableau1[#All],10,FALSE))</f>
        <v/>
      </c>
      <c r="K7" s="13" t="str">
        <f>IF(Tableau1345678[[#This Row],[Repère]]="","",VLOOKUP(Tableau1345678[[#This Row],[Repère]],Tableau1[#All],11,FALSE))</f>
        <v/>
      </c>
      <c r="L7" s="14" t="str">
        <f>IF(Tableau1345678[[#This Row],[Repère]]="","",VLOOKUP(Tableau1345678[[#This Row],[Repère]],Tableau1[#All],12,FALSE))</f>
        <v/>
      </c>
    </row>
    <row r="8" spans="1:12" x14ac:dyDescent="0.3">
      <c r="A8" s="18"/>
      <c r="B8" s="19"/>
      <c r="C8" s="13" t="str">
        <f>IF(Tableau1345678[[#This Row],[Repère]]="","",VLOOKUP(Tableau1345678[[#This Row],[Repère]],Tableau1[#All],3,FALSE))</f>
        <v/>
      </c>
      <c r="D8" s="13" t="str">
        <f>IF(Tableau1345678[[#This Row],[Repère]]="","",VLOOKUP(Tableau1345678[[#This Row],[Repère]],Tableau1[#All],4,FALSE))</f>
        <v/>
      </c>
      <c r="E8" s="13" t="str">
        <f>IF(Tableau1345678[[#This Row],[Repère]]="","",VLOOKUP(Tableau1345678[[#This Row],[Repère]],Tableau1[#All],5,FALSE))</f>
        <v/>
      </c>
      <c r="F8" s="13" t="str">
        <f>IF(Tableau1345678[[#This Row],[Repère]]="","",VLOOKUP(Tableau1345678[[#This Row],[Repère]],Tableau1[#All],6,FALSE))</f>
        <v/>
      </c>
      <c r="G8" s="13" t="str">
        <f>IF(Tableau1345678[[#This Row],[Repère]]="","",VLOOKUP(Tableau1345678[[#This Row],[Repère]],Tableau1[#All],7,FALSE))</f>
        <v/>
      </c>
      <c r="H8" s="13" t="str">
        <f>IF(Tableau1345678[[#This Row],[Repère]]="","",VLOOKUP(Tableau1345678[[#This Row],[Repère]],Tableau1[#All],8,FALSE))</f>
        <v/>
      </c>
      <c r="I8" s="13" t="str">
        <f>IF(Tableau1345678[[#This Row],[Repère]]="","",VLOOKUP(Tableau1345678[[#This Row],[Repère]],Tableau1[#All],9,FALSE))</f>
        <v/>
      </c>
      <c r="J8" s="13" t="str">
        <f>IF(Tableau1345678[[#This Row],[Repère]]="","",VLOOKUP(Tableau1345678[[#This Row],[Repère]],Tableau1[#All],10,FALSE))</f>
        <v/>
      </c>
      <c r="K8" s="13" t="str">
        <f>IF(Tableau1345678[[#This Row],[Repère]]="","",VLOOKUP(Tableau1345678[[#This Row],[Repère]],Tableau1[#All],11,FALSE))</f>
        <v/>
      </c>
      <c r="L8" s="14" t="str">
        <f>IF(Tableau1345678[[#This Row],[Repère]]="","",VLOOKUP(Tableau1345678[[#This Row],[Repère]],Tableau1[#All],12,FALSE))</f>
        <v/>
      </c>
    </row>
    <row r="9" spans="1:12" x14ac:dyDescent="0.3">
      <c r="A9" s="18"/>
      <c r="B9" s="19"/>
      <c r="C9" s="13" t="str">
        <f>IF(Tableau1345678[[#This Row],[Repère]]="","",VLOOKUP(Tableau1345678[[#This Row],[Repère]],Tableau1[#All],3,FALSE))</f>
        <v/>
      </c>
      <c r="D9" s="13" t="str">
        <f>IF(Tableau1345678[[#This Row],[Repère]]="","",VLOOKUP(Tableau1345678[[#This Row],[Repère]],Tableau1[#All],4,FALSE))</f>
        <v/>
      </c>
      <c r="E9" s="13" t="str">
        <f>IF(Tableau1345678[[#This Row],[Repère]]="","",VLOOKUP(Tableau1345678[[#This Row],[Repère]],Tableau1[#All],5,FALSE))</f>
        <v/>
      </c>
      <c r="F9" s="13" t="str">
        <f>IF(Tableau1345678[[#This Row],[Repère]]="","",VLOOKUP(Tableau1345678[[#This Row],[Repère]],Tableau1[#All],6,FALSE))</f>
        <v/>
      </c>
      <c r="G9" s="13" t="str">
        <f>IF(Tableau1345678[[#This Row],[Repère]]="","",VLOOKUP(Tableau1345678[[#This Row],[Repère]],Tableau1[#All],7,FALSE))</f>
        <v/>
      </c>
      <c r="H9" s="13" t="str">
        <f>IF(Tableau1345678[[#This Row],[Repère]]="","",VLOOKUP(Tableau1345678[[#This Row],[Repère]],Tableau1[#All],8,FALSE))</f>
        <v/>
      </c>
      <c r="I9" s="13" t="str">
        <f>IF(Tableau1345678[[#This Row],[Repère]]="","",VLOOKUP(Tableau1345678[[#This Row],[Repère]],Tableau1[#All],9,FALSE))</f>
        <v/>
      </c>
      <c r="J9" s="13" t="str">
        <f>IF(Tableau1345678[[#This Row],[Repère]]="","",VLOOKUP(Tableau1345678[[#This Row],[Repère]],Tableau1[#All],10,FALSE))</f>
        <v/>
      </c>
      <c r="K9" s="13" t="str">
        <f>IF(Tableau1345678[[#This Row],[Repère]]="","",VLOOKUP(Tableau1345678[[#This Row],[Repère]],Tableau1[#All],11,FALSE))</f>
        <v/>
      </c>
      <c r="L9" s="14" t="str">
        <f>IF(Tableau1345678[[#This Row],[Repère]]="","",VLOOKUP(Tableau1345678[[#This Row],[Repère]],Tableau1[#All],12,FALSE))</f>
        <v/>
      </c>
    </row>
    <row r="10" spans="1:12" x14ac:dyDescent="0.3">
      <c r="A10" s="18"/>
      <c r="B10" s="19"/>
      <c r="C10" s="13" t="str">
        <f>IF(Tableau1345678[[#This Row],[Repère]]="","",VLOOKUP(Tableau1345678[[#This Row],[Repère]],Tableau1[#All],3,FALSE))</f>
        <v/>
      </c>
      <c r="D10" s="13" t="str">
        <f>IF(Tableau1345678[[#This Row],[Repère]]="","",VLOOKUP(Tableau1345678[[#This Row],[Repère]],Tableau1[#All],4,FALSE))</f>
        <v/>
      </c>
      <c r="E10" s="13" t="str">
        <f>IF(Tableau1345678[[#This Row],[Repère]]="","",VLOOKUP(Tableau1345678[[#This Row],[Repère]],Tableau1[#All],5,FALSE))</f>
        <v/>
      </c>
      <c r="F10" s="13" t="str">
        <f>IF(Tableau1345678[[#This Row],[Repère]]="","",VLOOKUP(Tableau1345678[[#This Row],[Repère]],Tableau1[#All],6,FALSE))</f>
        <v/>
      </c>
      <c r="G10" s="13" t="str">
        <f>IF(Tableau1345678[[#This Row],[Repère]]="","",VLOOKUP(Tableau1345678[[#This Row],[Repère]],Tableau1[#All],7,FALSE))</f>
        <v/>
      </c>
      <c r="H10" s="13" t="str">
        <f>IF(Tableau1345678[[#This Row],[Repère]]="","",VLOOKUP(Tableau1345678[[#This Row],[Repère]],Tableau1[#All],8,FALSE))</f>
        <v/>
      </c>
      <c r="I10" s="13" t="str">
        <f>IF(Tableau1345678[[#This Row],[Repère]]="","",VLOOKUP(Tableau1345678[[#This Row],[Repère]],Tableau1[#All],9,FALSE))</f>
        <v/>
      </c>
      <c r="J10" s="13" t="str">
        <f>IF(Tableau1345678[[#This Row],[Repère]]="","",VLOOKUP(Tableau1345678[[#This Row],[Repère]],Tableau1[#All],10,FALSE))</f>
        <v/>
      </c>
      <c r="K10" s="13" t="str">
        <f>IF(Tableau1345678[[#This Row],[Repère]]="","",VLOOKUP(Tableau1345678[[#This Row],[Repère]],Tableau1[#All],11,FALSE))</f>
        <v/>
      </c>
      <c r="L10" s="14" t="str">
        <f>IF(Tableau1345678[[#This Row],[Repère]]="","",VLOOKUP(Tableau1345678[[#This Row],[Repère]],Tableau1[#All],12,FALSE))</f>
        <v/>
      </c>
    </row>
    <row r="11" spans="1:12" x14ac:dyDescent="0.3">
      <c r="A11" s="18"/>
      <c r="B11" s="19"/>
      <c r="C11" s="13" t="str">
        <f>IF(Tableau1345678[[#This Row],[Repère]]="","",VLOOKUP(Tableau1345678[[#This Row],[Repère]],Tableau1[#All],3,FALSE))</f>
        <v/>
      </c>
      <c r="D11" s="13" t="str">
        <f>IF(Tableau1345678[[#This Row],[Repère]]="","",VLOOKUP(Tableau1345678[[#This Row],[Repère]],Tableau1[#All],4,FALSE))</f>
        <v/>
      </c>
      <c r="E11" s="13" t="str">
        <f>IF(Tableau1345678[[#This Row],[Repère]]="","",VLOOKUP(Tableau1345678[[#This Row],[Repère]],Tableau1[#All],5,FALSE))</f>
        <v/>
      </c>
      <c r="F11" s="13" t="str">
        <f>IF(Tableau1345678[[#This Row],[Repère]]="","",VLOOKUP(Tableau1345678[[#This Row],[Repère]],Tableau1[#All],6,FALSE))</f>
        <v/>
      </c>
      <c r="G11" s="13" t="str">
        <f>IF(Tableau1345678[[#This Row],[Repère]]="","",VLOOKUP(Tableau1345678[[#This Row],[Repère]],Tableau1[#All],7,FALSE))</f>
        <v/>
      </c>
      <c r="H11" s="13" t="str">
        <f>IF(Tableau1345678[[#This Row],[Repère]]="","",VLOOKUP(Tableau1345678[[#This Row],[Repère]],Tableau1[#All],8,FALSE))</f>
        <v/>
      </c>
      <c r="I11" s="13" t="str">
        <f>IF(Tableau1345678[[#This Row],[Repère]]="","",VLOOKUP(Tableau1345678[[#This Row],[Repère]],Tableau1[#All],9,FALSE))</f>
        <v/>
      </c>
      <c r="J11" s="13" t="str">
        <f>IF(Tableau1345678[[#This Row],[Repère]]="","",VLOOKUP(Tableau1345678[[#This Row],[Repère]],Tableau1[#All],10,FALSE))</f>
        <v/>
      </c>
      <c r="K11" s="13" t="str">
        <f>IF(Tableau1345678[[#This Row],[Repère]]="","",VLOOKUP(Tableau1345678[[#This Row],[Repère]],Tableau1[#All],11,FALSE))</f>
        <v/>
      </c>
      <c r="L11" s="14" t="str">
        <f>IF(Tableau1345678[[#This Row],[Repère]]="","",VLOOKUP(Tableau1345678[[#This Row],[Repère]],Tableau1[#All],12,FALSE))</f>
        <v/>
      </c>
    </row>
    <row r="12" spans="1:12" x14ac:dyDescent="0.3">
      <c r="A12" s="18"/>
      <c r="B12" s="19"/>
      <c r="C12" s="13" t="str">
        <f>IF(Tableau1345678[[#This Row],[Repère]]="","",VLOOKUP(Tableau1345678[[#This Row],[Repère]],Tableau1[#All],3,FALSE))</f>
        <v/>
      </c>
      <c r="D12" s="13" t="str">
        <f>IF(Tableau1345678[[#This Row],[Repère]]="","",VLOOKUP(Tableau1345678[[#This Row],[Repère]],Tableau1[#All],4,FALSE))</f>
        <v/>
      </c>
      <c r="E12" s="13" t="str">
        <f>IF(Tableau1345678[[#This Row],[Repère]]="","",VLOOKUP(Tableau1345678[[#This Row],[Repère]],Tableau1[#All],5,FALSE))</f>
        <v/>
      </c>
      <c r="F12" s="13" t="str">
        <f>IF(Tableau1345678[[#This Row],[Repère]]="","",VLOOKUP(Tableau1345678[[#This Row],[Repère]],Tableau1[#All],6,FALSE))</f>
        <v/>
      </c>
      <c r="G12" s="13" t="str">
        <f>IF(Tableau1345678[[#This Row],[Repère]]="","",VLOOKUP(Tableau1345678[[#This Row],[Repère]],Tableau1[#All],7,FALSE))</f>
        <v/>
      </c>
      <c r="H12" s="13" t="str">
        <f>IF(Tableau1345678[[#This Row],[Repère]]="","",VLOOKUP(Tableau1345678[[#This Row],[Repère]],Tableau1[#All],8,FALSE))</f>
        <v/>
      </c>
      <c r="I12" s="13" t="str">
        <f>IF(Tableau1345678[[#This Row],[Repère]]="","",VLOOKUP(Tableau1345678[[#This Row],[Repère]],Tableau1[#All],9,FALSE))</f>
        <v/>
      </c>
      <c r="J12" s="13" t="str">
        <f>IF(Tableau1345678[[#This Row],[Repère]]="","",VLOOKUP(Tableau1345678[[#This Row],[Repère]],Tableau1[#All],10,FALSE))</f>
        <v/>
      </c>
      <c r="K12" s="13" t="str">
        <f>IF(Tableau1345678[[#This Row],[Repère]]="","",VLOOKUP(Tableau1345678[[#This Row],[Repère]],Tableau1[#All],11,FALSE))</f>
        <v/>
      </c>
      <c r="L12" s="14" t="str">
        <f>IF(Tableau1345678[[#This Row],[Repère]]="","",VLOOKUP(Tableau1345678[[#This Row],[Repère]],Tableau1[#All],12,FALSE))</f>
        <v/>
      </c>
    </row>
    <row r="13" spans="1:12" x14ac:dyDescent="0.3">
      <c r="A13" s="18"/>
      <c r="B13" s="19"/>
      <c r="C13" s="13" t="str">
        <f>IF(Tableau1345678[[#This Row],[Repère]]="","",VLOOKUP(Tableau1345678[[#This Row],[Repère]],Tableau1[#All],3,FALSE))</f>
        <v/>
      </c>
      <c r="D13" s="13" t="str">
        <f>IF(Tableau1345678[[#This Row],[Repère]]="","",VLOOKUP(Tableau1345678[[#This Row],[Repère]],Tableau1[#All],4,FALSE))</f>
        <v/>
      </c>
      <c r="E13" s="13" t="str">
        <f>IF(Tableau1345678[[#This Row],[Repère]]="","",VLOOKUP(Tableau1345678[[#This Row],[Repère]],Tableau1[#All],5,FALSE))</f>
        <v/>
      </c>
      <c r="F13" s="13" t="str">
        <f>IF(Tableau1345678[[#This Row],[Repère]]="","",VLOOKUP(Tableau1345678[[#This Row],[Repère]],Tableau1[#All],6,FALSE))</f>
        <v/>
      </c>
      <c r="G13" s="13" t="str">
        <f>IF(Tableau1345678[[#This Row],[Repère]]="","",VLOOKUP(Tableau1345678[[#This Row],[Repère]],Tableau1[#All],7,FALSE))</f>
        <v/>
      </c>
      <c r="H13" s="13" t="str">
        <f>IF(Tableau1345678[[#This Row],[Repère]]="","",VLOOKUP(Tableau1345678[[#This Row],[Repère]],Tableau1[#All],8,FALSE))</f>
        <v/>
      </c>
      <c r="I13" s="13" t="str">
        <f>IF(Tableau1345678[[#This Row],[Repère]]="","",VLOOKUP(Tableau1345678[[#This Row],[Repère]],Tableau1[#All],9,FALSE))</f>
        <v/>
      </c>
      <c r="J13" s="13" t="str">
        <f>IF(Tableau1345678[[#This Row],[Repère]]="","",VLOOKUP(Tableau1345678[[#This Row],[Repère]],Tableau1[#All],10,FALSE))</f>
        <v/>
      </c>
      <c r="K13" s="13" t="str">
        <f>IF(Tableau1345678[[#This Row],[Repère]]="","",VLOOKUP(Tableau1345678[[#This Row],[Repère]],Tableau1[#All],11,FALSE))</f>
        <v/>
      </c>
      <c r="L13" s="14" t="str">
        <f>IF(Tableau1345678[[#This Row],[Repère]]="","",VLOOKUP(Tableau1345678[[#This Row],[Repère]],Tableau1[#All],12,FALSE))</f>
        <v/>
      </c>
    </row>
    <row r="14" spans="1:12" x14ac:dyDescent="0.3">
      <c r="A14" s="18"/>
      <c r="B14" s="19"/>
      <c r="C14" s="13" t="str">
        <f>IF(Tableau1345678[[#This Row],[Repère]]="","",VLOOKUP(Tableau1345678[[#This Row],[Repère]],Tableau1[#All],3,FALSE))</f>
        <v/>
      </c>
      <c r="D14" s="13" t="str">
        <f>IF(Tableau1345678[[#This Row],[Repère]]="","",VLOOKUP(Tableau1345678[[#This Row],[Repère]],Tableau1[#All],4,FALSE))</f>
        <v/>
      </c>
      <c r="E14" s="13" t="str">
        <f>IF(Tableau1345678[[#This Row],[Repère]]="","",VLOOKUP(Tableau1345678[[#This Row],[Repère]],Tableau1[#All],5,FALSE))</f>
        <v/>
      </c>
      <c r="F14" s="13" t="str">
        <f>IF(Tableau1345678[[#This Row],[Repère]]="","",VLOOKUP(Tableau1345678[[#This Row],[Repère]],Tableau1[#All],6,FALSE))</f>
        <v/>
      </c>
      <c r="G14" s="13" t="str">
        <f>IF(Tableau1345678[[#This Row],[Repère]]="","",VLOOKUP(Tableau1345678[[#This Row],[Repère]],Tableau1[#All],7,FALSE))</f>
        <v/>
      </c>
      <c r="H14" s="13" t="str">
        <f>IF(Tableau1345678[[#This Row],[Repère]]="","",VLOOKUP(Tableau1345678[[#This Row],[Repère]],Tableau1[#All],8,FALSE))</f>
        <v/>
      </c>
      <c r="I14" s="13" t="str">
        <f>IF(Tableau1345678[[#This Row],[Repère]]="","",VLOOKUP(Tableau1345678[[#This Row],[Repère]],Tableau1[#All],9,FALSE))</f>
        <v/>
      </c>
      <c r="J14" s="13" t="str">
        <f>IF(Tableau1345678[[#This Row],[Repère]]="","",VLOOKUP(Tableau1345678[[#This Row],[Repère]],Tableau1[#All],10,FALSE))</f>
        <v/>
      </c>
      <c r="K14" s="13" t="str">
        <f>IF(Tableau1345678[[#This Row],[Repère]]="","",VLOOKUP(Tableau1345678[[#This Row],[Repère]],Tableau1[#All],11,FALSE))</f>
        <v/>
      </c>
      <c r="L14" s="14" t="str">
        <f>IF(Tableau1345678[[#This Row],[Repère]]="","",VLOOKUP(Tableau1345678[[#This Row],[Repère]],Tableau1[#All],12,FALSE))</f>
        <v/>
      </c>
    </row>
    <row r="15" spans="1:12" x14ac:dyDescent="0.3">
      <c r="A15" s="18"/>
      <c r="B15" s="19"/>
      <c r="C15" s="13" t="str">
        <f>IF(Tableau1345678[[#This Row],[Repère]]="","",VLOOKUP(Tableau1345678[[#This Row],[Repère]],Tableau1[#All],3,FALSE))</f>
        <v/>
      </c>
      <c r="D15" s="13" t="str">
        <f>IF(Tableau1345678[[#This Row],[Repère]]="","",VLOOKUP(Tableau1345678[[#This Row],[Repère]],Tableau1[#All],4,FALSE))</f>
        <v/>
      </c>
      <c r="E15" s="13" t="str">
        <f>IF(Tableau1345678[[#This Row],[Repère]]="","",VLOOKUP(Tableau1345678[[#This Row],[Repère]],Tableau1[#All],5,FALSE))</f>
        <v/>
      </c>
      <c r="F15" s="13" t="str">
        <f>IF(Tableau1345678[[#This Row],[Repère]]="","",VLOOKUP(Tableau1345678[[#This Row],[Repère]],Tableau1[#All],6,FALSE))</f>
        <v/>
      </c>
      <c r="G15" s="13" t="str">
        <f>IF(Tableau1345678[[#This Row],[Repère]]="","",VLOOKUP(Tableau1345678[[#This Row],[Repère]],Tableau1[#All],7,FALSE))</f>
        <v/>
      </c>
      <c r="H15" s="13" t="str">
        <f>IF(Tableau1345678[[#This Row],[Repère]]="","",VLOOKUP(Tableau1345678[[#This Row],[Repère]],Tableau1[#All],8,FALSE))</f>
        <v/>
      </c>
      <c r="I15" s="13" t="str">
        <f>IF(Tableau1345678[[#This Row],[Repère]]="","",VLOOKUP(Tableau1345678[[#This Row],[Repère]],Tableau1[#All],9,FALSE))</f>
        <v/>
      </c>
      <c r="J15" s="13" t="str">
        <f>IF(Tableau1345678[[#This Row],[Repère]]="","",VLOOKUP(Tableau1345678[[#This Row],[Repère]],Tableau1[#All],10,FALSE))</f>
        <v/>
      </c>
      <c r="K15" s="13" t="str">
        <f>IF(Tableau1345678[[#This Row],[Repère]]="","",VLOOKUP(Tableau1345678[[#This Row],[Repère]],Tableau1[#All],11,FALSE))</f>
        <v/>
      </c>
      <c r="L15" s="14" t="str">
        <f>IF(Tableau1345678[[#This Row],[Repère]]="","",VLOOKUP(Tableau1345678[[#This Row],[Repère]],Tableau1[#All],12,FALSE))</f>
        <v/>
      </c>
    </row>
    <row r="16" spans="1:12" x14ac:dyDescent="0.3">
      <c r="A16" s="18"/>
      <c r="B16" s="19"/>
      <c r="C16" s="13" t="str">
        <f>IF(Tableau1345678[[#This Row],[Repère]]="","",VLOOKUP(Tableau1345678[[#This Row],[Repère]],Tableau1[#All],3,FALSE))</f>
        <v/>
      </c>
      <c r="D16" s="13" t="str">
        <f>IF(Tableau1345678[[#This Row],[Repère]]="","",VLOOKUP(Tableau1345678[[#This Row],[Repère]],Tableau1[#All],4,FALSE))</f>
        <v/>
      </c>
      <c r="E16" s="13" t="str">
        <f>IF(Tableau1345678[[#This Row],[Repère]]="","",VLOOKUP(Tableau1345678[[#This Row],[Repère]],Tableau1[#All],5,FALSE))</f>
        <v/>
      </c>
      <c r="F16" s="13" t="str">
        <f>IF(Tableau1345678[[#This Row],[Repère]]="","",VLOOKUP(Tableau1345678[[#This Row],[Repère]],Tableau1[#All],6,FALSE))</f>
        <v/>
      </c>
      <c r="G16" s="13" t="str">
        <f>IF(Tableau1345678[[#This Row],[Repère]]="","",VLOOKUP(Tableau1345678[[#This Row],[Repère]],Tableau1[#All],7,FALSE))</f>
        <v/>
      </c>
      <c r="H16" s="13" t="str">
        <f>IF(Tableau1345678[[#This Row],[Repère]]="","",VLOOKUP(Tableau1345678[[#This Row],[Repère]],Tableau1[#All],8,FALSE))</f>
        <v/>
      </c>
      <c r="I16" s="13" t="str">
        <f>IF(Tableau1345678[[#This Row],[Repère]]="","",VLOOKUP(Tableau1345678[[#This Row],[Repère]],Tableau1[#All],9,FALSE))</f>
        <v/>
      </c>
      <c r="J16" s="13" t="str">
        <f>IF(Tableau1345678[[#This Row],[Repère]]="","",VLOOKUP(Tableau1345678[[#This Row],[Repère]],Tableau1[#All],10,FALSE))</f>
        <v/>
      </c>
      <c r="K16" s="13" t="str">
        <f>IF(Tableau1345678[[#This Row],[Repère]]="","",VLOOKUP(Tableau1345678[[#This Row],[Repère]],Tableau1[#All],11,FALSE))</f>
        <v/>
      </c>
      <c r="L16" s="14" t="str">
        <f>IF(Tableau1345678[[#This Row],[Repère]]="","",VLOOKUP(Tableau1345678[[#This Row],[Repère]],Tableau1[#All],12,FALSE))</f>
        <v/>
      </c>
    </row>
    <row r="17" spans="1:12" x14ac:dyDescent="0.3">
      <c r="A17" s="18"/>
      <c r="B17" s="19"/>
      <c r="C17" s="13" t="str">
        <f>IF(Tableau1345678[[#This Row],[Repère]]="","",VLOOKUP(Tableau1345678[[#This Row],[Repère]],Tableau1[#All],3,FALSE))</f>
        <v/>
      </c>
      <c r="D17" s="13" t="str">
        <f>IF(Tableau1345678[[#This Row],[Repère]]="","",VLOOKUP(Tableau1345678[[#This Row],[Repère]],Tableau1[#All],4,FALSE))</f>
        <v/>
      </c>
      <c r="E17" s="13" t="str">
        <f>IF(Tableau1345678[[#This Row],[Repère]]="","",VLOOKUP(Tableau1345678[[#This Row],[Repère]],Tableau1[#All],5,FALSE))</f>
        <v/>
      </c>
      <c r="F17" s="13" t="str">
        <f>IF(Tableau1345678[[#This Row],[Repère]]="","",VLOOKUP(Tableau1345678[[#This Row],[Repère]],Tableau1[#All],6,FALSE))</f>
        <v/>
      </c>
      <c r="G17" s="13" t="str">
        <f>IF(Tableau1345678[[#This Row],[Repère]]="","",VLOOKUP(Tableau1345678[[#This Row],[Repère]],Tableau1[#All],7,FALSE))</f>
        <v/>
      </c>
      <c r="H17" s="13" t="str">
        <f>IF(Tableau1345678[[#This Row],[Repère]]="","",VLOOKUP(Tableau1345678[[#This Row],[Repère]],Tableau1[#All],8,FALSE))</f>
        <v/>
      </c>
      <c r="I17" s="13" t="str">
        <f>IF(Tableau1345678[[#This Row],[Repère]]="","",VLOOKUP(Tableau1345678[[#This Row],[Repère]],Tableau1[#All],9,FALSE))</f>
        <v/>
      </c>
      <c r="J17" s="13" t="str">
        <f>IF(Tableau1345678[[#This Row],[Repère]]="","",VLOOKUP(Tableau1345678[[#This Row],[Repère]],Tableau1[#All],10,FALSE))</f>
        <v/>
      </c>
      <c r="K17" s="13" t="str">
        <f>IF(Tableau1345678[[#This Row],[Repère]]="","",VLOOKUP(Tableau1345678[[#This Row],[Repère]],Tableau1[#All],11,FALSE))</f>
        <v/>
      </c>
      <c r="L17" s="14" t="str">
        <f>IF(Tableau1345678[[#This Row],[Repère]]="","",VLOOKUP(Tableau1345678[[#This Row],[Repère]],Tableau1[#All],12,FALSE))</f>
        <v/>
      </c>
    </row>
    <row r="18" spans="1:12" x14ac:dyDescent="0.3">
      <c r="A18" s="18"/>
      <c r="B18" s="19"/>
      <c r="C18" s="13" t="str">
        <f>IF(Tableau1345678[[#This Row],[Repère]]="","",VLOOKUP(Tableau1345678[[#This Row],[Repère]],Tableau1[#All],3,FALSE))</f>
        <v/>
      </c>
      <c r="D18" s="13" t="str">
        <f>IF(Tableau1345678[[#This Row],[Repère]]="","",VLOOKUP(Tableau1345678[[#This Row],[Repère]],Tableau1[#All],4,FALSE))</f>
        <v/>
      </c>
      <c r="E18" s="13" t="str">
        <f>IF(Tableau1345678[[#This Row],[Repère]]="","",VLOOKUP(Tableau1345678[[#This Row],[Repère]],Tableau1[#All],5,FALSE))</f>
        <v/>
      </c>
      <c r="F18" s="13" t="str">
        <f>IF(Tableau1345678[[#This Row],[Repère]]="","",VLOOKUP(Tableau1345678[[#This Row],[Repère]],Tableau1[#All],6,FALSE))</f>
        <v/>
      </c>
      <c r="G18" s="13" t="str">
        <f>IF(Tableau1345678[[#This Row],[Repère]]="","",VLOOKUP(Tableau1345678[[#This Row],[Repère]],Tableau1[#All],7,FALSE))</f>
        <v/>
      </c>
      <c r="H18" s="13" t="str">
        <f>IF(Tableau1345678[[#This Row],[Repère]]="","",VLOOKUP(Tableau1345678[[#This Row],[Repère]],Tableau1[#All],8,FALSE))</f>
        <v/>
      </c>
      <c r="I18" s="13" t="str">
        <f>IF(Tableau1345678[[#This Row],[Repère]]="","",VLOOKUP(Tableau1345678[[#This Row],[Repère]],Tableau1[#All],9,FALSE))</f>
        <v/>
      </c>
      <c r="J18" s="13" t="str">
        <f>IF(Tableau1345678[[#This Row],[Repère]]="","",VLOOKUP(Tableau1345678[[#This Row],[Repère]],Tableau1[#All],10,FALSE))</f>
        <v/>
      </c>
      <c r="K18" s="13" t="str">
        <f>IF(Tableau1345678[[#This Row],[Repère]]="","",VLOOKUP(Tableau1345678[[#This Row],[Repère]],Tableau1[#All],11,FALSE))</f>
        <v/>
      </c>
      <c r="L18" s="14" t="str">
        <f>IF(Tableau1345678[[#This Row],[Repère]]="","",VLOOKUP(Tableau1345678[[#This Row],[Repère]],Tableau1[#All],12,FALSE))</f>
        <v/>
      </c>
    </row>
    <row r="19" spans="1:12" x14ac:dyDescent="0.3">
      <c r="A19" s="18"/>
      <c r="B19" s="19"/>
      <c r="C19" s="13" t="str">
        <f>IF(Tableau1345678[[#This Row],[Repère]]="","",VLOOKUP(Tableau1345678[[#This Row],[Repère]],Tableau1[#All],3,FALSE))</f>
        <v/>
      </c>
      <c r="D19" s="13" t="str">
        <f>IF(Tableau1345678[[#This Row],[Repère]]="","",VLOOKUP(Tableau1345678[[#This Row],[Repère]],Tableau1[#All],4,FALSE))</f>
        <v/>
      </c>
      <c r="E19" s="13" t="str">
        <f>IF(Tableau1345678[[#This Row],[Repère]]="","",VLOOKUP(Tableau1345678[[#This Row],[Repère]],Tableau1[#All],5,FALSE))</f>
        <v/>
      </c>
      <c r="F19" s="13" t="str">
        <f>IF(Tableau1345678[[#This Row],[Repère]]="","",VLOOKUP(Tableau1345678[[#This Row],[Repère]],Tableau1[#All],6,FALSE))</f>
        <v/>
      </c>
      <c r="G19" s="13" t="str">
        <f>IF(Tableau1345678[[#This Row],[Repère]]="","",VLOOKUP(Tableau1345678[[#This Row],[Repère]],Tableau1[#All],7,FALSE))</f>
        <v/>
      </c>
      <c r="H19" s="13" t="str">
        <f>IF(Tableau1345678[[#This Row],[Repère]]="","",VLOOKUP(Tableau1345678[[#This Row],[Repère]],Tableau1[#All],8,FALSE))</f>
        <v/>
      </c>
      <c r="I19" s="13" t="str">
        <f>IF(Tableau1345678[[#This Row],[Repère]]="","",VLOOKUP(Tableau1345678[[#This Row],[Repère]],Tableau1[#All],9,FALSE))</f>
        <v/>
      </c>
      <c r="J19" s="13" t="str">
        <f>IF(Tableau1345678[[#This Row],[Repère]]="","",VLOOKUP(Tableau1345678[[#This Row],[Repère]],Tableau1[#All],10,FALSE))</f>
        <v/>
      </c>
      <c r="K19" s="13" t="str">
        <f>IF(Tableau1345678[[#This Row],[Repère]]="","",VLOOKUP(Tableau1345678[[#This Row],[Repère]],Tableau1[#All],11,FALSE))</f>
        <v/>
      </c>
      <c r="L19" s="14" t="str">
        <f>IF(Tableau1345678[[#This Row],[Repère]]="","",VLOOKUP(Tableau1345678[[#This Row],[Repère]],Tableau1[#All],12,FALSE))</f>
        <v/>
      </c>
    </row>
    <row r="20" spans="1:12" x14ac:dyDescent="0.3">
      <c r="A20" s="18"/>
      <c r="B20" s="19"/>
      <c r="C20" s="13" t="str">
        <f>IF(Tableau1345678[[#This Row],[Repère]]="","",VLOOKUP(Tableau1345678[[#This Row],[Repère]],Tableau1[#All],3,FALSE))</f>
        <v/>
      </c>
      <c r="D20" s="13" t="str">
        <f>IF(Tableau1345678[[#This Row],[Repère]]="","",VLOOKUP(Tableau1345678[[#This Row],[Repère]],Tableau1[#All],4,FALSE))</f>
        <v/>
      </c>
      <c r="E20" s="13" t="str">
        <f>IF(Tableau1345678[[#This Row],[Repère]]="","",VLOOKUP(Tableau1345678[[#This Row],[Repère]],Tableau1[#All],5,FALSE))</f>
        <v/>
      </c>
      <c r="F20" s="13" t="str">
        <f>IF(Tableau1345678[[#This Row],[Repère]]="","",VLOOKUP(Tableau1345678[[#This Row],[Repère]],Tableau1[#All],6,FALSE))</f>
        <v/>
      </c>
      <c r="G20" s="13" t="str">
        <f>IF(Tableau1345678[[#This Row],[Repère]]="","",VLOOKUP(Tableau1345678[[#This Row],[Repère]],Tableau1[#All],7,FALSE))</f>
        <v/>
      </c>
      <c r="H20" s="13" t="str">
        <f>IF(Tableau1345678[[#This Row],[Repère]]="","",VLOOKUP(Tableau1345678[[#This Row],[Repère]],Tableau1[#All],8,FALSE))</f>
        <v/>
      </c>
      <c r="I20" s="13" t="str">
        <f>IF(Tableau1345678[[#This Row],[Repère]]="","",VLOOKUP(Tableau1345678[[#This Row],[Repère]],Tableau1[#All],9,FALSE))</f>
        <v/>
      </c>
      <c r="J20" s="13" t="str">
        <f>IF(Tableau1345678[[#This Row],[Repère]]="","",VLOOKUP(Tableau1345678[[#This Row],[Repère]],Tableau1[#All],10,FALSE))</f>
        <v/>
      </c>
      <c r="K20" s="13" t="str">
        <f>IF(Tableau1345678[[#This Row],[Repère]]="","",VLOOKUP(Tableau1345678[[#This Row],[Repère]],Tableau1[#All],11,FALSE))</f>
        <v/>
      </c>
      <c r="L20" s="14" t="str">
        <f>IF(Tableau1345678[[#This Row],[Repère]]="","",VLOOKUP(Tableau1345678[[#This Row],[Repère]],Tableau1[#All],12,FALSE))</f>
        <v/>
      </c>
    </row>
    <row r="21" spans="1:12" x14ac:dyDescent="0.3">
      <c r="A21" s="18"/>
      <c r="B21" s="19"/>
      <c r="C21" s="13" t="str">
        <f>IF(Tableau1345678[[#This Row],[Repère]]="","",VLOOKUP(Tableau1345678[[#This Row],[Repère]],Tableau1[#All],3,FALSE))</f>
        <v/>
      </c>
      <c r="D21" s="13" t="str">
        <f>IF(Tableau1345678[[#This Row],[Repère]]="","",VLOOKUP(Tableau1345678[[#This Row],[Repère]],Tableau1[#All],4,FALSE))</f>
        <v/>
      </c>
      <c r="E21" s="13" t="str">
        <f>IF(Tableau1345678[[#This Row],[Repère]]="","",VLOOKUP(Tableau1345678[[#This Row],[Repère]],Tableau1[#All],5,FALSE))</f>
        <v/>
      </c>
      <c r="F21" s="13" t="str">
        <f>IF(Tableau1345678[[#This Row],[Repère]]="","",VLOOKUP(Tableau1345678[[#This Row],[Repère]],Tableau1[#All],6,FALSE))</f>
        <v/>
      </c>
      <c r="G21" s="13" t="str">
        <f>IF(Tableau1345678[[#This Row],[Repère]]="","",VLOOKUP(Tableau1345678[[#This Row],[Repère]],Tableau1[#All],7,FALSE))</f>
        <v/>
      </c>
      <c r="H21" s="13" t="str">
        <f>IF(Tableau1345678[[#This Row],[Repère]]="","",VLOOKUP(Tableau1345678[[#This Row],[Repère]],Tableau1[#All],8,FALSE))</f>
        <v/>
      </c>
      <c r="I21" s="13" t="str">
        <f>IF(Tableau1345678[[#This Row],[Repère]]="","",VLOOKUP(Tableau1345678[[#This Row],[Repère]],Tableau1[#All],9,FALSE))</f>
        <v/>
      </c>
      <c r="J21" s="13" t="str">
        <f>IF(Tableau1345678[[#This Row],[Repère]]="","",VLOOKUP(Tableau1345678[[#This Row],[Repère]],Tableau1[#All],10,FALSE))</f>
        <v/>
      </c>
      <c r="K21" s="13" t="str">
        <f>IF(Tableau1345678[[#This Row],[Repère]]="","",VLOOKUP(Tableau1345678[[#This Row],[Repère]],Tableau1[#All],11,FALSE))</f>
        <v/>
      </c>
      <c r="L21" s="14" t="str">
        <f>IF(Tableau1345678[[#This Row],[Repère]]="","",VLOOKUP(Tableau1345678[[#This Row],[Repère]],Tableau1[#All],12,FALSE))</f>
        <v/>
      </c>
    </row>
    <row r="22" spans="1:12" x14ac:dyDescent="0.3">
      <c r="A22" s="18"/>
      <c r="B22" s="19"/>
      <c r="C22" s="13" t="str">
        <f>IF(Tableau1345678[[#This Row],[Repère]]="","",VLOOKUP(Tableau1345678[[#This Row],[Repère]],Tableau1[#All],3,FALSE))</f>
        <v/>
      </c>
      <c r="D22" s="13" t="str">
        <f>IF(Tableau1345678[[#This Row],[Repère]]="","",VLOOKUP(Tableau1345678[[#This Row],[Repère]],Tableau1[#All],4,FALSE))</f>
        <v/>
      </c>
      <c r="E22" s="13" t="str">
        <f>IF(Tableau1345678[[#This Row],[Repère]]="","",VLOOKUP(Tableau1345678[[#This Row],[Repère]],Tableau1[#All],5,FALSE))</f>
        <v/>
      </c>
      <c r="F22" s="13" t="str">
        <f>IF(Tableau1345678[[#This Row],[Repère]]="","",VLOOKUP(Tableau1345678[[#This Row],[Repère]],Tableau1[#All],6,FALSE))</f>
        <v/>
      </c>
      <c r="G22" s="13" t="str">
        <f>IF(Tableau1345678[[#This Row],[Repère]]="","",VLOOKUP(Tableau1345678[[#This Row],[Repère]],Tableau1[#All],7,FALSE))</f>
        <v/>
      </c>
      <c r="H22" s="13" t="str">
        <f>IF(Tableau1345678[[#This Row],[Repère]]="","",VLOOKUP(Tableau1345678[[#This Row],[Repère]],Tableau1[#All],8,FALSE))</f>
        <v/>
      </c>
      <c r="I22" s="13" t="str">
        <f>IF(Tableau1345678[[#This Row],[Repère]]="","",VLOOKUP(Tableau1345678[[#This Row],[Repère]],Tableau1[#All],9,FALSE))</f>
        <v/>
      </c>
      <c r="J22" s="13" t="str">
        <f>IF(Tableau1345678[[#This Row],[Repère]]="","",VLOOKUP(Tableau1345678[[#This Row],[Repère]],Tableau1[#All],10,FALSE))</f>
        <v/>
      </c>
      <c r="K22" s="13" t="str">
        <f>IF(Tableau1345678[[#This Row],[Repère]]="","",VLOOKUP(Tableau1345678[[#This Row],[Repère]],Tableau1[#All],11,FALSE))</f>
        <v/>
      </c>
      <c r="L22" s="14" t="str">
        <f>IF(Tableau1345678[[#This Row],[Repère]]="","",VLOOKUP(Tableau1345678[[#This Row],[Repère]],Tableau1[#All],12,FALSE))</f>
        <v/>
      </c>
    </row>
    <row r="23" spans="1:12" x14ac:dyDescent="0.3">
      <c r="A23" s="18"/>
      <c r="B23" s="19"/>
      <c r="C23" s="13" t="str">
        <f>IF(Tableau1345678[[#This Row],[Repère]]="","",VLOOKUP(Tableau1345678[[#This Row],[Repère]],Tableau1[#All],3,FALSE))</f>
        <v/>
      </c>
      <c r="D23" s="13" t="str">
        <f>IF(Tableau1345678[[#This Row],[Repère]]="","",VLOOKUP(Tableau1345678[[#This Row],[Repère]],Tableau1[#All],4,FALSE))</f>
        <v/>
      </c>
      <c r="E23" s="13" t="str">
        <f>IF(Tableau1345678[[#This Row],[Repère]]="","",VLOOKUP(Tableau1345678[[#This Row],[Repère]],Tableau1[#All],5,FALSE))</f>
        <v/>
      </c>
      <c r="F23" s="13" t="str">
        <f>IF(Tableau1345678[[#This Row],[Repère]]="","",VLOOKUP(Tableau1345678[[#This Row],[Repère]],Tableau1[#All],6,FALSE))</f>
        <v/>
      </c>
      <c r="G23" s="13" t="str">
        <f>IF(Tableau1345678[[#This Row],[Repère]]="","",VLOOKUP(Tableau1345678[[#This Row],[Repère]],Tableau1[#All],7,FALSE))</f>
        <v/>
      </c>
      <c r="H23" s="13" t="str">
        <f>IF(Tableau1345678[[#This Row],[Repère]]="","",VLOOKUP(Tableau1345678[[#This Row],[Repère]],Tableau1[#All],8,FALSE))</f>
        <v/>
      </c>
      <c r="I23" s="13" t="str">
        <f>IF(Tableau1345678[[#This Row],[Repère]]="","",VLOOKUP(Tableau1345678[[#This Row],[Repère]],Tableau1[#All],9,FALSE))</f>
        <v/>
      </c>
      <c r="J23" s="13" t="str">
        <f>IF(Tableau1345678[[#This Row],[Repère]]="","",VLOOKUP(Tableau1345678[[#This Row],[Repère]],Tableau1[#All],10,FALSE))</f>
        <v/>
      </c>
      <c r="K23" s="13" t="str">
        <f>IF(Tableau1345678[[#This Row],[Repère]]="","",VLOOKUP(Tableau1345678[[#This Row],[Repère]],Tableau1[#All],11,FALSE))</f>
        <v/>
      </c>
      <c r="L23" s="14" t="str">
        <f>IF(Tableau1345678[[#This Row],[Repère]]="","",VLOOKUP(Tableau1345678[[#This Row],[Repère]],Tableau1[#All],12,FALSE))</f>
        <v/>
      </c>
    </row>
    <row r="24" spans="1:12" x14ac:dyDescent="0.3">
      <c r="A24" s="18"/>
      <c r="B24" s="19"/>
      <c r="C24" s="13" t="str">
        <f>IF(Tableau1345678[[#This Row],[Repère]]="","",VLOOKUP(Tableau1345678[[#This Row],[Repère]],Tableau1[#All],3,FALSE))</f>
        <v/>
      </c>
      <c r="D24" s="13" t="str">
        <f>IF(Tableau1345678[[#This Row],[Repère]]="","",VLOOKUP(Tableau1345678[[#This Row],[Repère]],Tableau1[#All],4,FALSE))</f>
        <v/>
      </c>
      <c r="E24" s="13" t="str">
        <f>IF(Tableau1345678[[#This Row],[Repère]]="","",VLOOKUP(Tableau1345678[[#This Row],[Repère]],Tableau1[#All],5,FALSE))</f>
        <v/>
      </c>
      <c r="F24" s="13" t="str">
        <f>IF(Tableau1345678[[#This Row],[Repère]]="","",VLOOKUP(Tableau1345678[[#This Row],[Repère]],Tableau1[#All],6,FALSE))</f>
        <v/>
      </c>
      <c r="G24" s="13" t="str">
        <f>IF(Tableau1345678[[#This Row],[Repère]]="","",VLOOKUP(Tableau1345678[[#This Row],[Repère]],Tableau1[#All],7,FALSE))</f>
        <v/>
      </c>
      <c r="H24" s="13" t="str">
        <f>IF(Tableau1345678[[#This Row],[Repère]]="","",VLOOKUP(Tableau1345678[[#This Row],[Repère]],Tableau1[#All],8,FALSE))</f>
        <v/>
      </c>
      <c r="I24" s="13" t="str">
        <f>IF(Tableau1345678[[#This Row],[Repère]]="","",VLOOKUP(Tableau1345678[[#This Row],[Repère]],Tableau1[#All],9,FALSE))</f>
        <v/>
      </c>
      <c r="J24" s="13" t="str">
        <f>IF(Tableau1345678[[#This Row],[Repère]]="","",VLOOKUP(Tableau1345678[[#This Row],[Repère]],Tableau1[#All],10,FALSE))</f>
        <v/>
      </c>
      <c r="K24" s="13" t="str">
        <f>IF(Tableau1345678[[#This Row],[Repère]]="","",VLOOKUP(Tableau1345678[[#This Row],[Repère]],Tableau1[#All],11,FALSE))</f>
        <v/>
      </c>
      <c r="L24" s="14" t="str">
        <f>IF(Tableau1345678[[#This Row],[Repère]]="","",VLOOKUP(Tableau1345678[[#This Row],[Repère]],Tableau1[#All],12,FALSE))</f>
        <v/>
      </c>
    </row>
    <row r="25" spans="1:12" x14ac:dyDescent="0.3">
      <c r="A25" s="18"/>
      <c r="B25" s="19"/>
      <c r="C25" s="13" t="str">
        <f>IF(Tableau1345678[[#This Row],[Repère]]="","",VLOOKUP(Tableau1345678[[#This Row],[Repère]],Tableau1[#All],3,FALSE))</f>
        <v/>
      </c>
      <c r="D25" s="13" t="str">
        <f>IF(Tableau1345678[[#This Row],[Repère]]="","",VLOOKUP(Tableau1345678[[#This Row],[Repère]],Tableau1[#All],4,FALSE))</f>
        <v/>
      </c>
      <c r="E25" s="13" t="str">
        <f>IF(Tableau1345678[[#This Row],[Repère]]="","",VLOOKUP(Tableau1345678[[#This Row],[Repère]],Tableau1[#All],5,FALSE))</f>
        <v/>
      </c>
      <c r="F25" s="13" t="str">
        <f>IF(Tableau1345678[[#This Row],[Repère]]="","",VLOOKUP(Tableau1345678[[#This Row],[Repère]],Tableau1[#All],6,FALSE))</f>
        <v/>
      </c>
      <c r="G25" s="13" t="str">
        <f>IF(Tableau1345678[[#This Row],[Repère]]="","",VLOOKUP(Tableau1345678[[#This Row],[Repère]],Tableau1[#All],7,FALSE))</f>
        <v/>
      </c>
      <c r="H25" s="13" t="str">
        <f>IF(Tableau1345678[[#This Row],[Repère]]="","",VLOOKUP(Tableau1345678[[#This Row],[Repère]],Tableau1[#All],8,FALSE))</f>
        <v/>
      </c>
      <c r="I25" s="13" t="str">
        <f>IF(Tableau1345678[[#This Row],[Repère]]="","",VLOOKUP(Tableau1345678[[#This Row],[Repère]],Tableau1[#All],9,FALSE))</f>
        <v/>
      </c>
      <c r="J25" s="13" t="str">
        <f>IF(Tableau1345678[[#This Row],[Repère]]="","",VLOOKUP(Tableau1345678[[#This Row],[Repère]],Tableau1[#All],10,FALSE))</f>
        <v/>
      </c>
      <c r="K25" s="13" t="str">
        <f>IF(Tableau1345678[[#This Row],[Repère]]="","",VLOOKUP(Tableau1345678[[#This Row],[Repère]],Tableau1[#All],11,FALSE))</f>
        <v/>
      </c>
      <c r="L25" s="14" t="str">
        <f>IF(Tableau1345678[[#This Row],[Repère]]="","",VLOOKUP(Tableau1345678[[#This Row],[Repère]],Tableau1[#All],12,FALSE))</f>
        <v/>
      </c>
    </row>
    <row r="26" spans="1:12" x14ac:dyDescent="0.3">
      <c r="A26" s="18"/>
      <c r="B26" s="19"/>
      <c r="C26" s="13" t="str">
        <f>IF(Tableau1345678[[#This Row],[Repère]]="","",VLOOKUP(Tableau1345678[[#This Row],[Repère]],Tableau1[#All],3,FALSE))</f>
        <v/>
      </c>
      <c r="D26" s="13" t="str">
        <f>IF(Tableau1345678[[#This Row],[Repère]]="","",VLOOKUP(Tableau1345678[[#This Row],[Repère]],Tableau1[#All],4,FALSE))</f>
        <v/>
      </c>
      <c r="E26" s="13" t="str">
        <f>IF(Tableau1345678[[#This Row],[Repère]]="","",VLOOKUP(Tableau1345678[[#This Row],[Repère]],Tableau1[#All],5,FALSE))</f>
        <v/>
      </c>
      <c r="F26" s="13" t="str">
        <f>IF(Tableau1345678[[#This Row],[Repère]]="","",VLOOKUP(Tableau1345678[[#This Row],[Repère]],Tableau1[#All],6,FALSE))</f>
        <v/>
      </c>
      <c r="G26" s="13" t="str">
        <f>IF(Tableau1345678[[#This Row],[Repère]]="","",VLOOKUP(Tableau1345678[[#This Row],[Repère]],Tableau1[#All],7,FALSE))</f>
        <v/>
      </c>
      <c r="H26" s="13" t="str">
        <f>IF(Tableau1345678[[#This Row],[Repère]]="","",VLOOKUP(Tableau1345678[[#This Row],[Repère]],Tableau1[#All],8,FALSE))</f>
        <v/>
      </c>
      <c r="I26" s="13" t="str">
        <f>IF(Tableau1345678[[#This Row],[Repère]]="","",VLOOKUP(Tableau1345678[[#This Row],[Repère]],Tableau1[#All],9,FALSE))</f>
        <v/>
      </c>
      <c r="J26" s="13" t="str">
        <f>IF(Tableau1345678[[#This Row],[Repère]]="","",VLOOKUP(Tableau1345678[[#This Row],[Repère]],Tableau1[#All],10,FALSE))</f>
        <v/>
      </c>
      <c r="K26" s="13" t="str">
        <f>IF(Tableau1345678[[#This Row],[Repère]]="","",VLOOKUP(Tableau1345678[[#This Row],[Repère]],Tableau1[#All],11,FALSE))</f>
        <v/>
      </c>
      <c r="L26" s="14" t="str">
        <f>IF(Tableau1345678[[#This Row],[Repère]]="","",VLOOKUP(Tableau1345678[[#This Row],[Repère]],Tableau1[#All],12,FALSE))</f>
        <v/>
      </c>
    </row>
    <row r="27" spans="1:12" x14ac:dyDescent="0.3">
      <c r="A27" s="18"/>
      <c r="B27" s="19"/>
      <c r="C27" s="13" t="str">
        <f>IF(Tableau1345678[[#This Row],[Repère]]="","",VLOOKUP(Tableau1345678[[#This Row],[Repère]],Tableau1[#All],3,FALSE))</f>
        <v/>
      </c>
      <c r="D27" s="13" t="str">
        <f>IF(Tableau1345678[[#This Row],[Repère]]="","",VLOOKUP(Tableau1345678[[#This Row],[Repère]],Tableau1[#All],4,FALSE))</f>
        <v/>
      </c>
      <c r="E27" s="13" t="str">
        <f>IF(Tableau1345678[[#This Row],[Repère]]="","",VLOOKUP(Tableau1345678[[#This Row],[Repère]],Tableau1[#All],5,FALSE))</f>
        <v/>
      </c>
      <c r="F27" s="13" t="str">
        <f>IF(Tableau1345678[[#This Row],[Repère]]="","",VLOOKUP(Tableau1345678[[#This Row],[Repère]],Tableau1[#All],6,FALSE))</f>
        <v/>
      </c>
      <c r="G27" s="13" t="str">
        <f>IF(Tableau1345678[[#This Row],[Repère]]="","",VLOOKUP(Tableau1345678[[#This Row],[Repère]],Tableau1[#All],7,FALSE))</f>
        <v/>
      </c>
      <c r="H27" s="13" t="str">
        <f>IF(Tableau1345678[[#This Row],[Repère]]="","",VLOOKUP(Tableau1345678[[#This Row],[Repère]],Tableau1[#All],8,FALSE))</f>
        <v/>
      </c>
      <c r="I27" s="13" t="str">
        <f>IF(Tableau1345678[[#This Row],[Repère]]="","",VLOOKUP(Tableau1345678[[#This Row],[Repère]],Tableau1[#All],9,FALSE))</f>
        <v/>
      </c>
      <c r="J27" s="13" t="str">
        <f>IF(Tableau1345678[[#This Row],[Repère]]="","",VLOOKUP(Tableau1345678[[#This Row],[Repère]],Tableau1[#All],10,FALSE))</f>
        <v/>
      </c>
      <c r="K27" s="13" t="str">
        <f>IF(Tableau1345678[[#This Row],[Repère]]="","",VLOOKUP(Tableau1345678[[#This Row],[Repère]],Tableau1[#All],11,FALSE))</f>
        <v/>
      </c>
      <c r="L27" s="14" t="str">
        <f>IF(Tableau1345678[[#This Row],[Repère]]="","",VLOOKUP(Tableau1345678[[#This Row],[Repère]],Tableau1[#All],12,FALSE))</f>
        <v/>
      </c>
    </row>
    <row r="28" spans="1:12" x14ac:dyDescent="0.3">
      <c r="A28" s="18"/>
      <c r="B28" s="19"/>
      <c r="C28" s="13" t="str">
        <f>IF(Tableau1345678[[#This Row],[Repère]]="","",VLOOKUP(Tableau1345678[[#This Row],[Repère]],Tableau1[#All],3,FALSE))</f>
        <v/>
      </c>
      <c r="D28" s="13" t="str">
        <f>IF(Tableau1345678[[#This Row],[Repère]]="","",VLOOKUP(Tableau1345678[[#This Row],[Repère]],Tableau1[#All],4,FALSE))</f>
        <v/>
      </c>
      <c r="E28" s="13" t="str">
        <f>IF(Tableau1345678[[#This Row],[Repère]]="","",VLOOKUP(Tableau1345678[[#This Row],[Repère]],Tableau1[#All],5,FALSE))</f>
        <v/>
      </c>
      <c r="F28" s="13" t="str">
        <f>IF(Tableau1345678[[#This Row],[Repère]]="","",VLOOKUP(Tableau1345678[[#This Row],[Repère]],Tableau1[#All],6,FALSE))</f>
        <v/>
      </c>
      <c r="G28" s="13" t="str">
        <f>IF(Tableau1345678[[#This Row],[Repère]]="","",VLOOKUP(Tableau1345678[[#This Row],[Repère]],Tableau1[#All],7,FALSE))</f>
        <v/>
      </c>
      <c r="H28" s="13" t="str">
        <f>IF(Tableau1345678[[#This Row],[Repère]]="","",VLOOKUP(Tableau1345678[[#This Row],[Repère]],Tableau1[#All],8,FALSE))</f>
        <v/>
      </c>
      <c r="I28" s="13" t="str">
        <f>IF(Tableau1345678[[#This Row],[Repère]]="","",VLOOKUP(Tableau1345678[[#This Row],[Repère]],Tableau1[#All],9,FALSE))</f>
        <v/>
      </c>
      <c r="J28" s="13" t="str">
        <f>IF(Tableau1345678[[#This Row],[Repère]]="","",VLOOKUP(Tableau1345678[[#This Row],[Repère]],Tableau1[#All],10,FALSE))</f>
        <v/>
      </c>
      <c r="K28" s="13" t="str">
        <f>IF(Tableau1345678[[#This Row],[Repère]]="","",VLOOKUP(Tableau1345678[[#This Row],[Repère]],Tableau1[#All],11,FALSE))</f>
        <v/>
      </c>
      <c r="L28" s="14" t="str">
        <f>IF(Tableau1345678[[#This Row],[Repère]]="","",VLOOKUP(Tableau1345678[[#This Row],[Repère]],Tableau1[#All],12,FALSE))</f>
        <v/>
      </c>
    </row>
    <row r="29" spans="1:12" x14ac:dyDescent="0.3">
      <c r="A29" s="18"/>
      <c r="B29" s="19"/>
      <c r="C29" s="13" t="str">
        <f>IF(Tableau1345678[[#This Row],[Repère]]="","",VLOOKUP(Tableau1345678[[#This Row],[Repère]],Tableau1[#All],3,FALSE))</f>
        <v/>
      </c>
      <c r="D29" s="13" t="str">
        <f>IF(Tableau1345678[[#This Row],[Repère]]="","",VLOOKUP(Tableau1345678[[#This Row],[Repère]],Tableau1[#All],4,FALSE))</f>
        <v/>
      </c>
      <c r="E29" s="13" t="str">
        <f>IF(Tableau1345678[[#This Row],[Repère]]="","",VLOOKUP(Tableau1345678[[#This Row],[Repère]],Tableau1[#All],5,FALSE))</f>
        <v/>
      </c>
      <c r="F29" s="13" t="str">
        <f>IF(Tableau1345678[[#This Row],[Repère]]="","",VLOOKUP(Tableau1345678[[#This Row],[Repère]],Tableau1[#All],6,FALSE))</f>
        <v/>
      </c>
      <c r="G29" s="13" t="str">
        <f>IF(Tableau1345678[[#This Row],[Repère]]="","",VLOOKUP(Tableau1345678[[#This Row],[Repère]],Tableau1[#All],7,FALSE))</f>
        <v/>
      </c>
      <c r="H29" s="13" t="str">
        <f>IF(Tableau1345678[[#This Row],[Repère]]="","",VLOOKUP(Tableau1345678[[#This Row],[Repère]],Tableau1[#All],8,FALSE))</f>
        <v/>
      </c>
      <c r="I29" s="13" t="str">
        <f>IF(Tableau1345678[[#This Row],[Repère]]="","",VLOOKUP(Tableau1345678[[#This Row],[Repère]],Tableau1[#All],9,FALSE))</f>
        <v/>
      </c>
      <c r="J29" s="13" t="str">
        <f>IF(Tableau1345678[[#This Row],[Repère]]="","",VLOOKUP(Tableau1345678[[#This Row],[Repère]],Tableau1[#All],10,FALSE))</f>
        <v/>
      </c>
      <c r="K29" s="13" t="str">
        <f>IF(Tableau1345678[[#This Row],[Repère]]="","",VLOOKUP(Tableau1345678[[#This Row],[Repère]],Tableau1[#All],11,FALSE))</f>
        <v/>
      </c>
      <c r="L29" s="14" t="str">
        <f>IF(Tableau1345678[[#This Row],[Repère]]="","",VLOOKUP(Tableau1345678[[#This Row],[Repère]],Tableau1[#All],12,FALSE))</f>
        <v/>
      </c>
    </row>
    <row r="30" spans="1:12" x14ac:dyDescent="0.3">
      <c r="A30" s="18"/>
      <c r="B30" s="19"/>
      <c r="C30" s="13" t="str">
        <f>IF(Tableau1345678[[#This Row],[Repère]]="","",VLOOKUP(Tableau1345678[[#This Row],[Repère]],Tableau1[#All],3,FALSE))</f>
        <v/>
      </c>
      <c r="D30" s="13" t="str">
        <f>IF(Tableau1345678[[#This Row],[Repère]]="","",VLOOKUP(Tableau1345678[[#This Row],[Repère]],Tableau1[#All],4,FALSE))</f>
        <v/>
      </c>
      <c r="E30" s="13" t="str">
        <f>IF(Tableau1345678[[#This Row],[Repère]]="","",VLOOKUP(Tableau1345678[[#This Row],[Repère]],Tableau1[#All],5,FALSE))</f>
        <v/>
      </c>
      <c r="F30" s="13" t="str">
        <f>IF(Tableau1345678[[#This Row],[Repère]]="","",VLOOKUP(Tableau1345678[[#This Row],[Repère]],Tableau1[#All],6,FALSE))</f>
        <v/>
      </c>
      <c r="G30" s="13" t="str">
        <f>IF(Tableau1345678[[#This Row],[Repère]]="","",VLOOKUP(Tableau1345678[[#This Row],[Repère]],Tableau1[#All],7,FALSE))</f>
        <v/>
      </c>
      <c r="H30" s="13" t="str">
        <f>IF(Tableau1345678[[#This Row],[Repère]]="","",VLOOKUP(Tableau1345678[[#This Row],[Repère]],Tableau1[#All],8,FALSE))</f>
        <v/>
      </c>
      <c r="I30" s="13" t="str">
        <f>IF(Tableau1345678[[#This Row],[Repère]]="","",VLOOKUP(Tableau1345678[[#This Row],[Repère]],Tableau1[#All],9,FALSE))</f>
        <v/>
      </c>
      <c r="J30" s="13" t="str">
        <f>IF(Tableau1345678[[#This Row],[Repère]]="","",VLOOKUP(Tableau1345678[[#This Row],[Repère]],Tableau1[#All],10,FALSE))</f>
        <v/>
      </c>
      <c r="K30" s="13" t="str">
        <f>IF(Tableau1345678[[#This Row],[Repère]]="","",VLOOKUP(Tableau1345678[[#This Row],[Repère]],Tableau1[#All],11,FALSE))</f>
        <v/>
      </c>
      <c r="L30" s="14" t="str">
        <f>IF(Tableau1345678[[#This Row],[Repère]]="","",VLOOKUP(Tableau1345678[[#This Row],[Repère]],Tableau1[#All],12,FALSE))</f>
        <v/>
      </c>
    </row>
    <row r="31" spans="1:12" x14ac:dyDescent="0.3">
      <c r="A31" s="18"/>
      <c r="B31" s="19"/>
      <c r="C31" s="13" t="str">
        <f>IF(Tableau1345678[[#This Row],[Repère]]="","",VLOOKUP(Tableau1345678[[#This Row],[Repère]],Tableau1[#All],3,FALSE))</f>
        <v/>
      </c>
      <c r="D31" s="13" t="str">
        <f>IF(Tableau1345678[[#This Row],[Repère]]="","",VLOOKUP(Tableau1345678[[#This Row],[Repère]],Tableau1[#All],4,FALSE))</f>
        <v/>
      </c>
      <c r="E31" s="13" t="str">
        <f>IF(Tableau1345678[[#This Row],[Repère]]="","",VLOOKUP(Tableau1345678[[#This Row],[Repère]],Tableau1[#All],5,FALSE))</f>
        <v/>
      </c>
      <c r="F31" s="13" t="str">
        <f>IF(Tableau1345678[[#This Row],[Repère]]="","",VLOOKUP(Tableau1345678[[#This Row],[Repère]],Tableau1[#All],6,FALSE))</f>
        <v/>
      </c>
      <c r="G31" s="13" t="str">
        <f>IF(Tableau1345678[[#This Row],[Repère]]="","",VLOOKUP(Tableau1345678[[#This Row],[Repère]],Tableau1[#All],7,FALSE))</f>
        <v/>
      </c>
      <c r="H31" s="13" t="str">
        <f>IF(Tableau1345678[[#This Row],[Repère]]="","",VLOOKUP(Tableau1345678[[#This Row],[Repère]],Tableau1[#All],8,FALSE))</f>
        <v/>
      </c>
      <c r="I31" s="13" t="str">
        <f>IF(Tableau1345678[[#This Row],[Repère]]="","",VLOOKUP(Tableau1345678[[#This Row],[Repère]],Tableau1[#All],9,FALSE))</f>
        <v/>
      </c>
      <c r="J31" s="13" t="str">
        <f>IF(Tableau1345678[[#This Row],[Repère]]="","",VLOOKUP(Tableau1345678[[#This Row],[Repère]],Tableau1[#All],10,FALSE))</f>
        <v/>
      </c>
      <c r="K31" s="13" t="str">
        <f>IF(Tableau1345678[[#This Row],[Repère]]="","",VLOOKUP(Tableau1345678[[#This Row],[Repère]],Tableau1[#All],11,FALSE))</f>
        <v/>
      </c>
      <c r="L31" s="14" t="str">
        <f>IF(Tableau1345678[[#This Row],[Repère]]="","",VLOOKUP(Tableau1345678[[#This Row],[Repère]],Tableau1[#All],12,FALSE))</f>
        <v/>
      </c>
    </row>
    <row r="32" spans="1:12" x14ac:dyDescent="0.3">
      <c r="A32" s="18"/>
      <c r="B32" s="19"/>
      <c r="C32" s="13" t="str">
        <f>IF(Tableau1345678[[#This Row],[Repère]]="","",VLOOKUP(Tableau1345678[[#This Row],[Repère]],Tableau1[#All],3,FALSE))</f>
        <v/>
      </c>
      <c r="D32" s="13" t="str">
        <f>IF(Tableau1345678[[#This Row],[Repère]]="","",VLOOKUP(Tableau1345678[[#This Row],[Repère]],Tableau1[#All],4,FALSE))</f>
        <v/>
      </c>
      <c r="E32" s="13" t="str">
        <f>IF(Tableau1345678[[#This Row],[Repère]]="","",VLOOKUP(Tableau1345678[[#This Row],[Repère]],Tableau1[#All],5,FALSE))</f>
        <v/>
      </c>
      <c r="F32" s="13" t="str">
        <f>IF(Tableau1345678[[#This Row],[Repère]]="","",VLOOKUP(Tableau1345678[[#This Row],[Repère]],Tableau1[#All],6,FALSE))</f>
        <v/>
      </c>
      <c r="G32" s="13" t="str">
        <f>IF(Tableau1345678[[#This Row],[Repère]]="","",VLOOKUP(Tableau1345678[[#This Row],[Repère]],Tableau1[#All],7,FALSE))</f>
        <v/>
      </c>
      <c r="H32" s="13" t="str">
        <f>IF(Tableau1345678[[#This Row],[Repère]]="","",VLOOKUP(Tableau1345678[[#This Row],[Repère]],Tableau1[#All],8,FALSE))</f>
        <v/>
      </c>
      <c r="I32" s="13" t="str">
        <f>IF(Tableau1345678[[#This Row],[Repère]]="","",VLOOKUP(Tableau1345678[[#This Row],[Repère]],Tableau1[#All],9,FALSE))</f>
        <v/>
      </c>
      <c r="J32" s="13" t="str">
        <f>IF(Tableau1345678[[#This Row],[Repère]]="","",VLOOKUP(Tableau1345678[[#This Row],[Repère]],Tableau1[#All],10,FALSE))</f>
        <v/>
      </c>
      <c r="K32" s="13" t="str">
        <f>IF(Tableau1345678[[#This Row],[Repère]]="","",VLOOKUP(Tableau1345678[[#This Row],[Repère]],Tableau1[#All],11,FALSE))</f>
        <v/>
      </c>
      <c r="L32" s="14" t="str">
        <f>IF(Tableau1345678[[#This Row],[Repère]]="","",VLOOKUP(Tableau1345678[[#This Row],[Repère]],Tableau1[#All],12,FALSE))</f>
        <v/>
      </c>
    </row>
    <row r="33" spans="1:12" x14ac:dyDescent="0.3">
      <c r="A33" s="18"/>
      <c r="B33" s="19"/>
      <c r="C33" s="13" t="str">
        <f>IF(Tableau1345678[[#This Row],[Repère]]="","",VLOOKUP(Tableau1345678[[#This Row],[Repère]],Tableau1[#All],3,FALSE))</f>
        <v/>
      </c>
      <c r="D33" s="13" t="str">
        <f>IF(Tableau1345678[[#This Row],[Repère]]="","",VLOOKUP(Tableau1345678[[#This Row],[Repère]],Tableau1[#All],4,FALSE))</f>
        <v/>
      </c>
      <c r="E33" s="13" t="str">
        <f>IF(Tableau1345678[[#This Row],[Repère]]="","",VLOOKUP(Tableau1345678[[#This Row],[Repère]],Tableau1[#All],5,FALSE))</f>
        <v/>
      </c>
      <c r="F33" s="13" t="str">
        <f>IF(Tableau1345678[[#This Row],[Repère]]="","",VLOOKUP(Tableau1345678[[#This Row],[Repère]],Tableau1[#All],6,FALSE))</f>
        <v/>
      </c>
      <c r="G33" s="13" t="str">
        <f>IF(Tableau1345678[[#This Row],[Repère]]="","",VLOOKUP(Tableau1345678[[#This Row],[Repère]],Tableau1[#All],7,FALSE))</f>
        <v/>
      </c>
      <c r="H33" s="13" t="str">
        <f>IF(Tableau1345678[[#This Row],[Repère]]="","",VLOOKUP(Tableau1345678[[#This Row],[Repère]],Tableau1[#All],8,FALSE))</f>
        <v/>
      </c>
      <c r="I33" s="13" t="str">
        <f>IF(Tableau1345678[[#This Row],[Repère]]="","",VLOOKUP(Tableau1345678[[#This Row],[Repère]],Tableau1[#All],9,FALSE))</f>
        <v/>
      </c>
      <c r="J33" s="13" t="str">
        <f>IF(Tableau1345678[[#This Row],[Repère]]="","",VLOOKUP(Tableau1345678[[#This Row],[Repère]],Tableau1[#All],10,FALSE))</f>
        <v/>
      </c>
      <c r="K33" s="13" t="str">
        <f>IF(Tableau1345678[[#This Row],[Repère]]="","",VLOOKUP(Tableau1345678[[#This Row],[Repère]],Tableau1[#All],11,FALSE))</f>
        <v/>
      </c>
      <c r="L33" s="14" t="str">
        <f>IF(Tableau1345678[[#This Row],[Repère]]="","",VLOOKUP(Tableau1345678[[#This Row],[Repère]],Tableau1[#All],12,FALSE))</f>
        <v/>
      </c>
    </row>
    <row r="34" spans="1:12" x14ac:dyDescent="0.3">
      <c r="A34" s="18"/>
      <c r="B34" s="19"/>
      <c r="C34" s="13" t="str">
        <f>IF(Tableau1345678[[#This Row],[Repère]]="","",VLOOKUP(Tableau1345678[[#This Row],[Repère]],Tableau1[#All],3,FALSE))</f>
        <v/>
      </c>
      <c r="D34" s="13" t="str">
        <f>IF(Tableau1345678[[#This Row],[Repère]]="","",VLOOKUP(Tableau1345678[[#This Row],[Repère]],Tableau1[#All],4,FALSE))</f>
        <v/>
      </c>
      <c r="E34" s="13" t="str">
        <f>IF(Tableau1345678[[#This Row],[Repère]]="","",VLOOKUP(Tableau1345678[[#This Row],[Repère]],Tableau1[#All],5,FALSE))</f>
        <v/>
      </c>
      <c r="F34" s="13" t="str">
        <f>IF(Tableau1345678[[#This Row],[Repère]]="","",VLOOKUP(Tableau1345678[[#This Row],[Repère]],Tableau1[#All],6,FALSE))</f>
        <v/>
      </c>
      <c r="G34" s="13" t="str">
        <f>IF(Tableau1345678[[#This Row],[Repère]]="","",VLOOKUP(Tableau1345678[[#This Row],[Repère]],Tableau1[#All],7,FALSE))</f>
        <v/>
      </c>
      <c r="H34" s="13" t="str">
        <f>IF(Tableau1345678[[#This Row],[Repère]]="","",VLOOKUP(Tableau1345678[[#This Row],[Repère]],Tableau1[#All],8,FALSE))</f>
        <v/>
      </c>
      <c r="I34" s="13" t="str">
        <f>IF(Tableau1345678[[#This Row],[Repère]]="","",VLOOKUP(Tableau1345678[[#This Row],[Repère]],Tableau1[#All],9,FALSE))</f>
        <v/>
      </c>
      <c r="J34" s="13" t="str">
        <f>IF(Tableau1345678[[#This Row],[Repère]]="","",VLOOKUP(Tableau1345678[[#This Row],[Repère]],Tableau1[#All],10,FALSE))</f>
        <v/>
      </c>
      <c r="K34" s="13" t="str">
        <f>IF(Tableau1345678[[#This Row],[Repère]]="","",VLOOKUP(Tableau1345678[[#This Row],[Repère]],Tableau1[#All],11,FALSE))</f>
        <v/>
      </c>
      <c r="L34" s="14" t="str">
        <f>IF(Tableau1345678[[#This Row],[Repère]]="","",VLOOKUP(Tableau1345678[[#This Row],[Repère]],Tableau1[#All],12,FALSE))</f>
        <v/>
      </c>
    </row>
    <row r="35" spans="1:12" x14ac:dyDescent="0.3">
      <c r="A35" s="18"/>
      <c r="B35" s="19"/>
      <c r="C35" s="13" t="str">
        <f>IF(Tableau1345678[[#This Row],[Repère]]="","",VLOOKUP(Tableau1345678[[#This Row],[Repère]],Tableau1[#All],3,FALSE))</f>
        <v/>
      </c>
      <c r="D35" s="13" t="str">
        <f>IF(Tableau1345678[[#This Row],[Repère]]="","",VLOOKUP(Tableau1345678[[#This Row],[Repère]],Tableau1[#All],4,FALSE))</f>
        <v/>
      </c>
      <c r="E35" s="13" t="str">
        <f>IF(Tableau1345678[[#This Row],[Repère]]="","",VLOOKUP(Tableau1345678[[#This Row],[Repère]],Tableau1[#All],5,FALSE))</f>
        <v/>
      </c>
      <c r="F35" s="13" t="str">
        <f>IF(Tableau1345678[[#This Row],[Repère]]="","",VLOOKUP(Tableau1345678[[#This Row],[Repère]],Tableau1[#All],6,FALSE))</f>
        <v/>
      </c>
      <c r="G35" s="13" t="str">
        <f>IF(Tableau1345678[[#This Row],[Repère]]="","",VLOOKUP(Tableau1345678[[#This Row],[Repère]],Tableau1[#All],7,FALSE))</f>
        <v/>
      </c>
      <c r="H35" s="13" t="str">
        <f>IF(Tableau1345678[[#This Row],[Repère]]="","",VLOOKUP(Tableau1345678[[#This Row],[Repère]],Tableau1[#All],8,FALSE))</f>
        <v/>
      </c>
      <c r="I35" s="13" t="str">
        <f>IF(Tableau1345678[[#This Row],[Repère]]="","",VLOOKUP(Tableau1345678[[#This Row],[Repère]],Tableau1[#All],9,FALSE))</f>
        <v/>
      </c>
      <c r="J35" s="13" t="str">
        <f>IF(Tableau1345678[[#This Row],[Repère]]="","",VLOOKUP(Tableau1345678[[#This Row],[Repère]],Tableau1[#All],10,FALSE))</f>
        <v/>
      </c>
      <c r="K35" s="13" t="str">
        <f>IF(Tableau1345678[[#This Row],[Repère]]="","",VLOOKUP(Tableau1345678[[#This Row],[Repère]],Tableau1[#All],11,FALSE))</f>
        <v/>
      </c>
      <c r="L35" s="14" t="str">
        <f>IF(Tableau1345678[[#This Row],[Repère]]="","",VLOOKUP(Tableau1345678[[#This Row],[Repère]],Tableau1[#All],12,FALSE))</f>
        <v/>
      </c>
    </row>
    <row r="36" spans="1:12" x14ac:dyDescent="0.3">
      <c r="A36" s="18"/>
      <c r="B36" s="19"/>
      <c r="C36" s="13" t="str">
        <f>IF(Tableau1345678[[#This Row],[Repère]]="","",VLOOKUP(Tableau1345678[[#This Row],[Repère]],Tableau1[#All],3,FALSE))</f>
        <v/>
      </c>
      <c r="D36" s="13" t="str">
        <f>IF(Tableau1345678[[#This Row],[Repère]]="","",VLOOKUP(Tableau1345678[[#This Row],[Repère]],Tableau1[#All],4,FALSE))</f>
        <v/>
      </c>
      <c r="E36" s="13" t="str">
        <f>IF(Tableau1345678[[#This Row],[Repère]]="","",VLOOKUP(Tableau1345678[[#This Row],[Repère]],Tableau1[#All],5,FALSE))</f>
        <v/>
      </c>
      <c r="F36" s="13" t="str">
        <f>IF(Tableau1345678[[#This Row],[Repère]]="","",VLOOKUP(Tableau1345678[[#This Row],[Repère]],Tableau1[#All],6,FALSE))</f>
        <v/>
      </c>
      <c r="G36" s="13" t="str">
        <f>IF(Tableau1345678[[#This Row],[Repère]]="","",VLOOKUP(Tableau1345678[[#This Row],[Repère]],Tableau1[#All],7,FALSE))</f>
        <v/>
      </c>
      <c r="H36" s="13" t="str">
        <f>IF(Tableau1345678[[#This Row],[Repère]]="","",VLOOKUP(Tableau1345678[[#This Row],[Repère]],Tableau1[#All],8,FALSE))</f>
        <v/>
      </c>
      <c r="I36" s="13" t="str">
        <f>IF(Tableau1345678[[#This Row],[Repère]]="","",VLOOKUP(Tableau1345678[[#This Row],[Repère]],Tableau1[#All],9,FALSE))</f>
        <v/>
      </c>
      <c r="J36" s="13" t="str">
        <f>IF(Tableau1345678[[#This Row],[Repère]]="","",VLOOKUP(Tableau1345678[[#This Row],[Repère]],Tableau1[#All],10,FALSE))</f>
        <v/>
      </c>
      <c r="K36" s="13" t="str">
        <f>IF(Tableau1345678[[#This Row],[Repère]]="","",VLOOKUP(Tableau1345678[[#This Row],[Repère]],Tableau1[#All],11,FALSE))</f>
        <v/>
      </c>
      <c r="L36" s="14" t="str">
        <f>IF(Tableau1345678[[#This Row],[Repère]]="","",VLOOKUP(Tableau1345678[[#This Row],[Repère]],Tableau1[#All],12,FALSE))</f>
        <v/>
      </c>
    </row>
    <row r="37" spans="1:12" x14ac:dyDescent="0.3">
      <c r="A37" s="18"/>
      <c r="B37" s="19"/>
      <c r="C37" s="13" t="str">
        <f>IF(Tableau1345678[[#This Row],[Repère]]="","",VLOOKUP(Tableau1345678[[#This Row],[Repère]],Tableau1[#All],3,FALSE))</f>
        <v/>
      </c>
      <c r="D37" s="13" t="str">
        <f>IF(Tableau1345678[[#This Row],[Repère]]="","",VLOOKUP(Tableau1345678[[#This Row],[Repère]],Tableau1[#All],4,FALSE))</f>
        <v/>
      </c>
      <c r="E37" s="13" t="str">
        <f>IF(Tableau1345678[[#This Row],[Repère]]="","",VLOOKUP(Tableau1345678[[#This Row],[Repère]],Tableau1[#All],5,FALSE))</f>
        <v/>
      </c>
      <c r="F37" s="13" t="str">
        <f>IF(Tableau1345678[[#This Row],[Repère]]="","",VLOOKUP(Tableau1345678[[#This Row],[Repère]],Tableau1[#All],6,FALSE))</f>
        <v/>
      </c>
      <c r="G37" s="13" t="str">
        <f>IF(Tableau1345678[[#This Row],[Repère]]="","",VLOOKUP(Tableau1345678[[#This Row],[Repère]],Tableau1[#All],7,FALSE))</f>
        <v/>
      </c>
      <c r="H37" s="13" t="str">
        <f>IF(Tableau1345678[[#This Row],[Repère]]="","",VLOOKUP(Tableau1345678[[#This Row],[Repère]],Tableau1[#All],8,FALSE))</f>
        <v/>
      </c>
      <c r="I37" s="13" t="str">
        <f>IF(Tableau1345678[[#This Row],[Repère]]="","",VLOOKUP(Tableau1345678[[#This Row],[Repère]],Tableau1[#All],9,FALSE))</f>
        <v/>
      </c>
      <c r="J37" s="13" t="str">
        <f>IF(Tableau1345678[[#This Row],[Repère]]="","",VLOOKUP(Tableau1345678[[#This Row],[Repère]],Tableau1[#All],10,FALSE))</f>
        <v/>
      </c>
      <c r="K37" s="13" t="str">
        <f>IF(Tableau1345678[[#This Row],[Repère]]="","",VLOOKUP(Tableau1345678[[#This Row],[Repère]],Tableau1[#All],11,FALSE))</f>
        <v/>
      </c>
      <c r="L37" s="14" t="str">
        <f>IF(Tableau1345678[[#This Row],[Repère]]="","",VLOOKUP(Tableau1345678[[#This Row],[Repère]],Tableau1[#All],12,FALSE))</f>
        <v/>
      </c>
    </row>
    <row r="38" spans="1:12" x14ac:dyDescent="0.3">
      <c r="A38" s="18"/>
      <c r="B38" s="19"/>
      <c r="C38" s="13" t="str">
        <f>IF(Tableau1345678[[#This Row],[Repère]]="","",VLOOKUP(Tableau1345678[[#This Row],[Repère]],Tableau1[#All],3,FALSE))</f>
        <v/>
      </c>
      <c r="D38" s="13" t="str">
        <f>IF(Tableau1345678[[#This Row],[Repère]]="","",VLOOKUP(Tableau1345678[[#This Row],[Repère]],Tableau1[#All],4,FALSE))</f>
        <v/>
      </c>
      <c r="E38" s="13" t="str">
        <f>IF(Tableau1345678[[#This Row],[Repère]]="","",VLOOKUP(Tableau1345678[[#This Row],[Repère]],Tableau1[#All],5,FALSE))</f>
        <v/>
      </c>
      <c r="F38" s="13" t="str">
        <f>IF(Tableau1345678[[#This Row],[Repère]]="","",VLOOKUP(Tableau1345678[[#This Row],[Repère]],Tableau1[#All],6,FALSE))</f>
        <v/>
      </c>
      <c r="G38" s="13" t="str">
        <f>IF(Tableau1345678[[#This Row],[Repère]]="","",VLOOKUP(Tableau1345678[[#This Row],[Repère]],Tableau1[#All],7,FALSE))</f>
        <v/>
      </c>
      <c r="H38" s="13" t="str">
        <f>IF(Tableau1345678[[#This Row],[Repère]]="","",VLOOKUP(Tableau1345678[[#This Row],[Repère]],Tableau1[#All],8,FALSE))</f>
        <v/>
      </c>
      <c r="I38" s="13" t="str">
        <f>IF(Tableau1345678[[#This Row],[Repère]]="","",VLOOKUP(Tableau1345678[[#This Row],[Repère]],Tableau1[#All],9,FALSE))</f>
        <v/>
      </c>
      <c r="J38" s="13" t="str">
        <f>IF(Tableau1345678[[#This Row],[Repère]]="","",VLOOKUP(Tableau1345678[[#This Row],[Repère]],Tableau1[#All],10,FALSE))</f>
        <v/>
      </c>
      <c r="K38" s="13" t="str">
        <f>IF(Tableau1345678[[#This Row],[Repère]]="","",VLOOKUP(Tableau1345678[[#This Row],[Repère]],Tableau1[#All],11,FALSE))</f>
        <v/>
      </c>
      <c r="L38" s="14" t="str">
        <f>IF(Tableau1345678[[#This Row],[Repère]]="","",VLOOKUP(Tableau1345678[[#This Row],[Repère]],Tableau1[#All],12,FALSE))</f>
        <v/>
      </c>
    </row>
    <row r="39" spans="1:12" x14ac:dyDescent="0.3">
      <c r="A39" s="18"/>
      <c r="B39" s="19"/>
      <c r="C39" s="13" t="str">
        <f>IF(Tableau1345678[[#This Row],[Repère]]="","",VLOOKUP(Tableau1345678[[#This Row],[Repère]],Tableau1[#All],3,FALSE))</f>
        <v/>
      </c>
      <c r="D39" s="13" t="str">
        <f>IF(Tableau1345678[[#This Row],[Repère]]="","",VLOOKUP(Tableau1345678[[#This Row],[Repère]],Tableau1[#All],4,FALSE))</f>
        <v/>
      </c>
      <c r="E39" s="13" t="str">
        <f>IF(Tableau1345678[[#This Row],[Repère]]="","",VLOOKUP(Tableau1345678[[#This Row],[Repère]],Tableau1[#All],5,FALSE))</f>
        <v/>
      </c>
      <c r="F39" s="13" t="str">
        <f>IF(Tableau1345678[[#This Row],[Repère]]="","",VLOOKUP(Tableau1345678[[#This Row],[Repère]],Tableau1[#All],6,FALSE))</f>
        <v/>
      </c>
      <c r="G39" s="13" t="str">
        <f>IF(Tableau1345678[[#This Row],[Repère]]="","",VLOOKUP(Tableau1345678[[#This Row],[Repère]],Tableau1[#All],7,FALSE))</f>
        <v/>
      </c>
      <c r="H39" s="13" t="str">
        <f>IF(Tableau1345678[[#This Row],[Repère]]="","",VLOOKUP(Tableau1345678[[#This Row],[Repère]],Tableau1[#All],8,FALSE))</f>
        <v/>
      </c>
      <c r="I39" s="13" t="str">
        <f>IF(Tableau1345678[[#This Row],[Repère]]="","",VLOOKUP(Tableau1345678[[#This Row],[Repère]],Tableau1[#All],9,FALSE))</f>
        <v/>
      </c>
      <c r="J39" s="13" t="str">
        <f>IF(Tableau1345678[[#This Row],[Repère]]="","",VLOOKUP(Tableau1345678[[#This Row],[Repère]],Tableau1[#All],10,FALSE))</f>
        <v/>
      </c>
      <c r="K39" s="13" t="str">
        <f>IF(Tableau1345678[[#This Row],[Repère]]="","",VLOOKUP(Tableau1345678[[#This Row],[Repère]],Tableau1[#All],11,FALSE))</f>
        <v/>
      </c>
      <c r="L39" s="14" t="str">
        <f>IF(Tableau1345678[[#This Row],[Repère]]="","",VLOOKUP(Tableau1345678[[#This Row],[Repère]],Tableau1[#All],12,FALSE))</f>
        <v/>
      </c>
    </row>
    <row r="40" spans="1:12" x14ac:dyDescent="0.3">
      <c r="A40" s="18"/>
      <c r="B40" s="19"/>
      <c r="C40" s="13" t="str">
        <f>IF(Tableau1345678[[#This Row],[Repère]]="","",VLOOKUP(Tableau1345678[[#This Row],[Repère]],Tableau1[#All],3,FALSE))</f>
        <v/>
      </c>
      <c r="D40" s="13" t="str">
        <f>IF(Tableau1345678[[#This Row],[Repère]]="","",VLOOKUP(Tableau1345678[[#This Row],[Repère]],Tableau1[#All],4,FALSE))</f>
        <v/>
      </c>
      <c r="E40" s="13" t="str">
        <f>IF(Tableau1345678[[#This Row],[Repère]]="","",VLOOKUP(Tableau1345678[[#This Row],[Repère]],Tableau1[#All],5,FALSE))</f>
        <v/>
      </c>
      <c r="F40" s="13" t="str">
        <f>IF(Tableau1345678[[#This Row],[Repère]]="","",VLOOKUP(Tableau1345678[[#This Row],[Repère]],Tableau1[#All],6,FALSE))</f>
        <v/>
      </c>
      <c r="G40" s="13" t="str">
        <f>IF(Tableau1345678[[#This Row],[Repère]]="","",VLOOKUP(Tableau1345678[[#This Row],[Repère]],Tableau1[#All],7,FALSE))</f>
        <v/>
      </c>
      <c r="H40" s="13" t="str">
        <f>IF(Tableau1345678[[#This Row],[Repère]]="","",VLOOKUP(Tableau1345678[[#This Row],[Repère]],Tableau1[#All],8,FALSE))</f>
        <v/>
      </c>
      <c r="I40" s="13" t="str">
        <f>IF(Tableau1345678[[#This Row],[Repère]]="","",VLOOKUP(Tableau1345678[[#This Row],[Repère]],Tableau1[#All],9,FALSE))</f>
        <v/>
      </c>
      <c r="J40" s="13" t="str">
        <f>IF(Tableau1345678[[#This Row],[Repère]]="","",VLOOKUP(Tableau1345678[[#This Row],[Repère]],Tableau1[#All],10,FALSE))</f>
        <v/>
      </c>
      <c r="K40" s="13" t="str">
        <f>IF(Tableau1345678[[#This Row],[Repère]]="","",VLOOKUP(Tableau1345678[[#This Row],[Repère]],Tableau1[#All],11,FALSE))</f>
        <v/>
      </c>
      <c r="L40" s="14" t="str">
        <f>IF(Tableau1345678[[#This Row],[Repère]]="","",VLOOKUP(Tableau1345678[[#This Row],[Repère]],Tableau1[#All],12,FALSE))</f>
        <v/>
      </c>
    </row>
    <row r="41" spans="1:12" x14ac:dyDescent="0.3">
      <c r="A41" s="18"/>
      <c r="B41" s="19"/>
      <c r="C41" s="13" t="str">
        <f>IF(Tableau1345678[[#This Row],[Repère]]="","",VLOOKUP(Tableau1345678[[#This Row],[Repère]],Tableau1[#All],3,FALSE))</f>
        <v/>
      </c>
      <c r="D41" s="13" t="str">
        <f>IF(Tableau1345678[[#This Row],[Repère]]="","",VLOOKUP(Tableau1345678[[#This Row],[Repère]],Tableau1[#All],4,FALSE))</f>
        <v/>
      </c>
      <c r="E41" s="13" t="str">
        <f>IF(Tableau1345678[[#This Row],[Repère]]="","",VLOOKUP(Tableau1345678[[#This Row],[Repère]],Tableau1[#All],5,FALSE))</f>
        <v/>
      </c>
      <c r="F41" s="13" t="str">
        <f>IF(Tableau1345678[[#This Row],[Repère]]="","",VLOOKUP(Tableau1345678[[#This Row],[Repère]],Tableau1[#All],6,FALSE))</f>
        <v/>
      </c>
      <c r="G41" s="13" t="str">
        <f>IF(Tableau1345678[[#This Row],[Repère]]="","",VLOOKUP(Tableau1345678[[#This Row],[Repère]],Tableau1[#All],7,FALSE))</f>
        <v/>
      </c>
      <c r="H41" s="13" t="str">
        <f>IF(Tableau1345678[[#This Row],[Repère]]="","",VLOOKUP(Tableau1345678[[#This Row],[Repère]],Tableau1[#All],8,FALSE))</f>
        <v/>
      </c>
      <c r="I41" s="13" t="str">
        <f>IF(Tableau1345678[[#This Row],[Repère]]="","",VLOOKUP(Tableau1345678[[#This Row],[Repère]],Tableau1[#All],9,FALSE))</f>
        <v/>
      </c>
      <c r="J41" s="13" t="str">
        <f>IF(Tableau1345678[[#This Row],[Repère]]="","",VLOOKUP(Tableau1345678[[#This Row],[Repère]],Tableau1[#All],10,FALSE))</f>
        <v/>
      </c>
      <c r="K41" s="13" t="str">
        <f>IF(Tableau1345678[[#This Row],[Repère]]="","",VLOOKUP(Tableau1345678[[#This Row],[Repère]],Tableau1[#All],11,FALSE))</f>
        <v/>
      </c>
      <c r="L41" s="14" t="str">
        <f>IF(Tableau1345678[[#This Row],[Repère]]="","",VLOOKUP(Tableau1345678[[#This Row],[Repère]],Tableau1[#All],12,FALSE))</f>
        <v/>
      </c>
    </row>
    <row r="42" spans="1:12" x14ac:dyDescent="0.3">
      <c r="A42" s="18"/>
      <c r="B42" s="19"/>
      <c r="C42" s="13" t="str">
        <f>IF(Tableau1345678[[#This Row],[Repère]]="","",VLOOKUP(Tableau1345678[[#This Row],[Repère]],Tableau1[#All],3,FALSE))</f>
        <v/>
      </c>
      <c r="D42" s="13" t="str">
        <f>IF(Tableau1345678[[#This Row],[Repère]]="","",VLOOKUP(Tableau1345678[[#This Row],[Repère]],Tableau1[#All],4,FALSE))</f>
        <v/>
      </c>
      <c r="E42" s="13" t="str">
        <f>IF(Tableau1345678[[#This Row],[Repère]]="","",VLOOKUP(Tableau1345678[[#This Row],[Repère]],Tableau1[#All],5,FALSE))</f>
        <v/>
      </c>
      <c r="F42" s="13" t="str">
        <f>IF(Tableau1345678[[#This Row],[Repère]]="","",VLOOKUP(Tableau1345678[[#This Row],[Repère]],Tableau1[#All],6,FALSE))</f>
        <v/>
      </c>
      <c r="G42" s="13" t="str">
        <f>IF(Tableau1345678[[#This Row],[Repère]]="","",VLOOKUP(Tableau1345678[[#This Row],[Repère]],Tableau1[#All],7,FALSE))</f>
        <v/>
      </c>
      <c r="H42" s="13" t="str">
        <f>IF(Tableau1345678[[#This Row],[Repère]]="","",VLOOKUP(Tableau1345678[[#This Row],[Repère]],Tableau1[#All],8,FALSE))</f>
        <v/>
      </c>
      <c r="I42" s="13" t="str">
        <f>IF(Tableau1345678[[#This Row],[Repère]]="","",VLOOKUP(Tableau1345678[[#This Row],[Repère]],Tableau1[#All],9,FALSE))</f>
        <v/>
      </c>
      <c r="J42" s="13" t="str">
        <f>IF(Tableau1345678[[#This Row],[Repère]]="","",VLOOKUP(Tableau1345678[[#This Row],[Repère]],Tableau1[#All],10,FALSE))</f>
        <v/>
      </c>
      <c r="K42" s="13" t="str">
        <f>IF(Tableau1345678[[#This Row],[Repère]]="","",VLOOKUP(Tableau1345678[[#This Row],[Repère]],Tableau1[#All],11,FALSE))</f>
        <v/>
      </c>
      <c r="L42" s="14" t="str">
        <f>IF(Tableau1345678[[#This Row],[Repère]]="","",VLOOKUP(Tableau1345678[[#This Row],[Repère]],Tableau1[#All],12,FALSE))</f>
        <v/>
      </c>
    </row>
    <row r="43" spans="1:12" x14ac:dyDescent="0.3">
      <c r="A43" s="18"/>
      <c r="B43" s="19"/>
      <c r="C43" s="13" t="str">
        <f>IF(Tableau1345678[[#This Row],[Repère]]="","",VLOOKUP(Tableau1345678[[#This Row],[Repère]],Tableau1[#All],3,FALSE))</f>
        <v/>
      </c>
      <c r="D43" s="13" t="str">
        <f>IF(Tableau1345678[[#This Row],[Repère]]="","",VLOOKUP(Tableau1345678[[#This Row],[Repère]],Tableau1[#All],4,FALSE))</f>
        <v/>
      </c>
      <c r="E43" s="13" t="str">
        <f>IF(Tableau1345678[[#This Row],[Repère]]="","",VLOOKUP(Tableau1345678[[#This Row],[Repère]],Tableau1[#All],5,FALSE))</f>
        <v/>
      </c>
      <c r="F43" s="13" t="str">
        <f>IF(Tableau1345678[[#This Row],[Repère]]="","",VLOOKUP(Tableau1345678[[#This Row],[Repère]],Tableau1[#All],6,FALSE))</f>
        <v/>
      </c>
      <c r="G43" s="13" t="str">
        <f>IF(Tableau1345678[[#This Row],[Repère]]="","",VLOOKUP(Tableau1345678[[#This Row],[Repère]],Tableau1[#All],7,FALSE))</f>
        <v/>
      </c>
      <c r="H43" s="13" t="str">
        <f>IF(Tableau1345678[[#This Row],[Repère]]="","",VLOOKUP(Tableau1345678[[#This Row],[Repère]],Tableau1[#All],8,FALSE))</f>
        <v/>
      </c>
      <c r="I43" s="13" t="str">
        <f>IF(Tableau1345678[[#This Row],[Repère]]="","",VLOOKUP(Tableau1345678[[#This Row],[Repère]],Tableau1[#All],9,FALSE))</f>
        <v/>
      </c>
      <c r="J43" s="13" t="str">
        <f>IF(Tableau1345678[[#This Row],[Repère]]="","",VLOOKUP(Tableau1345678[[#This Row],[Repère]],Tableau1[#All],10,FALSE))</f>
        <v/>
      </c>
      <c r="K43" s="13" t="str">
        <f>IF(Tableau1345678[[#This Row],[Repère]]="","",VLOOKUP(Tableau1345678[[#This Row],[Repère]],Tableau1[#All],11,FALSE))</f>
        <v/>
      </c>
      <c r="L43" s="14" t="str">
        <f>IF(Tableau1345678[[#This Row],[Repère]]="","",VLOOKUP(Tableau1345678[[#This Row],[Repère]],Tableau1[#All],12,FALSE))</f>
        <v/>
      </c>
    </row>
    <row r="44" spans="1:12" x14ac:dyDescent="0.3">
      <c r="A44" s="18"/>
      <c r="B44" s="19"/>
      <c r="C44" s="13" t="str">
        <f>IF(Tableau1345678[[#This Row],[Repère]]="","",VLOOKUP(Tableau1345678[[#This Row],[Repère]],Tableau1[#All],3,FALSE))</f>
        <v/>
      </c>
      <c r="D44" s="13" t="str">
        <f>IF(Tableau1345678[[#This Row],[Repère]]="","",VLOOKUP(Tableau1345678[[#This Row],[Repère]],Tableau1[#All],4,FALSE))</f>
        <v/>
      </c>
      <c r="E44" s="13" t="str">
        <f>IF(Tableau1345678[[#This Row],[Repère]]="","",VLOOKUP(Tableau1345678[[#This Row],[Repère]],Tableau1[#All],5,FALSE))</f>
        <v/>
      </c>
      <c r="F44" s="13" t="str">
        <f>IF(Tableau1345678[[#This Row],[Repère]]="","",VLOOKUP(Tableau1345678[[#This Row],[Repère]],Tableau1[#All],6,FALSE))</f>
        <v/>
      </c>
      <c r="G44" s="13" t="str">
        <f>IF(Tableau1345678[[#This Row],[Repère]]="","",VLOOKUP(Tableau1345678[[#This Row],[Repère]],Tableau1[#All],7,FALSE))</f>
        <v/>
      </c>
      <c r="H44" s="13" t="str">
        <f>IF(Tableau1345678[[#This Row],[Repère]]="","",VLOOKUP(Tableau1345678[[#This Row],[Repère]],Tableau1[#All],8,FALSE))</f>
        <v/>
      </c>
      <c r="I44" s="13" t="str">
        <f>IF(Tableau1345678[[#This Row],[Repère]]="","",VLOOKUP(Tableau1345678[[#This Row],[Repère]],Tableau1[#All],9,FALSE))</f>
        <v/>
      </c>
      <c r="J44" s="13" t="str">
        <f>IF(Tableau1345678[[#This Row],[Repère]]="","",VLOOKUP(Tableau1345678[[#This Row],[Repère]],Tableau1[#All],10,FALSE))</f>
        <v/>
      </c>
      <c r="K44" s="13" t="str">
        <f>IF(Tableau1345678[[#This Row],[Repère]]="","",VLOOKUP(Tableau1345678[[#This Row],[Repère]],Tableau1[#All],11,FALSE))</f>
        <v/>
      </c>
      <c r="L44" s="14" t="str">
        <f>IF(Tableau1345678[[#This Row],[Repère]]="","",VLOOKUP(Tableau1345678[[#This Row],[Repère]],Tableau1[#All],12,FALSE))</f>
        <v/>
      </c>
    </row>
    <row r="45" spans="1:12" x14ac:dyDescent="0.3">
      <c r="A45" s="18"/>
      <c r="B45" s="19"/>
      <c r="C45" s="13" t="str">
        <f>IF(Tableau1345678[[#This Row],[Repère]]="","",VLOOKUP(Tableau1345678[[#This Row],[Repère]],Tableau1[#All],3,FALSE))</f>
        <v/>
      </c>
      <c r="D45" s="13" t="str">
        <f>IF(Tableau1345678[[#This Row],[Repère]]="","",VLOOKUP(Tableau1345678[[#This Row],[Repère]],Tableau1[#All],4,FALSE))</f>
        <v/>
      </c>
      <c r="E45" s="13" t="str">
        <f>IF(Tableau1345678[[#This Row],[Repère]]="","",VLOOKUP(Tableau1345678[[#This Row],[Repère]],Tableau1[#All],5,FALSE))</f>
        <v/>
      </c>
      <c r="F45" s="13" t="str">
        <f>IF(Tableau1345678[[#This Row],[Repère]]="","",VLOOKUP(Tableau1345678[[#This Row],[Repère]],Tableau1[#All],6,FALSE))</f>
        <v/>
      </c>
      <c r="G45" s="13" t="str">
        <f>IF(Tableau1345678[[#This Row],[Repère]]="","",VLOOKUP(Tableau1345678[[#This Row],[Repère]],Tableau1[#All],7,FALSE))</f>
        <v/>
      </c>
      <c r="H45" s="13" t="str">
        <f>IF(Tableau1345678[[#This Row],[Repère]]="","",VLOOKUP(Tableau1345678[[#This Row],[Repère]],Tableau1[#All],8,FALSE))</f>
        <v/>
      </c>
      <c r="I45" s="13" t="str">
        <f>IF(Tableau1345678[[#This Row],[Repère]]="","",VLOOKUP(Tableau1345678[[#This Row],[Repère]],Tableau1[#All],9,FALSE))</f>
        <v/>
      </c>
      <c r="J45" s="13" t="str">
        <f>IF(Tableau1345678[[#This Row],[Repère]]="","",VLOOKUP(Tableau1345678[[#This Row],[Repère]],Tableau1[#All],10,FALSE))</f>
        <v/>
      </c>
      <c r="K45" s="13" t="str">
        <f>IF(Tableau1345678[[#This Row],[Repère]]="","",VLOOKUP(Tableau1345678[[#This Row],[Repère]],Tableau1[#All],11,FALSE))</f>
        <v/>
      </c>
      <c r="L45" s="14" t="str">
        <f>IF(Tableau1345678[[#This Row],[Repère]]="","",VLOOKUP(Tableau1345678[[#This Row],[Repère]],Tableau1[#All],12,FALSE))</f>
        <v/>
      </c>
    </row>
    <row r="46" spans="1:12" x14ac:dyDescent="0.3">
      <c r="A46" s="18"/>
      <c r="B46" s="19"/>
      <c r="C46" s="13" t="str">
        <f>IF(Tableau1345678[[#This Row],[Repère]]="","",VLOOKUP(Tableau1345678[[#This Row],[Repère]],Tableau1[#All],3,FALSE))</f>
        <v/>
      </c>
      <c r="D46" s="13" t="str">
        <f>IF(Tableau1345678[[#This Row],[Repère]]="","",VLOOKUP(Tableau1345678[[#This Row],[Repère]],Tableau1[#All],4,FALSE))</f>
        <v/>
      </c>
      <c r="E46" s="13" t="str">
        <f>IF(Tableau1345678[[#This Row],[Repère]]="","",VLOOKUP(Tableau1345678[[#This Row],[Repère]],Tableau1[#All],5,FALSE))</f>
        <v/>
      </c>
      <c r="F46" s="13" t="str">
        <f>IF(Tableau1345678[[#This Row],[Repère]]="","",VLOOKUP(Tableau1345678[[#This Row],[Repère]],Tableau1[#All],6,FALSE))</f>
        <v/>
      </c>
      <c r="G46" s="13" t="str">
        <f>IF(Tableau1345678[[#This Row],[Repère]]="","",VLOOKUP(Tableau1345678[[#This Row],[Repère]],Tableau1[#All],7,FALSE))</f>
        <v/>
      </c>
      <c r="H46" s="13" t="str">
        <f>IF(Tableau1345678[[#This Row],[Repère]]="","",VLOOKUP(Tableau1345678[[#This Row],[Repère]],Tableau1[#All],8,FALSE))</f>
        <v/>
      </c>
      <c r="I46" s="13" t="str">
        <f>IF(Tableau1345678[[#This Row],[Repère]]="","",VLOOKUP(Tableau1345678[[#This Row],[Repère]],Tableau1[#All],9,FALSE))</f>
        <v/>
      </c>
      <c r="J46" s="13" t="str">
        <f>IF(Tableau1345678[[#This Row],[Repère]]="","",VLOOKUP(Tableau1345678[[#This Row],[Repère]],Tableau1[#All],10,FALSE))</f>
        <v/>
      </c>
      <c r="K46" s="13" t="str">
        <f>IF(Tableau1345678[[#This Row],[Repère]]="","",VLOOKUP(Tableau1345678[[#This Row],[Repère]],Tableau1[#All],11,FALSE))</f>
        <v/>
      </c>
      <c r="L46" s="14" t="str">
        <f>IF(Tableau1345678[[#This Row],[Repère]]="","",VLOOKUP(Tableau1345678[[#This Row],[Repère]],Tableau1[#All],12,FALSE))</f>
        <v/>
      </c>
    </row>
    <row r="47" spans="1:12" x14ac:dyDescent="0.3">
      <c r="A47" s="18"/>
      <c r="B47" s="19"/>
      <c r="C47" s="13" t="str">
        <f>IF(Tableau1345678[[#This Row],[Repère]]="","",VLOOKUP(Tableau1345678[[#This Row],[Repère]],Tableau1[#All],3,FALSE))</f>
        <v/>
      </c>
      <c r="D47" s="13" t="str">
        <f>IF(Tableau1345678[[#This Row],[Repère]]="","",VLOOKUP(Tableau1345678[[#This Row],[Repère]],Tableau1[#All],4,FALSE))</f>
        <v/>
      </c>
      <c r="E47" s="13" t="str">
        <f>IF(Tableau1345678[[#This Row],[Repère]]="","",VLOOKUP(Tableau1345678[[#This Row],[Repère]],Tableau1[#All],5,FALSE))</f>
        <v/>
      </c>
      <c r="F47" s="13" t="str">
        <f>IF(Tableau1345678[[#This Row],[Repère]]="","",VLOOKUP(Tableau1345678[[#This Row],[Repère]],Tableau1[#All],6,FALSE))</f>
        <v/>
      </c>
      <c r="G47" s="13" t="str">
        <f>IF(Tableau1345678[[#This Row],[Repère]]="","",VLOOKUP(Tableau1345678[[#This Row],[Repère]],Tableau1[#All],7,FALSE))</f>
        <v/>
      </c>
      <c r="H47" s="13" t="str">
        <f>IF(Tableau1345678[[#This Row],[Repère]]="","",VLOOKUP(Tableau1345678[[#This Row],[Repère]],Tableau1[#All],8,FALSE))</f>
        <v/>
      </c>
      <c r="I47" s="13" t="str">
        <f>IF(Tableau1345678[[#This Row],[Repère]]="","",VLOOKUP(Tableau1345678[[#This Row],[Repère]],Tableau1[#All],9,FALSE))</f>
        <v/>
      </c>
      <c r="J47" s="13" t="str">
        <f>IF(Tableau1345678[[#This Row],[Repère]]="","",VLOOKUP(Tableau1345678[[#This Row],[Repère]],Tableau1[#All],10,FALSE))</f>
        <v/>
      </c>
      <c r="K47" s="13" t="str">
        <f>IF(Tableau1345678[[#This Row],[Repère]]="","",VLOOKUP(Tableau1345678[[#This Row],[Repère]],Tableau1[#All],11,FALSE))</f>
        <v/>
      </c>
      <c r="L47" s="14" t="str">
        <f>IF(Tableau1345678[[#This Row],[Repère]]="","",VLOOKUP(Tableau1345678[[#This Row],[Repère]],Tableau1[#All],12,FALSE))</f>
        <v/>
      </c>
    </row>
    <row r="48" spans="1:12" x14ac:dyDescent="0.3">
      <c r="A48" s="18"/>
      <c r="B48" s="19"/>
      <c r="C48" s="13" t="str">
        <f>IF(Tableau1345678[[#This Row],[Repère]]="","",VLOOKUP(Tableau1345678[[#This Row],[Repère]],Tableau1[#All],3,FALSE))</f>
        <v/>
      </c>
      <c r="D48" s="13" t="str">
        <f>IF(Tableau1345678[[#This Row],[Repère]]="","",VLOOKUP(Tableau1345678[[#This Row],[Repère]],Tableau1[#All],4,FALSE))</f>
        <v/>
      </c>
      <c r="E48" s="13" t="str">
        <f>IF(Tableau1345678[[#This Row],[Repère]]="","",VLOOKUP(Tableau1345678[[#This Row],[Repère]],Tableau1[#All],5,FALSE))</f>
        <v/>
      </c>
      <c r="F48" s="13" t="str">
        <f>IF(Tableau1345678[[#This Row],[Repère]]="","",VLOOKUP(Tableau1345678[[#This Row],[Repère]],Tableau1[#All],6,FALSE))</f>
        <v/>
      </c>
      <c r="G48" s="13" t="str">
        <f>IF(Tableau1345678[[#This Row],[Repère]]="","",VLOOKUP(Tableau1345678[[#This Row],[Repère]],Tableau1[#All],7,FALSE))</f>
        <v/>
      </c>
      <c r="H48" s="13" t="str">
        <f>IF(Tableau1345678[[#This Row],[Repère]]="","",VLOOKUP(Tableau1345678[[#This Row],[Repère]],Tableau1[#All],8,FALSE))</f>
        <v/>
      </c>
      <c r="I48" s="13" t="str">
        <f>IF(Tableau1345678[[#This Row],[Repère]]="","",VLOOKUP(Tableau1345678[[#This Row],[Repère]],Tableau1[#All],9,FALSE))</f>
        <v/>
      </c>
      <c r="J48" s="13" t="str">
        <f>IF(Tableau1345678[[#This Row],[Repère]]="","",VLOOKUP(Tableau1345678[[#This Row],[Repère]],Tableau1[#All],10,FALSE))</f>
        <v/>
      </c>
      <c r="K48" s="13" t="str">
        <f>IF(Tableau1345678[[#This Row],[Repère]]="","",VLOOKUP(Tableau1345678[[#This Row],[Repère]],Tableau1[#All],11,FALSE))</f>
        <v/>
      </c>
      <c r="L48" s="14" t="str">
        <f>IF(Tableau1345678[[#This Row],[Repère]]="","",VLOOKUP(Tableau1345678[[#This Row],[Repère]],Tableau1[#All],12,FALSE))</f>
        <v/>
      </c>
    </row>
    <row r="49" spans="1:12" x14ac:dyDescent="0.3">
      <c r="A49" s="18"/>
      <c r="B49" s="19"/>
      <c r="C49" s="13" t="str">
        <f>IF(Tableau1345678[[#This Row],[Repère]]="","",VLOOKUP(Tableau1345678[[#This Row],[Repère]],Tableau1[#All],3,FALSE))</f>
        <v/>
      </c>
      <c r="D49" s="13" t="str">
        <f>IF(Tableau1345678[[#This Row],[Repère]]="","",VLOOKUP(Tableau1345678[[#This Row],[Repère]],Tableau1[#All],4,FALSE))</f>
        <v/>
      </c>
      <c r="E49" s="13" t="str">
        <f>IF(Tableau1345678[[#This Row],[Repère]]="","",VLOOKUP(Tableau1345678[[#This Row],[Repère]],Tableau1[#All],5,FALSE))</f>
        <v/>
      </c>
      <c r="F49" s="13" t="str">
        <f>IF(Tableau1345678[[#This Row],[Repère]]="","",VLOOKUP(Tableau1345678[[#This Row],[Repère]],Tableau1[#All],6,FALSE))</f>
        <v/>
      </c>
      <c r="G49" s="13" t="str">
        <f>IF(Tableau1345678[[#This Row],[Repère]]="","",VLOOKUP(Tableau1345678[[#This Row],[Repère]],Tableau1[#All],7,FALSE))</f>
        <v/>
      </c>
      <c r="H49" s="13" t="str">
        <f>IF(Tableau1345678[[#This Row],[Repère]]="","",VLOOKUP(Tableau1345678[[#This Row],[Repère]],Tableau1[#All],8,FALSE))</f>
        <v/>
      </c>
      <c r="I49" s="13" t="str">
        <f>IF(Tableau1345678[[#This Row],[Repère]]="","",VLOOKUP(Tableau1345678[[#This Row],[Repère]],Tableau1[#All],9,FALSE))</f>
        <v/>
      </c>
      <c r="J49" s="13" t="str">
        <f>IF(Tableau1345678[[#This Row],[Repère]]="","",VLOOKUP(Tableau1345678[[#This Row],[Repère]],Tableau1[#All],10,FALSE))</f>
        <v/>
      </c>
      <c r="K49" s="13" t="str">
        <f>IF(Tableau1345678[[#This Row],[Repère]]="","",VLOOKUP(Tableau1345678[[#This Row],[Repère]],Tableau1[#All],11,FALSE))</f>
        <v/>
      </c>
      <c r="L49" s="14" t="str">
        <f>IF(Tableau1345678[[#This Row],[Repère]]="","",VLOOKUP(Tableau1345678[[#This Row],[Repère]],Tableau1[#All],12,FALSE))</f>
        <v/>
      </c>
    </row>
    <row r="50" spans="1:12" x14ac:dyDescent="0.3">
      <c r="A50" s="18"/>
      <c r="B50" s="19"/>
      <c r="C50" s="13" t="str">
        <f>IF(Tableau1345678[[#This Row],[Repère]]="","",VLOOKUP(Tableau1345678[[#This Row],[Repère]],Tableau1[#All],3,FALSE))</f>
        <v/>
      </c>
      <c r="D50" s="13" t="str">
        <f>IF(Tableau1345678[[#This Row],[Repère]]="","",VLOOKUP(Tableau1345678[[#This Row],[Repère]],Tableau1[#All],4,FALSE))</f>
        <v/>
      </c>
      <c r="E50" s="13" t="str">
        <f>IF(Tableau1345678[[#This Row],[Repère]]="","",VLOOKUP(Tableau1345678[[#This Row],[Repère]],Tableau1[#All],5,FALSE))</f>
        <v/>
      </c>
      <c r="F50" s="13" t="str">
        <f>IF(Tableau1345678[[#This Row],[Repère]]="","",VLOOKUP(Tableau1345678[[#This Row],[Repère]],Tableau1[#All],6,FALSE))</f>
        <v/>
      </c>
      <c r="G50" s="13" t="str">
        <f>IF(Tableau1345678[[#This Row],[Repère]]="","",VLOOKUP(Tableau1345678[[#This Row],[Repère]],Tableau1[#All],7,FALSE))</f>
        <v/>
      </c>
      <c r="H50" s="13" t="str">
        <f>IF(Tableau1345678[[#This Row],[Repère]]="","",VLOOKUP(Tableau1345678[[#This Row],[Repère]],Tableau1[#All],8,FALSE))</f>
        <v/>
      </c>
      <c r="I50" s="13" t="str">
        <f>IF(Tableau1345678[[#This Row],[Repère]]="","",VLOOKUP(Tableau1345678[[#This Row],[Repère]],Tableau1[#All],9,FALSE))</f>
        <v/>
      </c>
      <c r="J50" s="13" t="str">
        <f>IF(Tableau1345678[[#This Row],[Repère]]="","",VLOOKUP(Tableau1345678[[#This Row],[Repère]],Tableau1[#All],10,FALSE))</f>
        <v/>
      </c>
      <c r="K50" s="13" t="str">
        <f>IF(Tableau1345678[[#This Row],[Repère]]="","",VLOOKUP(Tableau1345678[[#This Row],[Repère]],Tableau1[#All],11,FALSE))</f>
        <v/>
      </c>
      <c r="L50" s="14" t="str">
        <f>IF(Tableau1345678[[#This Row],[Repère]]="","",VLOOKUP(Tableau1345678[[#This Row],[Repère]],Tableau1[#All],12,FALSE))</f>
        <v/>
      </c>
    </row>
    <row r="51" spans="1:12" x14ac:dyDescent="0.3">
      <c r="A51" s="18"/>
      <c r="B51" s="19"/>
      <c r="C51" s="13" t="str">
        <f>IF(Tableau1345678[[#This Row],[Repère]]="","",VLOOKUP(Tableau1345678[[#This Row],[Repère]],Tableau1[#All],3,FALSE))</f>
        <v/>
      </c>
      <c r="D51" s="13" t="str">
        <f>IF(Tableau1345678[[#This Row],[Repère]]="","",VLOOKUP(Tableau1345678[[#This Row],[Repère]],Tableau1[#All],4,FALSE))</f>
        <v/>
      </c>
      <c r="E51" s="13" t="str">
        <f>IF(Tableau1345678[[#This Row],[Repère]]="","",VLOOKUP(Tableau1345678[[#This Row],[Repère]],Tableau1[#All],5,FALSE))</f>
        <v/>
      </c>
      <c r="F51" s="13" t="str">
        <f>IF(Tableau1345678[[#This Row],[Repère]]="","",VLOOKUP(Tableau1345678[[#This Row],[Repère]],Tableau1[#All],6,FALSE))</f>
        <v/>
      </c>
      <c r="G51" s="13" t="str">
        <f>IF(Tableau1345678[[#This Row],[Repère]]="","",VLOOKUP(Tableau1345678[[#This Row],[Repère]],Tableau1[#All],7,FALSE))</f>
        <v/>
      </c>
      <c r="H51" s="13" t="str">
        <f>IF(Tableau1345678[[#This Row],[Repère]]="","",VLOOKUP(Tableau1345678[[#This Row],[Repère]],Tableau1[#All],8,FALSE))</f>
        <v/>
      </c>
      <c r="I51" s="13" t="str">
        <f>IF(Tableau1345678[[#This Row],[Repère]]="","",VLOOKUP(Tableau1345678[[#This Row],[Repère]],Tableau1[#All],9,FALSE))</f>
        <v/>
      </c>
      <c r="J51" s="13" t="str">
        <f>IF(Tableau1345678[[#This Row],[Repère]]="","",VLOOKUP(Tableau1345678[[#This Row],[Repère]],Tableau1[#All],10,FALSE))</f>
        <v/>
      </c>
      <c r="K51" s="13" t="str">
        <f>IF(Tableau1345678[[#This Row],[Repère]]="","",VLOOKUP(Tableau1345678[[#This Row],[Repère]],Tableau1[#All],11,FALSE))</f>
        <v/>
      </c>
      <c r="L51" s="14" t="str">
        <f>IF(Tableau1345678[[#This Row],[Repère]]="","",VLOOKUP(Tableau1345678[[#This Row],[Repère]],Tableau1[#All],12,FALSE))</f>
        <v/>
      </c>
    </row>
    <row r="52" spans="1:12" x14ac:dyDescent="0.3">
      <c r="A52" s="18"/>
      <c r="B52" s="19"/>
      <c r="C52" s="13" t="str">
        <f>IF(Tableau1345678[[#This Row],[Repère]]="","",VLOOKUP(Tableau1345678[[#This Row],[Repère]],Tableau1[#All],3,FALSE))</f>
        <v/>
      </c>
      <c r="D52" s="13" t="str">
        <f>IF(Tableau1345678[[#This Row],[Repère]]="","",VLOOKUP(Tableau1345678[[#This Row],[Repère]],Tableau1[#All],4,FALSE))</f>
        <v/>
      </c>
      <c r="E52" s="13" t="str">
        <f>IF(Tableau1345678[[#This Row],[Repère]]="","",VLOOKUP(Tableau1345678[[#This Row],[Repère]],Tableau1[#All],5,FALSE))</f>
        <v/>
      </c>
      <c r="F52" s="13" t="str">
        <f>IF(Tableau1345678[[#This Row],[Repère]]="","",VLOOKUP(Tableau1345678[[#This Row],[Repère]],Tableau1[#All],6,FALSE))</f>
        <v/>
      </c>
      <c r="G52" s="13" t="str">
        <f>IF(Tableau1345678[[#This Row],[Repère]]="","",VLOOKUP(Tableau1345678[[#This Row],[Repère]],Tableau1[#All],7,FALSE))</f>
        <v/>
      </c>
      <c r="H52" s="13" t="str">
        <f>IF(Tableau1345678[[#This Row],[Repère]]="","",VLOOKUP(Tableau1345678[[#This Row],[Repère]],Tableau1[#All],8,FALSE))</f>
        <v/>
      </c>
      <c r="I52" s="13" t="str">
        <f>IF(Tableau1345678[[#This Row],[Repère]]="","",VLOOKUP(Tableau1345678[[#This Row],[Repère]],Tableau1[#All],9,FALSE))</f>
        <v/>
      </c>
      <c r="J52" s="13" t="str">
        <f>IF(Tableau1345678[[#This Row],[Repère]]="","",VLOOKUP(Tableau1345678[[#This Row],[Repère]],Tableau1[#All],10,FALSE))</f>
        <v/>
      </c>
      <c r="K52" s="13" t="str">
        <f>IF(Tableau1345678[[#This Row],[Repère]]="","",VLOOKUP(Tableau1345678[[#This Row],[Repère]],Tableau1[#All],11,FALSE))</f>
        <v/>
      </c>
      <c r="L52" s="14" t="str">
        <f>IF(Tableau1345678[[#This Row],[Repère]]="","",VLOOKUP(Tableau1345678[[#This Row],[Repère]],Tableau1[#All],12,FALSE))</f>
        <v/>
      </c>
    </row>
    <row r="53" spans="1:12" x14ac:dyDescent="0.3">
      <c r="A53" s="18"/>
      <c r="B53" s="19"/>
      <c r="C53" s="13" t="str">
        <f>IF(Tableau1345678[[#This Row],[Repère]]="","",VLOOKUP(Tableau1345678[[#This Row],[Repère]],Tableau1[#All],3,FALSE))</f>
        <v/>
      </c>
      <c r="D53" s="13" t="str">
        <f>IF(Tableau1345678[[#This Row],[Repère]]="","",VLOOKUP(Tableau1345678[[#This Row],[Repère]],Tableau1[#All],4,FALSE))</f>
        <v/>
      </c>
      <c r="E53" s="13" t="str">
        <f>IF(Tableau1345678[[#This Row],[Repère]]="","",VLOOKUP(Tableau1345678[[#This Row],[Repère]],Tableau1[#All],5,FALSE))</f>
        <v/>
      </c>
      <c r="F53" s="13" t="str">
        <f>IF(Tableau1345678[[#This Row],[Repère]]="","",VLOOKUP(Tableau1345678[[#This Row],[Repère]],Tableau1[#All],6,FALSE))</f>
        <v/>
      </c>
      <c r="G53" s="13" t="str">
        <f>IF(Tableau1345678[[#This Row],[Repère]]="","",VLOOKUP(Tableau1345678[[#This Row],[Repère]],Tableau1[#All],7,FALSE))</f>
        <v/>
      </c>
      <c r="H53" s="13" t="str">
        <f>IF(Tableau1345678[[#This Row],[Repère]]="","",VLOOKUP(Tableau1345678[[#This Row],[Repère]],Tableau1[#All],8,FALSE))</f>
        <v/>
      </c>
      <c r="I53" s="13" t="str">
        <f>IF(Tableau1345678[[#This Row],[Repère]]="","",VLOOKUP(Tableau1345678[[#This Row],[Repère]],Tableau1[#All],9,FALSE))</f>
        <v/>
      </c>
      <c r="J53" s="13" t="str">
        <f>IF(Tableau1345678[[#This Row],[Repère]]="","",VLOOKUP(Tableau1345678[[#This Row],[Repère]],Tableau1[#All],10,FALSE))</f>
        <v/>
      </c>
      <c r="K53" s="13" t="str">
        <f>IF(Tableau1345678[[#This Row],[Repère]]="","",VLOOKUP(Tableau1345678[[#This Row],[Repère]],Tableau1[#All],11,FALSE))</f>
        <v/>
      </c>
      <c r="L53" s="14" t="str">
        <f>IF(Tableau1345678[[#This Row],[Repère]]="","",VLOOKUP(Tableau1345678[[#This Row],[Repère]],Tableau1[#All],12,FALSE))</f>
        <v/>
      </c>
    </row>
    <row r="54" spans="1:12" x14ac:dyDescent="0.3">
      <c r="A54" s="18"/>
      <c r="B54" s="19"/>
      <c r="C54" s="13" t="str">
        <f>IF(Tableau1345678[[#This Row],[Repère]]="","",VLOOKUP(Tableau1345678[[#This Row],[Repère]],Tableau1[#All],3,FALSE))</f>
        <v/>
      </c>
      <c r="D54" s="13" t="str">
        <f>IF(Tableau1345678[[#This Row],[Repère]]="","",VLOOKUP(Tableau1345678[[#This Row],[Repère]],Tableau1[#All],4,FALSE))</f>
        <v/>
      </c>
      <c r="E54" s="13" t="str">
        <f>IF(Tableau1345678[[#This Row],[Repère]]="","",VLOOKUP(Tableau1345678[[#This Row],[Repère]],Tableau1[#All],5,FALSE))</f>
        <v/>
      </c>
      <c r="F54" s="13" t="str">
        <f>IF(Tableau1345678[[#This Row],[Repère]]="","",VLOOKUP(Tableau1345678[[#This Row],[Repère]],Tableau1[#All],6,FALSE))</f>
        <v/>
      </c>
      <c r="G54" s="13" t="str">
        <f>IF(Tableau1345678[[#This Row],[Repère]]="","",VLOOKUP(Tableau1345678[[#This Row],[Repère]],Tableau1[#All],7,FALSE))</f>
        <v/>
      </c>
      <c r="H54" s="13" t="str">
        <f>IF(Tableau1345678[[#This Row],[Repère]]="","",VLOOKUP(Tableau1345678[[#This Row],[Repère]],Tableau1[#All],8,FALSE))</f>
        <v/>
      </c>
      <c r="I54" s="13" t="str">
        <f>IF(Tableau1345678[[#This Row],[Repère]]="","",VLOOKUP(Tableau1345678[[#This Row],[Repère]],Tableau1[#All],9,FALSE))</f>
        <v/>
      </c>
      <c r="J54" s="13" t="str">
        <f>IF(Tableau1345678[[#This Row],[Repère]]="","",VLOOKUP(Tableau1345678[[#This Row],[Repère]],Tableau1[#All],10,FALSE))</f>
        <v/>
      </c>
      <c r="K54" s="13" t="str">
        <f>IF(Tableau1345678[[#This Row],[Repère]]="","",VLOOKUP(Tableau1345678[[#This Row],[Repère]],Tableau1[#All],11,FALSE))</f>
        <v/>
      </c>
      <c r="L54" s="14" t="str">
        <f>IF(Tableau1345678[[#This Row],[Repère]]="","",VLOOKUP(Tableau1345678[[#This Row],[Repère]],Tableau1[#All],12,FALSE))</f>
        <v/>
      </c>
    </row>
    <row r="55" spans="1:12" x14ac:dyDescent="0.3">
      <c r="A55" s="18"/>
      <c r="B55" s="19"/>
      <c r="C55" s="13" t="str">
        <f>IF(Tableau1345678[[#This Row],[Repère]]="","",VLOOKUP(Tableau1345678[[#This Row],[Repère]],Tableau1[#All],3,FALSE))</f>
        <v/>
      </c>
      <c r="D55" s="13" t="str">
        <f>IF(Tableau1345678[[#This Row],[Repère]]="","",VLOOKUP(Tableau1345678[[#This Row],[Repère]],Tableau1[#All],4,FALSE))</f>
        <v/>
      </c>
      <c r="E55" s="13" t="str">
        <f>IF(Tableau1345678[[#This Row],[Repère]]="","",VLOOKUP(Tableau1345678[[#This Row],[Repère]],Tableau1[#All],5,FALSE))</f>
        <v/>
      </c>
      <c r="F55" s="13" t="str">
        <f>IF(Tableau1345678[[#This Row],[Repère]]="","",VLOOKUP(Tableau1345678[[#This Row],[Repère]],Tableau1[#All],6,FALSE))</f>
        <v/>
      </c>
      <c r="G55" s="13" t="str">
        <f>IF(Tableau1345678[[#This Row],[Repère]]="","",VLOOKUP(Tableau1345678[[#This Row],[Repère]],Tableau1[#All],7,FALSE))</f>
        <v/>
      </c>
      <c r="H55" s="13" t="str">
        <f>IF(Tableau1345678[[#This Row],[Repère]]="","",VLOOKUP(Tableau1345678[[#This Row],[Repère]],Tableau1[#All],8,FALSE))</f>
        <v/>
      </c>
      <c r="I55" s="13" t="str">
        <f>IF(Tableau1345678[[#This Row],[Repère]]="","",VLOOKUP(Tableau1345678[[#This Row],[Repère]],Tableau1[#All],9,FALSE))</f>
        <v/>
      </c>
      <c r="J55" s="13" t="str">
        <f>IF(Tableau1345678[[#This Row],[Repère]]="","",VLOOKUP(Tableau1345678[[#This Row],[Repère]],Tableau1[#All],10,FALSE))</f>
        <v/>
      </c>
      <c r="K55" s="13" t="str">
        <f>IF(Tableau1345678[[#This Row],[Repère]]="","",VLOOKUP(Tableau1345678[[#This Row],[Repère]],Tableau1[#All],11,FALSE))</f>
        <v/>
      </c>
      <c r="L55" s="14" t="str">
        <f>IF(Tableau1345678[[#This Row],[Repère]]="","",VLOOKUP(Tableau1345678[[#This Row],[Repère]],Tableau1[#All],12,FALSE))</f>
        <v/>
      </c>
    </row>
    <row r="56" spans="1:12" x14ac:dyDescent="0.3">
      <c r="A56" s="18"/>
      <c r="B56" s="19"/>
      <c r="C56" s="13" t="str">
        <f>IF(Tableau1345678[[#This Row],[Repère]]="","",VLOOKUP(Tableau1345678[[#This Row],[Repère]],Tableau1[#All],3,FALSE))</f>
        <v/>
      </c>
      <c r="D56" s="13" t="str">
        <f>IF(Tableau1345678[[#This Row],[Repère]]="","",VLOOKUP(Tableau1345678[[#This Row],[Repère]],Tableau1[#All],4,FALSE))</f>
        <v/>
      </c>
      <c r="E56" s="13" t="str">
        <f>IF(Tableau1345678[[#This Row],[Repère]]="","",VLOOKUP(Tableau1345678[[#This Row],[Repère]],Tableau1[#All],5,FALSE))</f>
        <v/>
      </c>
      <c r="F56" s="13" t="str">
        <f>IF(Tableau1345678[[#This Row],[Repère]]="","",VLOOKUP(Tableau1345678[[#This Row],[Repère]],Tableau1[#All],6,FALSE))</f>
        <v/>
      </c>
      <c r="G56" s="13" t="str">
        <f>IF(Tableau1345678[[#This Row],[Repère]]="","",VLOOKUP(Tableau1345678[[#This Row],[Repère]],Tableau1[#All],7,FALSE))</f>
        <v/>
      </c>
      <c r="H56" s="13" t="str">
        <f>IF(Tableau1345678[[#This Row],[Repère]]="","",VLOOKUP(Tableau1345678[[#This Row],[Repère]],Tableau1[#All],8,FALSE))</f>
        <v/>
      </c>
      <c r="I56" s="13" t="str">
        <f>IF(Tableau1345678[[#This Row],[Repère]]="","",VLOOKUP(Tableau1345678[[#This Row],[Repère]],Tableau1[#All],9,FALSE))</f>
        <v/>
      </c>
      <c r="J56" s="13" t="str">
        <f>IF(Tableau1345678[[#This Row],[Repère]]="","",VLOOKUP(Tableau1345678[[#This Row],[Repère]],Tableau1[#All],10,FALSE))</f>
        <v/>
      </c>
      <c r="K56" s="13" t="str">
        <f>IF(Tableau1345678[[#This Row],[Repère]]="","",VLOOKUP(Tableau1345678[[#This Row],[Repère]],Tableau1[#All],11,FALSE))</f>
        <v/>
      </c>
      <c r="L56" s="14" t="str">
        <f>IF(Tableau1345678[[#This Row],[Repère]]="","",VLOOKUP(Tableau1345678[[#This Row],[Repère]],Tableau1[#All],12,FALSE))</f>
        <v/>
      </c>
    </row>
    <row r="57" spans="1:12" x14ac:dyDescent="0.3">
      <c r="A57" s="18"/>
      <c r="B57" s="19"/>
      <c r="C57" s="13" t="str">
        <f>IF(Tableau1345678[[#This Row],[Repère]]="","",VLOOKUP(Tableau1345678[[#This Row],[Repère]],Tableau1[#All],3,FALSE))</f>
        <v/>
      </c>
      <c r="D57" s="13" t="str">
        <f>IF(Tableau1345678[[#This Row],[Repère]]="","",VLOOKUP(Tableau1345678[[#This Row],[Repère]],Tableau1[#All],4,FALSE))</f>
        <v/>
      </c>
      <c r="E57" s="13" t="str">
        <f>IF(Tableau1345678[[#This Row],[Repère]]="","",VLOOKUP(Tableau1345678[[#This Row],[Repère]],Tableau1[#All],5,FALSE))</f>
        <v/>
      </c>
      <c r="F57" s="13" t="str">
        <f>IF(Tableau1345678[[#This Row],[Repère]]="","",VLOOKUP(Tableau1345678[[#This Row],[Repère]],Tableau1[#All],6,FALSE))</f>
        <v/>
      </c>
      <c r="G57" s="13" t="str">
        <f>IF(Tableau1345678[[#This Row],[Repère]]="","",VLOOKUP(Tableau1345678[[#This Row],[Repère]],Tableau1[#All],7,FALSE))</f>
        <v/>
      </c>
      <c r="H57" s="13" t="str">
        <f>IF(Tableau1345678[[#This Row],[Repère]]="","",VLOOKUP(Tableau1345678[[#This Row],[Repère]],Tableau1[#All],8,FALSE))</f>
        <v/>
      </c>
      <c r="I57" s="13" t="str">
        <f>IF(Tableau1345678[[#This Row],[Repère]]="","",VLOOKUP(Tableau1345678[[#This Row],[Repère]],Tableau1[#All],9,FALSE))</f>
        <v/>
      </c>
      <c r="J57" s="13" t="str">
        <f>IF(Tableau1345678[[#This Row],[Repère]]="","",VLOOKUP(Tableau1345678[[#This Row],[Repère]],Tableau1[#All],10,FALSE))</f>
        <v/>
      </c>
      <c r="K57" s="13" t="str">
        <f>IF(Tableau1345678[[#This Row],[Repère]]="","",VLOOKUP(Tableau1345678[[#This Row],[Repère]],Tableau1[#All],11,FALSE))</f>
        <v/>
      </c>
      <c r="L57" s="14" t="str">
        <f>IF(Tableau1345678[[#This Row],[Repère]]="","",VLOOKUP(Tableau1345678[[#This Row],[Repère]],Tableau1[#All],12,FALSE))</f>
        <v/>
      </c>
    </row>
    <row r="58" spans="1:12" x14ac:dyDescent="0.3">
      <c r="A58" s="18"/>
      <c r="B58" s="19"/>
      <c r="C58" s="13" t="str">
        <f>IF(Tableau1345678[[#This Row],[Repère]]="","",VLOOKUP(Tableau1345678[[#This Row],[Repère]],Tableau1[#All],3,FALSE))</f>
        <v/>
      </c>
      <c r="D58" s="13" t="str">
        <f>IF(Tableau1345678[[#This Row],[Repère]]="","",VLOOKUP(Tableau1345678[[#This Row],[Repère]],Tableau1[#All],4,FALSE))</f>
        <v/>
      </c>
      <c r="E58" s="13" t="str">
        <f>IF(Tableau1345678[[#This Row],[Repère]]="","",VLOOKUP(Tableau1345678[[#This Row],[Repère]],Tableau1[#All],5,FALSE))</f>
        <v/>
      </c>
      <c r="F58" s="13" t="str">
        <f>IF(Tableau1345678[[#This Row],[Repère]]="","",VLOOKUP(Tableau1345678[[#This Row],[Repère]],Tableau1[#All],6,FALSE))</f>
        <v/>
      </c>
      <c r="G58" s="13" t="str">
        <f>IF(Tableau1345678[[#This Row],[Repère]]="","",VLOOKUP(Tableau1345678[[#This Row],[Repère]],Tableau1[#All],7,FALSE))</f>
        <v/>
      </c>
      <c r="H58" s="13" t="str">
        <f>IF(Tableau1345678[[#This Row],[Repère]]="","",VLOOKUP(Tableau1345678[[#This Row],[Repère]],Tableau1[#All],8,FALSE))</f>
        <v/>
      </c>
      <c r="I58" s="13" t="str">
        <f>IF(Tableau1345678[[#This Row],[Repère]]="","",VLOOKUP(Tableau1345678[[#This Row],[Repère]],Tableau1[#All],9,FALSE))</f>
        <v/>
      </c>
      <c r="J58" s="13" t="str">
        <f>IF(Tableau1345678[[#This Row],[Repère]]="","",VLOOKUP(Tableau1345678[[#This Row],[Repère]],Tableau1[#All],10,FALSE))</f>
        <v/>
      </c>
      <c r="K58" s="13" t="str">
        <f>IF(Tableau1345678[[#This Row],[Repère]]="","",VLOOKUP(Tableau1345678[[#This Row],[Repère]],Tableau1[#All],11,FALSE))</f>
        <v/>
      </c>
      <c r="L58" s="14" t="str">
        <f>IF(Tableau1345678[[#This Row],[Repère]]="","",VLOOKUP(Tableau1345678[[#This Row],[Repère]],Tableau1[#All],12,FALSE))</f>
        <v/>
      </c>
    </row>
    <row r="59" spans="1:12" x14ac:dyDescent="0.3">
      <c r="A59" s="18"/>
      <c r="B59" s="19"/>
      <c r="C59" s="13" t="str">
        <f>IF(Tableau1345678[[#This Row],[Repère]]="","",VLOOKUP(Tableau1345678[[#This Row],[Repère]],Tableau1[#All],3,FALSE))</f>
        <v/>
      </c>
      <c r="D59" s="13" t="str">
        <f>IF(Tableau1345678[[#This Row],[Repère]]="","",VLOOKUP(Tableau1345678[[#This Row],[Repère]],Tableau1[#All],4,FALSE))</f>
        <v/>
      </c>
      <c r="E59" s="13" t="str">
        <f>IF(Tableau1345678[[#This Row],[Repère]]="","",VLOOKUP(Tableau1345678[[#This Row],[Repère]],Tableau1[#All],5,FALSE))</f>
        <v/>
      </c>
      <c r="F59" s="13" t="str">
        <f>IF(Tableau1345678[[#This Row],[Repère]]="","",VLOOKUP(Tableau1345678[[#This Row],[Repère]],Tableau1[#All],6,FALSE))</f>
        <v/>
      </c>
      <c r="G59" s="13" t="str">
        <f>IF(Tableau1345678[[#This Row],[Repère]]="","",VLOOKUP(Tableau1345678[[#This Row],[Repère]],Tableau1[#All],7,FALSE))</f>
        <v/>
      </c>
      <c r="H59" s="13" t="str">
        <f>IF(Tableau1345678[[#This Row],[Repère]]="","",VLOOKUP(Tableau1345678[[#This Row],[Repère]],Tableau1[#All],8,FALSE))</f>
        <v/>
      </c>
      <c r="I59" s="13" t="str">
        <f>IF(Tableau1345678[[#This Row],[Repère]]="","",VLOOKUP(Tableau1345678[[#This Row],[Repère]],Tableau1[#All],9,FALSE))</f>
        <v/>
      </c>
      <c r="J59" s="13" t="str">
        <f>IF(Tableau1345678[[#This Row],[Repère]]="","",VLOOKUP(Tableau1345678[[#This Row],[Repère]],Tableau1[#All],10,FALSE))</f>
        <v/>
      </c>
      <c r="K59" s="13" t="str">
        <f>IF(Tableau1345678[[#This Row],[Repère]]="","",VLOOKUP(Tableau1345678[[#This Row],[Repère]],Tableau1[#All],11,FALSE))</f>
        <v/>
      </c>
      <c r="L59" s="14" t="str">
        <f>IF(Tableau1345678[[#This Row],[Repère]]="","",VLOOKUP(Tableau1345678[[#This Row],[Repère]],Tableau1[#All],12,FALSE))</f>
        <v/>
      </c>
    </row>
    <row r="60" spans="1:12" x14ac:dyDescent="0.3">
      <c r="A60" s="18"/>
      <c r="B60" s="19"/>
      <c r="C60" s="13" t="str">
        <f>IF(Tableau1345678[[#This Row],[Repère]]="","",VLOOKUP(Tableau1345678[[#This Row],[Repère]],Tableau1[#All],3,FALSE))</f>
        <v/>
      </c>
      <c r="D60" s="13" t="str">
        <f>IF(Tableau1345678[[#This Row],[Repère]]="","",VLOOKUP(Tableau1345678[[#This Row],[Repère]],Tableau1[#All],4,FALSE))</f>
        <v/>
      </c>
      <c r="E60" s="13" t="str">
        <f>IF(Tableau1345678[[#This Row],[Repère]]="","",VLOOKUP(Tableau1345678[[#This Row],[Repère]],Tableau1[#All],5,FALSE))</f>
        <v/>
      </c>
      <c r="F60" s="13" t="str">
        <f>IF(Tableau1345678[[#This Row],[Repère]]="","",VLOOKUP(Tableau1345678[[#This Row],[Repère]],Tableau1[#All],6,FALSE))</f>
        <v/>
      </c>
      <c r="G60" s="13" t="str">
        <f>IF(Tableau1345678[[#This Row],[Repère]]="","",VLOOKUP(Tableau1345678[[#This Row],[Repère]],Tableau1[#All],7,FALSE))</f>
        <v/>
      </c>
      <c r="H60" s="13" t="str">
        <f>IF(Tableau1345678[[#This Row],[Repère]]="","",VLOOKUP(Tableau1345678[[#This Row],[Repère]],Tableau1[#All],8,FALSE))</f>
        <v/>
      </c>
      <c r="I60" s="13" t="str">
        <f>IF(Tableau1345678[[#This Row],[Repère]]="","",VLOOKUP(Tableau1345678[[#This Row],[Repère]],Tableau1[#All],9,FALSE))</f>
        <v/>
      </c>
      <c r="J60" s="13" t="str">
        <f>IF(Tableau1345678[[#This Row],[Repère]]="","",VLOOKUP(Tableau1345678[[#This Row],[Repère]],Tableau1[#All],10,FALSE))</f>
        <v/>
      </c>
      <c r="K60" s="13" t="str">
        <f>IF(Tableau1345678[[#This Row],[Repère]]="","",VLOOKUP(Tableau1345678[[#This Row],[Repère]],Tableau1[#All],11,FALSE))</f>
        <v/>
      </c>
      <c r="L60" s="14" t="str">
        <f>IF(Tableau1345678[[#This Row],[Repère]]="","",VLOOKUP(Tableau1345678[[#This Row],[Repère]],Tableau1[#All],12,FALSE))</f>
        <v/>
      </c>
    </row>
    <row r="61" spans="1:12" x14ac:dyDescent="0.3">
      <c r="A61" s="18"/>
      <c r="B61" s="19"/>
      <c r="C61" s="13" t="str">
        <f>IF(Tableau1345678[[#This Row],[Repère]]="","",VLOOKUP(Tableau1345678[[#This Row],[Repère]],Tableau1[#All],3,FALSE))</f>
        <v/>
      </c>
      <c r="D61" s="13" t="str">
        <f>IF(Tableau1345678[[#This Row],[Repère]]="","",VLOOKUP(Tableau1345678[[#This Row],[Repère]],Tableau1[#All],4,FALSE))</f>
        <v/>
      </c>
      <c r="E61" s="13" t="str">
        <f>IF(Tableau1345678[[#This Row],[Repère]]="","",VLOOKUP(Tableau1345678[[#This Row],[Repère]],Tableau1[#All],5,FALSE))</f>
        <v/>
      </c>
      <c r="F61" s="13" t="str">
        <f>IF(Tableau1345678[[#This Row],[Repère]]="","",VLOOKUP(Tableau1345678[[#This Row],[Repère]],Tableau1[#All],6,FALSE))</f>
        <v/>
      </c>
      <c r="G61" s="13" t="str">
        <f>IF(Tableau1345678[[#This Row],[Repère]]="","",VLOOKUP(Tableau1345678[[#This Row],[Repère]],Tableau1[#All],7,FALSE))</f>
        <v/>
      </c>
      <c r="H61" s="13" t="str">
        <f>IF(Tableau1345678[[#This Row],[Repère]]="","",VLOOKUP(Tableau1345678[[#This Row],[Repère]],Tableau1[#All],8,FALSE))</f>
        <v/>
      </c>
      <c r="I61" s="13" t="str">
        <f>IF(Tableau1345678[[#This Row],[Repère]]="","",VLOOKUP(Tableau1345678[[#This Row],[Repère]],Tableau1[#All],9,FALSE))</f>
        <v/>
      </c>
      <c r="J61" s="13" t="str">
        <f>IF(Tableau1345678[[#This Row],[Repère]]="","",VLOOKUP(Tableau1345678[[#This Row],[Repère]],Tableau1[#All],10,FALSE))</f>
        <v/>
      </c>
      <c r="K61" s="13" t="str">
        <f>IF(Tableau1345678[[#This Row],[Repère]]="","",VLOOKUP(Tableau1345678[[#This Row],[Repère]],Tableau1[#All],11,FALSE))</f>
        <v/>
      </c>
      <c r="L61" s="14" t="str">
        <f>IF(Tableau1345678[[#This Row],[Repère]]="","",VLOOKUP(Tableau1345678[[#This Row],[Repère]],Tableau1[#All],12,FALSE))</f>
        <v/>
      </c>
    </row>
    <row r="62" spans="1:12" x14ac:dyDescent="0.3">
      <c r="A62" s="18"/>
      <c r="B62" s="19"/>
      <c r="C62" s="13" t="str">
        <f>IF(Tableau1345678[[#This Row],[Repère]]="","",VLOOKUP(Tableau1345678[[#This Row],[Repère]],Tableau1[#All],3,FALSE))</f>
        <v/>
      </c>
      <c r="D62" s="13" t="str">
        <f>IF(Tableau1345678[[#This Row],[Repère]]="","",VLOOKUP(Tableau1345678[[#This Row],[Repère]],Tableau1[#All],4,FALSE))</f>
        <v/>
      </c>
      <c r="E62" s="13" t="str">
        <f>IF(Tableau1345678[[#This Row],[Repère]]="","",VLOOKUP(Tableau1345678[[#This Row],[Repère]],Tableau1[#All],5,FALSE))</f>
        <v/>
      </c>
      <c r="F62" s="13" t="str">
        <f>IF(Tableau1345678[[#This Row],[Repère]]="","",VLOOKUP(Tableau1345678[[#This Row],[Repère]],Tableau1[#All],6,FALSE))</f>
        <v/>
      </c>
      <c r="G62" s="13" t="str">
        <f>IF(Tableau1345678[[#This Row],[Repère]]="","",VLOOKUP(Tableau1345678[[#This Row],[Repère]],Tableau1[#All],7,FALSE))</f>
        <v/>
      </c>
      <c r="H62" s="13" t="str">
        <f>IF(Tableau1345678[[#This Row],[Repère]]="","",VLOOKUP(Tableau1345678[[#This Row],[Repère]],Tableau1[#All],8,FALSE))</f>
        <v/>
      </c>
      <c r="I62" s="13" t="str">
        <f>IF(Tableau1345678[[#This Row],[Repère]]="","",VLOOKUP(Tableau1345678[[#This Row],[Repère]],Tableau1[#All],9,FALSE))</f>
        <v/>
      </c>
      <c r="J62" s="13" t="str">
        <f>IF(Tableau1345678[[#This Row],[Repère]]="","",VLOOKUP(Tableau1345678[[#This Row],[Repère]],Tableau1[#All],10,FALSE))</f>
        <v/>
      </c>
      <c r="K62" s="13" t="str">
        <f>IF(Tableau1345678[[#This Row],[Repère]]="","",VLOOKUP(Tableau1345678[[#This Row],[Repère]],Tableau1[#All],11,FALSE))</f>
        <v/>
      </c>
      <c r="L62" s="14" t="str">
        <f>IF(Tableau1345678[[#This Row],[Repère]]="","",VLOOKUP(Tableau1345678[[#This Row],[Repère]],Tableau1[#All],12,FALSE))</f>
        <v/>
      </c>
    </row>
    <row r="63" spans="1:12" x14ac:dyDescent="0.3">
      <c r="A63" s="18"/>
      <c r="B63" s="19"/>
      <c r="C63" s="13" t="str">
        <f>IF(Tableau1345678[[#This Row],[Repère]]="","",VLOOKUP(Tableau1345678[[#This Row],[Repère]],Tableau1[#All],3,FALSE))</f>
        <v/>
      </c>
      <c r="D63" s="13" t="str">
        <f>IF(Tableau1345678[[#This Row],[Repère]]="","",VLOOKUP(Tableau1345678[[#This Row],[Repère]],Tableau1[#All],4,FALSE))</f>
        <v/>
      </c>
      <c r="E63" s="13" t="str">
        <f>IF(Tableau1345678[[#This Row],[Repère]]="","",VLOOKUP(Tableau1345678[[#This Row],[Repère]],Tableau1[#All],5,FALSE))</f>
        <v/>
      </c>
      <c r="F63" s="13" t="str">
        <f>IF(Tableau1345678[[#This Row],[Repère]]="","",VLOOKUP(Tableau1345678[[#This Row],[Repère]],Tableau1[#All],6,FALSE))</f>
        <v/>
      </c>
      <c r="G63" s="13" t="str">
        <f>IF(Tableau1345678[[#This Row],[Repère]]="","",VLOOKUP(Tableau1345678[[#This Row],[Repère]],Tableau1[#All],7,FALSE))</f>
        <v/>
      </c>
      <c r="H63" s="13" t="str">
        <f>IF(Tableau1345678[[#This Row],[Repère]]="","",VLOOKUP(Tableau1345678[[#This Row],[Repère]],Tableau1[#All],8,FALSE))</f>
        <v/>
      </c>
      <c r="I63" s="13" t="str">
        <f>IF(Tableau1345678[[#This Row],[Repère]]="","",VLOOKUP(Tableau1345678[[#This Row],[Repère]],Tableau1[#All],9,FALSE))</f>
        <v/>
      </c>
      <c r="J63" s="13" t="str">
        <f>IF(Tableau1345678[[#This Row],[Repère]]="","",VLOOKUP(Tableau1345678[[#This Row],[Repère]],Tableau1[#All],10,FALSE))</f>
        <v/>
      </c>
      <c r="K63" s="13" t="str">
        <f>IF(Tableau1345678[[#This Row],[Repère]]="","",VLOOKUP(Tableau1345678[[#This Row],[Repère]],Tableau1[#All],11,FALSE))</f>
        <v/>
      </c>
      <c r="L63" s="14" t="str">
        <f>IF(Tableau1345678[[#This Row],[Repère]]="","",VLOOKUP(Tableau1345678[[#This Row],[Repère]],Tableau1[#All],12,FALSE))</f>
        <v/>
      </c>
    </row>
    <row r="64" spans="1:12" x14ac:dyDescent="0.3">
      <c r="A64" s="18"/>
      <c r="B64" s="19"/>
      <c r="C64" s="13" t="str">
        <f>IF(Tableau1345678[[#This Row],[Repère]]="","",VLOOKUP(Tableau1345678[[#This Row],[Repère]],Tableau1[#All],3,FALSE))</f>
        <v/>
      </c>
      <c r="D64" s="13" t="str">
        <f>IF(Tableau1345678[[#This Row],[Repère]]="","",VLOOKUP(Tableau1345678[[#This Row],[Repère]],Tableau1[#All],4,FALSE))</f>
        <v/>
      </c>
      <c r="E64" s="13" t="str">
        <f>IF(Tableau1345678[[#This Row],[Repère]]="","",VLOOKUP(Tableau1345678[[#This Row],[Repère]],Tableau1[#All],5,FALSE))</f>
        <v/>
      </c>
      <c r="F64" s="13" t="str">
        <f>IF(Tableau1345678[[#This Row],[Repère]]="","",VLOOKUP(Tableau1345678[[#This Row],[Repère]],Tableau1[#All],6,FALSE))</f>
        <v/>
      </c>
      <c r="G64" s="13" t="str">
        <f>IF(Tableau1345678[[#This Row],[Repère]]="","",VLOOKUP(Tableau1345678[[#This Row],[Repère]],Tableau1[#All],7,FALSE))</f>
        <v/>
      </c>
      <c r="H64" s="13" t="str">
        <f>IF(Tableau1345678[[#This Row],[Repère]]="","",VLOOKUP(Tableau1345678[[#This Row],[Repère]],Tableau1[#All],8,FALSE))</f>
        <v/>
      </c>
      <c r="I64" s="13" t="str">
        <f>IF(Tableau1345678[[#This Row],[Repère]]="","",VLOOKUP(Tableau1345678[[#This Row],[Repère]],Tableau1[#All],9,FALSE))</f>
        <v/>
      </c>
      <c r="J64" s="13" t="str">
        <f>IF(Tableau1345678[[#This Row],[Repère]]="","",VLOOKUP(Tableau1345678[[#This Row],[Repère]],Tableau1[#All],10,FALSE))</f>
        <v/>
      </c>
      <c r="K64" s="13" t="str">
        <f>IF(Tableau1345678[[#This Row],[Repère]]="","",VLOOKUP(Tableau1345678[[#This Row],[Repère]],Tableau1[#All],11,FALSE))</f>
        <v/>
      </c>
      <c r="L64" s="14" t="str">
        <f>IF(Tableau1345678[[#This Row],[Repère]]="","",VLOOKUP(Tableau1345678[[#This Row],[Repère]],Tableau1[#All],12,FALSE))</f>
        <v/>
      </c>
    </row>
    <row r="65" spans="1:12" x14ac:dyDescent="0.3">
      <c r="A65" s="18"/>
      <c r="B65" s="19"/>
      <c r="C65" s="13" t="str">
        <f>IF(Tableau1345678[[#This Row],[Repère]]="","",VLOOKUP(Tableau1345678[[#This Row],[Repère]],Tableau1[#All],3,FALSE))</f>
        <v/>
      </c>
      <c r="D65" s="13" t="str">
        <f>IF(Tableau1345678[[#This Row],[Repère]]="","",VLOOKUP(Tableau1345678[[#This Row],[Repère]],Tableau1[#All],4,FALSE))</f>
        <v/>
      </c>
      <c r="E65" s="13" t="str">
        <f>IF(Tableau1345678[[#This Row],[Repère]]="","",VLOOKUP(Tableau1345678[[#This Row],[Repère]],Tableau1[#All],5,FALSE))</f>
        <v/>
      </c>
      <c r="F65" s="13" t="str">
        <f>IF(Tableau1345678[[#This Row],[Repère]]="","",VLOOKUP(Tableau1345678[[#This Row],[Repère]],Tableau1[#All],6,FALSE))</f>
        <v/>
      </c>
      <c r="G65" s="13" t="str">
        <f>IF(Tableau1345678[[#This Row],[Repère]]="","",VLOOKUP(Tableau1345678[[#This Row],[Repère]],Tableau1[#All],7,FALSE))</f>
        <v/>
      </c>
      <c r="H65" s="13" t="str">
        <f>IF(Tableau1345678[[#This Row],[Repère]]="","",VLOOKUP(Tableau1345678[[#This Row],[Repère]],Tableau1[#All],8,FALSE))</f>
        <v/>
      </c>
      <c r="I65" s="13" t="str">
        <f>IF(Tableau1345678[[#This Row],[Repère]]="","",VLOOKUP(Tableau1345678[[#This Row],[Repère]],Tableau1[#All],9,FALSE))</f>
        <v/>
      </c>
      <c r="J65" s="13" t="str">
        <f>IF(Tableau1345678[[#This Row],[Repère]]="","",VLOOKUP(Tableau1345678[[#This Row],[Repère]],Tableau1[#All],10,FALSE))</f>
        <v/>
      </c>
      <c r="K65" s="13" t="str">
        <f>IF(Tableau1345678[[#This Row],[Repère]]="","",VLOOKUP(Tableau1345678[[#This Row],[Repère]],Tableau1[#All],11,FALSE))</f>
        <v/>
      </c>
      <c r="L65" s="14" t="str">
        <f>IF(Tableau1345678[[#This Row],[Repère]]="","",VLOOKUP(Tableau1345678[[#This Row],[Repère]],Tableau1[#All],12,FALSE))</f>
        <v/>
      </c>
    </row>
    <row r="66" spans="1:12" x14ac:dyDescent="0.3">
      <c r="A66" s="18"/>
      <c r="B66" s="19"/>
      <c r="C66" s="13" t="str">
        <f>IF(Tableau1345678[[#This Row],[Repère]]="","",VLOOKUP(Tableau1345678[[#This Row],[Repère]],Tableau1[#All],3,FALSE))</f>
        <v/>
      </c>
      <c r="D66" s="13" t="str">
        <f>IF(Tableau1345678[[#This Row],[Repère]]="","",VLOOKUP(Tableau1345678[[#This Row],[Repère]],Tableau1[#All],4,FALSE))</f>
        <v/>
      </c>
      <c r="E66" s="13" t="str">
        <f>IF(Tableau1345678[[#This Row],[Repère]]="","",VLOOKUP(Tableau1345678[[#This Row],[Repère]],Tableau1[#All],5,FALSE))</f>
        <v/>
      </c>
      <c r="F66" s="13" t="str">
        <f>IF(Tableau1345678[[#This Row],[Repère]]="","",VLOOKUP(Tableau1345678[[#This Row],[Repère]],Tableau1[#All],6,FALSE))</f>
        <v/>
      </c>
      <c r="G66" s="13" t="str">
        <f>IF(Tableau1345678[[#This Row],[Repère]]="","",VLOOKUP(Tableau1345678[[#This Row],[Repère]],Tableau1[#All],7,FALSE))</f>
        <v/>
      </c>
      <c r="H66" s="13" t="str">
        <f>IF(Tableau1345678[[#This Row],[Repère]]="","",VLOOKUP(Tableau1345678[[#This Row],[Repère]],Tableau1[#All],8,FALSE))</f>
        <v/>
      </c>
      <c r="I66" s="13" t="str">
        <f>IF(Tableau1345678[[#This Row],[Repère]]="","",VLOOKUP(Tableau1345678[[#This Row],[Repère]],Tableau1[#All],9,FALSE))</f>
        <v/>
      </c>
      <c r="J66" s="13" t="str">
        <f>IF(Tableau1345678[[#This Row],[Repère]]="","",VLOOKUP(Tableau1345678[[#This Row],[Repère]],Tableau1[#All],10,FALSE))</f>
        <v/>
      </c>
      <c r="K66" s="13" t="str">
        <f>IF(Tableau1345678[[#This Row],[Repère]]="","",VLOOKUP(Tableau1345678[[#This Row],[Repère]],Tableau1[#All],11,FALSE))</f>
        <v/>
      </c>
      <c r="L66" s="14" t="str">
        <f>IF(Tableau1345678[[#This Row],[Repère]]="","",VLOOKUP(Tableau1345678[[#This Row],[Repère]],Tableau1[#All],12,FALSE))</f>
        <v/>
      </c>
    </row>
    <row r="67" spans="1:12" x14ac:dyDescent="0.3">
      <c r="A67" s="18"/>
      <c r="B67" s="19"/>
      <c r="C67" s="13" t="str">
        <f>IF(Tableau1345678[[#This Row],[Repère]]="","",VLOOKUP(Tableau1345678[[#This Row],[Repère]],Tableau1[#All],3,FALSE))</f>
        <v/>
      </c>
      <c r="D67" s="13" t="str">
        <f>IF(Tableau1345678[[#This Row],[Repère]]="","",VLOOKUP(Tableau1345678[[#This Row],[Repère]],Tableau1[#All],4,FALSE))</f>
        <v/>
      </c>
      <c r="E67" s="13" t="str">
        <f>IF(Tableau1345678[[#This Row],[Repère]]="","",VLOOKUP(Tableau1345678[[#This Row],[Repère]],Tableau1[#All],5,FALSE))</f>
        <v/>
      </c>
      <c r="F67" s="13" t="str">
        <f>IF(Tableau1345678[[#This Row],[Repère]]="","",VLOOKUP(Tableau1345678[[#This Row],[Repère]],Tableau1[#All],6,FALSE))</f>
        <v/>
      </c>
      <c r="G67" s="13" t="str">
        <f>IF(Tableau1345678[[#This Row],[Repère]]="","",VLOOKUP(Tableau1345678[[#This Row],[Repère]],Tableau1[#All],7,FALSE))</f>
        <v/>
      </c>
      <c r="H67" s="13" t="str">
        <f>IF(Tableau1345678[[#This Row],[Repère]]="","",VLOOKUP(Tableau1345678[[#This Row],[Repère]],Tableau1[#All],8,FALSE))</f>
        <v/>
      </c>
      <c r="I67" s="13" t="str">
        <f>IF(Tableau1345678[[#This Row],[Repère]]="","",VLOOKUP(Tableau1345678[[#This Row],[Repère]],Tableau1[#All],9,FALSE))</f>
        <v/>
      </c>
      <c r="J67" s="13" t="str">
        <f>IF(Tableau1345678[[#This Row],[Repère]]="","",VLOOKUP(Tableau1345678[[#This Row],[Repère]],Tableau1[#All],10,FALSE))</f>
        <v/>
      </c>
      <c r="K67" s="13" t="str">
        <f>IF(Tableau1345678[[#This Row],[Repère]]="","",VLOOKUP(Tableau1345678[[#This Row],[Repère]],Tableau1[#All],11,FALSE))</f>
        <v/>
      </c>
      <c r="L67" s="14" t="str">
        <f>IF(Tableau1345678[[#This Row],[Repère]]="","",VLOOKUP(Tableau1345678[[#This Row],[Repère]],Tableau1[#All],12,FALSE))</f>
        <v/>
      </c>
    </row>
    <row r="68" spans="1:12" x14ac:dyDescent="0.3">
      <c r="A68" s="18"/>
      <c r="B68" s="19"/>
      <c r="C68" s="13" t="str">
        <f>IF(Tableau1345678[[#This Row],[Repère]]="","",VLOOKUP(Tableau1345678[[#This Row],[Repère]],Tableau1[#All],3,FALSE))</f>
        <v/>
      </c>
      <c r="D68" s="13" t="str">
        <f>IF(Tableau1345678[[#This Row],[Repère]]="","",VLOOKUP(Tableau1345678[[#This Row],[Repère]],Tableau1[#All],4,FALSE))</f>
        <v/>
      </c>
      <c r="E68" s="13" t="str">
        <f>IF(Tableau1345678[[#This Row],[Repère]]="","",VLOOKUP(Tableau1345678[[#This Row],[Repère]],Tableau1[#All],5,FALSE))</f>
        <v/>
      </c>
      <c r="F68" s="13" t="str">
        <f>IF(Tableau1345678[[#This Row],[Repère]]="","",VLOOKUP(Tableau1345678[[#This Row],[Repère]],Tableau1[#All],6,FALSE))</f>
        <v/>
      </c>
      <c r="G68" s="13" t="str">
        <f>IF(Tableau1345678[[#This Row],[Repère]]="","",VLOOKUP(Tableau1345678[[#This Row],[Repère]],Tableau1[#All],7,FALSE))</f>
        <v/>
      </c>
      <c r="H68" s="13" t="str">
        <f>IF(Tableau1345678[[#This Row],[Repère]]="","",VLOOKUP(Tableau1345678[[#This Row],[Repère]],Tableau1[#All],8,FALSE))</f>
        <v/>
      </c>
      <c r="I68" s="13" t="str">
        <f>IF(Tableau1345678[[#This Row],[Repère]]="","",VLOOKUP(Tableau1345678[[#This Row],[Repère]],Tableau1[#All],9,FALSE))</f>
        <v/>
      </c>
      <c r="J68" s="13" t="str">
        <f>IF(Tableau1345678[[#This Row],[Repère]]="","",VLOOKUP(Tableau1345678[[#This Row],[Repère]],Tableau1[#All],10,FALSE))</f>
        <v/>
      </c>
      <c r="K68" s="13" t="str">
        <f>IF(Tableau1345678[[#This Row],[Repère]]="","",VLOOKUP(Tableau1345678[[#This Row],[Repère]],Tableau1[#All],11,FALSE))</f>
        <v/>
      </c>
      <c r="L68" s="14" t="str">
        <f>IF(Tableau1345678[[#This Row],[Repère]]="","",VLOOKUP(Tableau1345678[[#This Row],[Repère]],Tableau1[#All],12,FALSE))</f>
        <v/>
      </c>
    </row>
    <row r="69" spans="1:12" x14ac:dyDescent="0.3">
      <c r="A69" s="18"/>
      <c r="B69" s="19"/>
      <c r="C69" s="13" t="str">
        <f>IF(Tableau1345678[[#This Row],[Repère]]="","",VLOOKUP(Tableau1345678[[#This Row],[Repère]],Tableau1[#All],3,FALSE))</f>
        <v/>
      </c>
      <c r="D69" s="13" t="str">
        <f>IF(Tableau1345678[[#This Row],[Repère]]="","",VLOOKUP(Tableau1345678[[#This Row],[Repère]],Tableau1[#All],4,FALSE))</f>
        <v/>
      </c>
      <c r="E69" s="13" t="str">
        <f>IF(Tableau1345678[[#This Row],[Repère]]="","",VLOOKUP(Tableau1345678[[#This Row],[Repère]],Tableau1[#All],5,FALSE))</f>
        <v/>
      </c>
      <c r="F69" s="13" t="str">
        <f>IF(Tableau1345678[[#This Row],[Repère]]="","",VLOOKUP(Tableau1345678[[#This Row],[Repère]],Tableau1[#All],6,FALSE))</f>
        <v/>
      </c>
      <c r="G69" s="13" t="str">
        <f>IF(Tableau1345678[[#This Row],[Repère]]="","",VLOOKUP(Tableau1345678[[#This Row],[Repère]],Tableau1[#All],7,FALSE))</f>
        <v/>
      </c>
      <c r="H69" s="13" t="str">
        <f>IF(Tableau1345678[[#This Row],[Repère]]="","",VLOOKUP(Tableau1345678[[#This Row],[Repère]],Tableau1[#All],8,FALSE))</f>
        <v/>
      </c>
      <c r="I69" s="13" t="str">
        <f>IF(Tableau1345678[[#This Row],[Repère]]="","",VLOOKUP(Tableau1345678[[#This Row],[Repère]],Tableau1[#All],9,FALSE))</f>
        <v/>
      </c>
      <c r="J69" s="13" t="str">
        <f>IF(Tableau1345678[[#This Row],[Repère]]="","",VLOOKUP(Tableau1345678[[#This Row],[Repère]],Tableau1[#All],10,FALSE))</f>
        <v/>
      </c>
      <c r="K69" s="13" t="str">
        <f>IF(Tableau1345678[[#This Row],[Repère]]="","",VLOOKUP(Tableau1345678[[#This Row],[Repère]],Tableau1[#All],11,FALSE))</f>
        <v/>
      </c>
      <c r="L69" s="14" t="str">
        <f>IF(Tableau1345678[[#This Row],[Repère]]="","",VLOOKUP(Tableau1345678[[#This Row],[Repère]],Tableau1[#All],12,FALSE))</f>
        <v/>
      </c>
    </row>
    <row r="70" spans="1:12" x14ac:dyDescent="0.3">
      <c r="A70" s="18"/>
      <c r="B70" s="19"/>
      <c r="C70" s="13" t="str">
        <f>IF(Tableau1345678[[#This Row],[Repère]]="","",VLOOKUP(Tableau1345678[[#This Row],[Repère]],Tableau1[#All],3,FALSE))</f>
        <v/>
      </c>
      <c r="D70" s="13" t="str">
        <f>IF(Tableau1345678[[#This Row],[Repère]]="","",VLOOKUP(Tableau1345678[[#This Row],[Repère]],Tableau1[#All],4,FALSE))</f>
        <v/>
      </c>
      <c r="E70" s="13" t="str">
        <f>IF(Tableau1345678[[#This Row],[Repère]]="","",VLOOKUP(Tableau1345678[[#This Row],[Repère]],Tableau1[#All],5,FALSE))</f>
        <v/>
      </c>
      <c r="F70" s="13" t="str">
        <f>IF(Tableau1345678[[#This Row],[Repère]]="","",VLOOKUP(Tableau1345678[[#This Row],[Repère]],Tableau1[#All],6,FALSE))</f>
        <v/>
      </c>
      <c r="G70" s="13" t="str">
        <f>IF(Tableau1345678[[#This Row],[Repère]]="","",VLOOKUP(Tableau1345678[[#This Row],[Repère]],Tableau1[#All],7,FALSE))</f>
        <v/>
      </c>
      <c r="H70" s="13" t="str">
        <f>IF(Tableau1345678[[#This Row],[Repère]]="","",VLOOKUP(Tableau1345678[[#This Row],[Repère]],Tableau1[#All],8,FALSE))</f>
        <v/>
      </c>
      <c r="I70" s="13" t="str">
        <f>IF(Tableau1345678[[#This Row],[Repère]]="","",VLOOKUP(Tableau1345678[[#This Row],[Repère]],Tableau1[#All],9,FALSE))</f>
        <v/>
      </c>
      <c r="J70" s="13" t="str">
        <f>IF(Tableau1345678[[#This Row],[Repère]]="","",VLOOKUP(Tableau1345678[[#This Row],[Repère]],Tableau1[#All],10,FALSE))</f>
        <v/>
      </c>
      <c r="K70" s="13" t="str">
        <f>IF(Tableau1345678[[#This Row],[Repère]]="","",VLOOKUP(Tableau1345678[[#This Row],[Repère]],Tableau1[#All],11,FALSE))</f>
        <v/>
      </c>
      <c r="L70" s="14" t="str">
        <f>IF(Tableau1345678[[#This Row],[Repère]]="","",VLOOKUP(Tableau1345678[[#This Row],[Repère]],Tableau1[#All],12,FALSE))</f>
        <v/>
      </c>
    </row>
    <row r="71" spans="1:12" x14ac:dyDescent="0.3">
      <c r="A71" s="18"/>
      <c r="B71" s="19"/>
      <c r="C71" s="13" t="str">
        <f>IF(Tableau1345678[[#This Row],[Repère]]="","",VLOOKUP(Tableau1345678[[#This Row],[Repère]],Tableau1[#All],3,FALSE))</f>
        <v/>
      </c>
      <c r="D71" s="13" t="str">
        <f>IF(Tableau1345678[[#This Row],[Repère]]="","",VLOOKUP(Tableau1345678[[#This Row],[Repère]],Tableau1[#All],4,FALSE))</f>
        <v/>
      </c>
      <c r="E71" s="13" t="str">
        <f>IF(Tableau1345678[[#This Row],[Repère]]="","",VLOOKUP(Tableau1345678[[#This Row],[Repère]],Tableau1[#All],5,FALSE))</f>
        <v/>
      </c>
      <c r="F71" s="13" t="str">
        <f>IF(Tableau1345678[[#This Row],[Repère]]="","",VLOOKUP(Tableau1345678[[#This Row],[Repère]],Tableau1[#All],6,FALSE))</f>
        <v/>
      </c>
      <c r="G71" s="13" t="str">
        <f>IF(Tableau1345678[[#This Row],[Repère]]="","",VLOOKUP(Tableau1345678[[#This Row],[Repère]],Tableau1[#All],7,FALSE))</f>
        <v/>
      </c>
      <c r="H71" s="13" t="str">
        <f>IF(Tableau1345678[[#This Row],[Repère]]="","",VLOOKUP(Tableau1345678[[#This Row],[Repère]],Tableau1[#All],8,FALSE))</f>
        <v/>
      </c>
      <c r="I71" s="13" t="str">
        <f>IF(Tableau1345678[[#This Row],[Repère]]="","",VLOOKUP(Tableau1345678[[#This Row],[Repère]],Tableau1[#All],9,FALSE))</f>
        <v/>
      </c>
      <c r="J71" s="13" t="str">
        <f>IF(Tableau1345678[[#This Row],[Repère]]="","",VLOOKUP(Tableau1345678[[#This Row],[Repère]],Tableau1[#All],10,FALSE))</f>
        <v/>
      </c>
      <c r="K71" s="13" t="str">
        <f>IF(Tableau1345678[[#This Row],[Repère]]="","",VLOOKUP(Tableau1345678[[#This Row],[Repère]],Tableau1[#All],11,FALSE))</f>
        <v/>
      </c>
      <c r="L71" s="14" t="str">
        <f>IF(Tableau1345678[[#This Row],[Repère]]="","",VLOOKUP(Tableau1345678[[#This Row],[Repère]],Tableau1[#All],12,FALSE))</f>
        <v/>
      </c>
    </row>
    <row r="72" spans="1:12" x14ac:dyDescent="0.3">
      <c r="A72" s="18"/>
      <c r="B72" s="19"/>
      <c r="C72" s="13" t="str">
        <f>IF(Tableau1345678[[#This Row],[Repère]]="","",VLOOKUP(Tableau1345678[[#This Row],[Repère]],Tableau1[#All],3,FALSE))</f>
        <v/>
      </c>
      <c r="D72" s="13" t="str">
        <f>IF(Tableau1345678[[#This Row],[Repère]]="","",VLOOKUP(Tableau1345678[[#This Row],[Repère]],Tableau1[#All],4,FALSE))</f>
        <v/>
      </c>
      <c r="E72" s="13" t="str">
        <f>IF(Tableau1345678[[#This Row],[Repère]]="","",VLOOKUP(Tableau1345678[[#This Row],[Repère]],Tableau1[#All],5,FALSE))</f>
        <v/>
      </c>
      <c r="F72" s="13" t="str">
        <f>IF(Tableau1345678[[#This Row],[Repère]]="","",VLOOKUP(Tableau1345678[[#This Row],[Repère]],Tableau1[#All],6,FALSE))</f>
        <v/>
      </c>
      <c r="G72" s="13" t="str">
        <f>IF(Tableau1345678[[#This Row],[Repère]]="","",VLOOKUP(Tableau1345678[[#This Row],[Repère]],Tableau1[#All],7,FALSE))</f>
        <v/>
      </c>
      <c r="H72" s="13" t="str">
        <f>IF(Tableau1345678[[#This Row],[Repère]]="","",VLOOKUP(Tableau1345678[[#This Row],[Repère]],Tableau1[#All],8,FALSE))</f>
        <v/>
      </c>
      <c r="I72" s="13" t="str">
        <f>IF(Tableau1345678[[#This Row],[Repère]]="","",VLOOKUP(Tableau1345678[[#This Row],[Repère]],Tableau1[#All],9,FALSE))</f>
        <v/>
      </c>
      <c r="J72" s="13" t="str">
        <f>IF(Tableau1345678[[#This Row],[Repère]]="","",VLOOKUP(Tableau1345678[[#This Row],[Repère]],Tableau1[#All],10,FALSE))</f>
        <v/>
      </c>
      <c r="K72" s="13" t="str">
        <f>IF(Tableau1345678[[#This Row],[Repère]]="","",VLOOKUP(Tableau1345678[[#This Row],[Repère]],Tableau1[#All],11,FALSE))</f>
        <v/>
      </c>
      <c r="L72" s="14" t="str">
        <f>IF(Tableau1345678[[#This Row],[Repère]]="","",VLOOKUP(Tableau1345678[[#This Row],[Repère]],Tableau1[#All],12,FALSE))</f>
        <v/>
      </c>
    </row>
    <row r="73" spans="1:12" x14ac:dyDescent="0.3">
      <c r="A73" s="18"/>
      <c r="B73" s="19"/>
      <c r="C73" s="13" t="str">
        <f>IF(Tableau1345678[[#This Row],[Repère]]="","",VLOOKUP(Tableau1345678[[#This Row],[Repère]],Tableau1[#All],3,FALSE))</f>
        <v/>
      </c>
      <c r="D73" s="13" t="str">
        <f>IF(Tableau1345678[[#This Row],[Repère]]="","",VLOOKUP(Tableau1345678[[#This Row],[Repère]],Tableau1[#All],4,FALSE))</f>
        <v/>
      </c>
      <c r="E73" s="13" t="str">
        <f>IF(Tableau1345678[[#This Row],[Repère]]="","",VLOOKUP(Tableau1345678[[#This Row],[Repère]],Tableau1[#All],5,FALSE))</f>
        <v/>
      </c>
      <c r="F73" s="13" t="str">
        <f>IF(Tableau1345678[[#This Row],[Repère]]="","",VLOOKUP(Tableau1345678[[#This Row],[Repère]],Tableau1[#All],6,FALSE))</f>
        <v/>
      </c>
      <c r="G73" s="13" t="str">
        <f>IF(Tableau1345678[[#This Row],[Repère]]="","",VLOOKUP(Tableau1345678[[#This Row],[Repère]],Tableau1[#All],7,FALSE))</f>
        <v/>
      </c>
      <c r="H73" s="13" t="str">
        <f>IF(Tableau1345678[[#This Row],[Repère]]="","",VLOOKUP(Tableau1345678[[#This Row],[Repère]],Tableau1[#All],8,FALSE))</f>
        <v/>
      </c>
      <c r="I73" s="13" t="str">
        <f>IF(Tableau1345678[[#This Row],[Repère]]="","",VLOOKUP(Tableau1345678[[#This Row],[Repère]],Tableau1[#All],9,FALSE))</f>
        <v/>
      </c>
      <c r="J73" s="13" t="str">
        <f>IF(Tableau1345678[[#This Row],[Repère]]="","",VLOOKUP(Tableau1345678[[#This Row],[Repère]],Tableau1[#All],10,FALSE))</f>
        <v/>
      </c>
      <c r="K73" s="13" t="str">
        <f>IF(Tableau1345678[[#This Row],[Repère]]="","",VLOOKUP(Tableau1345678[[#This Row],[Repère]],Tableau1[#All],11,FALSE))</f>
        <v/>
      </c>
      <c r="L73" s="14" t="str">
        <f>IF(Tableau1345678[[#This Row],[Repère]]="","",VLOOKUP(Tableau1345678[[#This Row],[Repère]],Tableau1[#All],12,FALSE))</f>
        <v/>
      </c>
    </row>
    <row r="74" spans="1:12" x14ac:dyDescent="0.3">
      <c r="A74" s="18"/>
      <c r="B74" s="19"/>
      <c r="C74" s="13" t="str">
        <f>IF(Tableau1345678[[#This Row],[Repère]]="","",VLOOKUP(Tableau1345678[[#This Row],[Repère]],Tableau1[#All],3,FALSE))</f>
        <v/>
      </c>
      <c r="D74" s="13" t="str">
        <f>IF(Tableau1345678[[#This Row],[Repère]]="","",VLOOKUP(Tableau1345678[[#This Row],[Repère]],Tableau1[#All],4,FALSE))</f>
        <v/>
      </c>
      <c r="E74" s="13" t="str">
        <f>IF(Tableau1345678[[#This Row],[Repère]]="","",VLOOKUP(Tableau1345678[[#This Row],[Repère]],Tableau1[#All],5,FALSE))</f>
        <v/>
      </c>
      <c r="F74" s="13" t="str">
        <f>IF(Tableau1345678[[#This Row],[Repère]]="","",VLOOKUP(Tableau1345678[[#This Row],[Repère]],Tableau1[#All],6,FALSE))</f>
        <v/>
      </c>
      <c r="G74" s="13" t="str">
        <f>IF(Tableau1345678[[#This Row],[Repère]]="","",VLOOKUP(Tableau1345678[[#This Row],[Repère]],Tableau1[#All],7,FALSE))</f>
        <v/>
      </c>
      <c r="H74" s="13" t="str">
        <f>IF(Tableau1345678[[#This Row],[Repère]]="","",VLOOKUP(Tableau1345678[[#This Row],[Repère]],Tableau1[#All],8,FALSE))</f>
        <v/>
      </c>
      <c r="I74" s="13" t="str">
        <f>IF(Tableau1345678[[#This Row],[Repère]]="","",VLOOKUP(Tableau1345678[[#This Row],[Repère]],Tableau1[#All],9,FALSE))</f>
        <v/>
      </c>
      <c r="J74" s="13" t="str">
        <f>IF(Tableau1345678[[#This Row],[Repère]]="","",VLOOKUP(Tableau1345678[[#This Row],[Repère]],Tableau1[#All],10,FALSE))</f>
        <v/>
      </c>
      <c r="K74" s="13" t="str">
        <f>IF(Tableau1345678[[#This Row],[Repère]]="","",VLOOKUP(Tableau1345678[[#This Row],[Repère]],Tableau1[#All],11,FALSE))</f>
        <v/>
      </c>
      <c r="L74" s="14" t="str">
        <f>IF(Tableau1345678[[#This Row],[Repère]]="","",VLOOKUP(Tableau1345678[[#This Row],[Repère]],Tableau1[#All],12,FALSE))</f>
        <v/>
      </c>
    </row>
    <row r="75" spans="1:12" x14ac:dyDescent="0.3">
      <c r="A75" s="18"/>
      <c r="B75" s="19"/>
      <c r="C75" s="13" t="str">
        <f>IF(Tableau1345678[[#This Row],[Repère]]="","",VLOOKUP(Tableau1345678[[#This Row],[Repère]],Tableau1[#All],3,FALSE))</f>
        <v/>
      </c>
      <c r="D75" s="13" t="str">
        <f>IF(Tableau1345678[[#This Row],[Repère]]="","",VLOOKUP(Tableau1345678[[#This Row],[Repère]],Tableau1[#All],4,FALSE))</f>
        <v/>
      </c>
      <c r="E75" s="13" t="str">
        <f>IF(Tableau1345678[[#This Row],[Repère]]="","",VLOOKUP(Tableau1345678[[#This Row],[Repère]],Tableau1[#All],5,FALSE))</f>
        <v/>
      </c>
      <c r="F75" s="13" t="str">
        <f>IF(Tableau1345678[[#This Row],[Repère]]="","",VLOOKUP(Tableau1345678[[#This Row],[Repère]],Tableau1[#All],6,FALSE))</f>
        <v/>
      </c>
      <c r="G75" s="13" t="str">
        <f>IF(Tableau1345678[[#This Row],[Repère]]="","",VLOOKUP(Tableau1345678[[#This Row],[Repère]],Tableau1[#All],7,FALSE))</f>
        <v/>
      </c>
      <c r="H75" s="13" t="str">
        <f>IF(Tableau1345678[[#This Row],[Repère]]="","",VLOOKUP(Tableau1345678[[#This Row],[Repère]],Tableau1[#All],8,FALSE))</f>
        <v/>
      </c>
      <c r="I75" s="13" t="str">
        <f>IF(Tableau1345678[[#This Row],[Repère]]="","",VLOOKUP(Tableau1345678[[#This Row],[Repère]],Tableau1[#All],9,FALSE))</f>
        <v/>
      </c>
      <c r="J75" s="13" t="str">
        <f>IF(Tableau1345678[[#This Row],[Repère]]="","",VLOOKUP(Tableau1345678[[#This Row],[Repère]],Tableau1[#All],10,FALSE))</f>
        <v/>
      </c>
      <c r="K75" s="13" t="str">
        <f>IF(Tableau1345678[[#This Row],[Repère]]="","",VLOOKUP(Tableau1345678[[#This Row],[Repère]],Tableau1[#All],11,FALSE))</f>
        <v/>
      </c>
      <c r="L75" s="14" t="str">
        <f>IF(Tableau1345678[[#This Row],[Repère]]="","",VLOOKUP(Tableau1345678[[#This Row],[Repère]],Tableau1[#All],12,FALSE))</f>
        <v/>
      </c>
    </row>
    <row r="76" spans="1:12" x14ac:dyDescent="0.3">
      <c r="A76" s="18"/>
      <c r="B76" s="19"/>
      <c r="C76" s="13" t="str">
        <f>IF(Tableau1345678[[#This Row],[Repère]]="","",VLOOKUP(Tableau1345678[[#This Row],[Repère]],Tableau1[#All],3,FALSE))</f>
        <v/>
      </c>
      <c r="D76" s="13" t="str">
        <f>IF(Tableau1345678[[#This Row],[Repère]]="","",VLOOKUP(Tableau1345678[[#This Row],[Repère]],Tableau1[#All],4,FALSE))</f>
        <v/>
      </c>
      <c r="E76" s="13" t="str">
        <f>IF(Tableau1345678[[#This Row],[Repère]]="","",VLOOKUP(Tableau1345678[[#This Row],[Repère]],Tableau1[#All],5,FALSE))</f>
        <v/>
      </c>
      <c r="F76" s="13" t="str">
        <f>IF(Tableau1345678[[#This Row],[Repère]]="","",VLOOKUP(Tableau1345678[[#This Row],[Repère]],Tableau1[#All],6,FALSE))</f>
        <v/>
      </c>
      <c r="G76" s="13" t="str">
        <f>IF(Tableau1345678[[#This Row],[Repère]]="","",VLOOKUP(Tableau1345678[[#This Row],[Repère]],Tableau1[#All],7,FALSE))</f>
        <v/>
      </c>
      <c r="H76" s="13" t="str">
        <f>IF(Tableau1345678[[#This Row],[Repère]]="","",VLOOKUP(Tableau1345678[[#This Row],[Repère]],Tableau1[#All],8,FALSE))</f>
        <v/>
      </c>
      <c r="I76" s="13" t="str">
        <f>IF(Tableau1345678[[#This Row],[Repère]]="","",VLOOKUP(Tableau1345678[[#This Row],[Repère]],Tableau1[#All],9,FALSE))</f>
        <v/>
      </c>
      <c r="J76" s="13" t="str">
        <f>IF(Tableau1345678[[#This Row],[Repère]]="","",VLOOKUP(Tableau1345678[[#This Row],[Repère]],Tableau1[#All],10,FALSE))</f>
        <v/>
      </c>
      <c r="K76" s="13" t="str">
        <f>IF(Tableau1345678[[#This Row],[Repère]]="","",VLOOKUP(Tableau1345678[[#This Row],[Repère]],Tableau1[#All],11,FALSE))</f>
        <v/>
      </c>
      <c r="L76" s="14" t="str">
        <f>IF(Tableau1345678[[#This Row],[Repère]]="","",VLOOKUP(Tableau1345678[[#This Row],[Repère]],Tableau1[#All],12,FALSE))</f>
        <v/>
      </c>
    </row>
    <row r="77" spans="1:12" x14ac:dyDescent="0.3">
      <c r="A77" s="18"/>
      <c r="B77" s="19"/>
      <c r="C77" s="13" t="str">
        <f>IF(Tableau1345678[[#This Row],[Repère]]="","",VLOOKUP(Tableau1345678[[#This Row],[Repère]],Tableau1[#All],3,FALSE))</f>
        <v/>
      </c>
      <c r="D77" s="13" t="str">
        <f>IF(Tableau1345678[[#This Row],[Repère]]="","",VLOOKUP(Tableau1345678[[#This Row],[Repère]],Tableau1[#All],4,FALSE))</f>
        <v/>
      </c>
      <c r="E77" s="13" t="str">
        <f>IF(Tableau1345678[[#This Row],[Repère]]="","",VLOOKUP(Tableau1345678[[#This Row],[Repère]],Tableau1[#All],5,FALSE))</f>
        <v/>
      </c>
      <c r="F77" s="13" t="str">
        <f>IF(Tableau1345678[[#This Row],[Repère]]="","",VLOOKUP(Tableau1345678[[#This Row],[Repère]],Tableau1[#All],6,FALSE))</f>
        <v/>
      </c>
      <c r="G77" s="13" t="str">
        <f>IF(Tableau1345678[[#This Row],[Repère]]="","",VLOOKUP(Tableau1345678[[#This Row],[Repère]],Tableau1[#All],7,FALSE))</f>
        <v/>
      </c>
      <c r="H77" s="13" t="str">
        <f>IF(Tableau1345678[[#This Row],[Repère]]="","",VLOOKUP(Tableau1345678[[#This Row],[Repère]],Tableau1[#All],8,FALSE))</f>
        <v/>
      </c>
      <c r="I77" s="13" t="str">
        <f>IF(Tableau1345678[[#This Row],[Repère]]="","",VLOOKUP(Tableau1345678[[#This Row],[Repère]],Tableau1[#All],9,FALSE))</f>
        <v/>
      </c>
      <c r="J77" s="13" t="str">
        <f>IF(Tableau1345678[[#This Row],[Repère]]="","",VLOOKUP(Tableau1345678[[#This Row],[Repère]],Tableau1[#All],10,FALSE))</f>
        <v/>
      </c>
      <c r="K77" s="13" t="str">
        <f>IF(Tableau1345678[[#This Row],[Repère]]="","",VLOOKUP(Tableau1345678[[#This Row],[Repère]],Tableau1[#All],11,FALSE))</f>
        <v/>
      </c>
      <c r="L77" s="14" t="str">
        <f>IF(Tableau1345678[[#This Row],[Repère]]="","",VLOOKUP(Tableau1345678[[#This Row],[Repère]],Tableau1[#All],12,FALSE))</f>
        <v/>
      </c>
    </row>
    <row r="78" spans="1:12" x14ac:dyDescent="0.3">
      <c r="A78" s="18"/>
      <c r="B78" s="19"/>
      <c r="C78" s="13" t="str">
        <f>IF(Tableau1345678[[#This Row],[Repère]]="","",VLOOKUP(Tableau1345678[[#This Row],[Repère]],Tableau1[#All],3,FALSE))</f>
        <v/>
      </c>
      <c r="D78" s="13" t="str">
        <f>IF(Tableau1345678[[#This Row],[Repère]]="","",VLOOKUP(Tableau1345678[[#This Row],[Repère]],Tableau1[#All],4,FALSE))</f>
        <v/>
      </c>
      <c r="E78" s="13" t="str">
        <f>IF(Tableau1345678[[#This Row],[Repère]]="","",VLOOKUP(Tableau1345678[[#This Row],[Repère]],Tableau1[#All],5,FALSE))</f>
        <v/>
      </c>
      <c r="F78" s="13" t="str">
        <f>IF(Tableau1345678[[#This Row],[Repère]]="","",VLOOKUP(Tableau1345678[[#This Row],[Repère]],Tableau1[#All],6,FALSE))</f>
        <v/>
      </c>
      <c r="G78" s="13" t="str">
        <f>IF(Tableau1345678[[#This Row],[Repère]]="","",VLOOKUP(Tableau1345678[[#This Row],[Repère]],Tableau1[#All],7,FALSE))</f>
        <v/>
      </c>
      <c r="H78" s="13" t="str">
        <f>IF(Tableau1345678[[#This Row],[Repère]]="","",VLOOKUP(Tableau1345678[[#This Row],[Repère]],Tableau1[#All],8,FALSE))</f>
        <v/>
      </c>
      <c r="I78" s="13" t="str">
        <f>IF(Tableau1345678[[#This Row],[Repère]]="","",VLOOKUP(Tableau1345678[[#This Row],[Repère]],Tableau1[#All],9,FALSE))</f>
        <v/>
      </c>
      <c r="J78" s="13" t="str">
        <f>IF(Tableau1345678[[#This Row],[Repère]]="","",VLOOKUP(Tableau1345678[[#This Row],[Repère]],Tableau1[#All],10,FALSE))</f>
        <v/>
      </c>
      <c r="K78" s="13" t="str">
        <f>IF(Tableau1345678[[#This Row],[Repère]]="","",VLOOKUP(Tableau1345678[[#This Row],[Repère]],Tableau1[#All],11,FALSE))</f>
        <v/>
      </c>
      <c r="L78" s="14" t="str">
        <f>IF(Tableau1345678[[#This Row],[Repère]]="","",VLOOKUP(Tableau1345678[[#This Row],[Repère]],Tableau1[#All],12,FALSE))</f>
        <v/>
      </c>
    </row>
    <row r="79" spans="1:12" x14ac:dyDescent="0.3">
      <c r="A79" s="18"/>
      <c r="B79" s="19"/>
      <c r="C79" s="13" t="str">
        <f>IF(Tableau1345678[[#This Row],[Repère]]="","",VLOOKUP(Tableau1345678[[#This Row],[Repère]],Tableau1[#All],3,FALSE))</f>
        <v/>
      </c>
      <c r="D79" s="13" t="str">
        <f>IF(Tableau1345678[[#This Row],[Repère]]="","",VLOOKUP(Tableau1345678[[#This Row],[Repère]],Tableau1[#All],4,FALSE))</f>
        <v/>
      </c>
      <c r="E79" s="13" t="str">
        <f>IF(Tableau1345678[[#This Row],[Repère]]="","",VLOOKUP(Tableau1345678[[#This Row],[Repère]],Tableau1[#All],5,FALSE))</f>
        <v/>
      </c>
      <c r="F79" s="13" t="str">
        <f>IF(Tableau1345678[[#This Row],[Repère]]="","",VLOOKUP(Tableau1345678[[#This Row],[Repère]],Tableau1[#All],6,FALSE))</f>
        <v/>
      </c>
      <c r="G79" s="13" t="str">
        <f>IF(Tableau1345678[[#This Row],[Repère]]="","",VLOOKUP(Tableau1345678[[#This Row],[Repère]],Tableau1[#All],7,FALSE))</f>
        <v/>
      </c>
      <c r="H79" s="13" t="str">
        <f>IF(Tableau1345678[[#This Row],[Repère]]="","",VLOOKUP(Tableau1345678[[#This Row],[Repère]],Tableau1[#All],8,FALSE))</f>
        <v/>
      </c>
      <c r="I79" s="13" t="str">
        <f>IF(Tableau1345678[[#This Row],[Repère]]="","",VLOOKUP(Tableau1345678[[#This Row],[Repère]],Tableau1[#All],9,FALSE))</f>
        <v/>
      </c>
      <c r="J79" s="13" t="str">
        <f>IF(Tableau1345678[[#This Row],[Repère]]="","",VLOOKUP(Tableau1345678[[#This Row],[Repère]],Tableau1[#All],10,FALSE))</f>
        <v/>
      </c>
      <c r="K79" s="13" t="str">
        <f>IF(Tableau1345678[[#This Row],[Repère]]="","",VLOOKUP(Tableau1345678[[#This Row],[Repère]],Tableau1[#All],11,FALSE))</f>
        <v/>
      </c>
      <c r="L79" s="14" t="str">
        <f>IF(Tableau1345678[[#This Row],[Repère]]="","",VLOOKUP(Tableau1345678[[#This Row],[Repère]],Tableau1[#All],12,FALSE))</f>
        <v/>
      </c>
    </row>
    <row r="80" spans="1:12" x14ac:dyDescent="0.3">
      <c r="A80" s="18"/>
      <c r="B80" s="19"/>
      <c r="C80" s="13" t="str">
        <f>IF(Tableau1345678[[#This Row],[Repère]]="","",VLOOKUP(Tableau1345678[[#This Row],[Repère]],Tableau1[#All],3,FALSE))</f>
        <v/>
      </c>
      <c r="D80" s="13" t="str">
        <f>IF(Tableau1345678[[#This Row],[Repère]]="","",VLOOKUP(Tableau1345678[[#This Row],[Repère]],Tableau1[#All],4,FALSE))</f>
        <v/>
      </c>
      <c r="E80" s="13" t="str">
        <f>IF(Tableau1345678[[#This Row],[Repère]]="","",VLOOKUP(Tableau1345678[[#This Row],[Repère]],Tableau1[#All],5,FALSE))</f>
        <v/>
      </c>
      <c r="F80" s="13" t="str">
        <f>IF(Tableau1345678[[#This Row],[Repère]]="","",VLOOKUP(Tableau1345678[[#This Row],[Repère]],Tableau1[#All],6,FALSE))</f>
        <v/>
      </c>
      <c r="G80" s="13" t="str">
        <f>IF(Tableau1345678[[#This Row],[Repère]]="","",VLOOKUP(Tableau1345678[[#This Row],[Repère]],Tableau1[#All],7,FALSE))</f>
        <v/>
      </c>
      <c r="H80" s="13" t="str">
        <f>IF(Tableau1345678[[#This Row],[Repère]]="","",VLOOKUP(Tableau1345678[[#This Row],[Repère]],Tableau1[#All],8,FALSE))</f>
        <v/>
      </c>
      <c r="I80" s="13" t="str">
        <f>IF(Tableau1345678[[#This Row],[Repère]]="","",VLOOKUP(Tableau1345678[[#This Row],[Repère]],Tableau1[#All],9,FALSE))</f>
        <v/>
      </c>
      <c r="J80" s="13" t="str">
        <f>IF(Tableau1345678[[#This Row],[Repère]]="","",VLOOKUP(Tableau1345678[[#This Row],[Repère]],Tableau1[#All],10,FALSE))</f>
        <v/>
      </c>
      <c r="K80" s="13" t="str">
        <f>IF(Tableau1345678[[#This Row],[Repère]]="","",VLOOKUP(Tableau1345678[[#This Row],[Repère]],Tableau1[#All],11,FALSE))</f>
        <v/>
      </c>
      <c r="L80" s="14" t="str">
        <f>IF(Tableau1345678[[#This Row],[Repère]]="","",VLOOKUP(Tableau1345678[[#This Row],[Repère]],Tableau1[#All],12,FALSE))</f>
        <v/>
      </c>
    </row>
    <row r="81" spans="1:12" x14ac:dyDescent="0.3">
      <c r="A81" s="18"/>
      <c r="B81" s="19"/>
      <c r="C81" s="13" t="str">
        <f>IF(Tableau1345678[[#This Row],[Repère]]="","",VLOOKUP(Tableau1345678[[#This Row],[Repère]],Tableau1[#All],3,FALSE))</f>
        <v/>
      </c>
      <c r="D81" s="13" t="str">
        <f>IF(Tableau1345678[[#This Row],[Repère]]="","",VLOOKUP(Tableau1345678[[#This Row],[Repère]],Tableau1[#All],4,FALSE))</f>
        <v/>
      </c>
      <c r="E81" s="13" t="str">
        <f>IF(Tableau1345678[[#This Row],[Repère]]="","",VLOOKUP(Tableau1345678[[#This Row],[Repère]],Tableau1[#All],5,FALSE))</f>
        <v/>
      </c>
      <c r="F81" s="13" t="str">
        <f>IF(Tableau1345678[[#This Row],[Repère]]="","",VLOOKUP(Tableau1345678[[#This Row],[Repère]],Tableau1[#All],6,FALSE))</f>
        <v/>
      </c>
      <c r="G81" s="13" t="str">
        <f>IF(Tableau1345678[[#This Row],[Repère]]="","",VLOOKUP(Tableau1345678[[#This Row],[Repère]],Tableau1[#All],7,FALSE))</f>
        <v/>
      </c>
      <c r="H81" s="13" t="str">
        <f>IF(Tableau1345678[[#This Row],[Repère]]="","",VLOOKUP(Tableau1345678[[#This Row],[Repère]],Tableau1[#All],8,FALSE))</f>
        <v/>
      </c>
      <c r="I81" s="13" t="str">
        <f>IF(Tableau1345678[[#This Row],[Repère]]="","",VLOOKUP(Tableau1345678[[#This Row],[Repère]],Tableau1[#All],9,FALSE))</f>
        <v/>
      </c>
      <c r="J81" s="13" t="str">
        <f>IF(Tableau1345678[[#This Row],[Repère]]="","",VLOOKUP(Tableau1345678[[#This Row],[Repère]],Tableau1[#All],10,FALSE))</f>
        <v/>
      </c>
      <c r="K81" s="13" t="str">
        <f>IF(Tableau1345678[[#This Row],[Repère]]="","",VLOOKUP(Tableau1345678[[#This Row],[Repère]],Tableau1[#All],11,FALSE))</f>
        <v/>
      </c>
      <c r="L81" s="14" t="str">
        <f>IF(Tableau1345678[[#This Row],[Repère]]="","",VLOOKUP(Tableau1345678[[#This Row],[Repère]],Tableau1[#All],12,FALSE))</f>
        <v/>
      </c>
    </row>
    <row r="82" spans="1:12" x14ac:dyDescent="0.3">
      <c r="A82" s="18"/>
      <c r="B82" s="19"/>
      <c r="C82" s="13" t="str">
        <f>IF(Tableau1345678[[#This Row],[Repère]]="","",VLOOKUP(Tableau1345678[[#This Row],[Repère]],Tableau1[#All],3,FALSE))</f>
        <v/>
      </c>
      <c r="D82" s="13" t="str">
        <f>IF(Tableau1345678[[#This Row],[Repère]]="","",VLOOKUP(Tableau1345678[[#This Row],[Repère]],Tableau1[#All],4,FALSE))</f>
        <v/>
      </c>
      <c r="E82" s="13" t="str">
        <f>IF(Tableau1345678[[#This Row],[Repère]]="","",VLOOKUP(Tableau1345678[[#This Row],[Repère]],Tableau1[#All],5,FALSE))</f>
        <v/>
      </c>
      <c r="F82" s="13" t="str">
        <f>IF(Tableau1345678[[#This Row],[Repère]]="","",VLOOKUP(Tableau1345678[[#This Row],[Repère]],Tableau1[#All],6,FALSE))</f>
        <v/>
      </c>
      <c r="G82" s="13" t="str">
        <f>IF(Tableau1345678[[#This Row],[Repère]]="","",VLOOKUP(Tableau1345678[[#This Row],[Repère]],Tableau1[#All],7,FALSE))</f>
        <v/>
      </c>
      <c r="H82" s="13" t="str">
        <f>IF(Tableau1345678[[#This Row],[Repère]]="","",VLOOKUP(Tableau1345678[[#This Row],[Repère]],Tableau1[#All],8,FALSE))</f>
        <v/>
      </c>
      <c r="I82" s="13" t="str">
        <f>IF(Tableau1345678[[#This Row],[Repère]]="","",VLOOKUP(Tableau1345678[[#This Row],[Repère]],Tableau1[#All],9,FALSE))</f>
        <v/>
      </c>
      <c r="J82" s="13" t="str">
        <f>IF(Tableau1345678[[#This Row],[Repère]]="","",VLOOKUP(Tableau1345678[[#This Row],[Repère]],Tableau1[#All],10,FALSE))</f>
        <v/>
      </c>
      <c r="K82" s="13" t="str">
        <f>IF(Tableau1345678[[#This Row],[Repère]]="","",VLOOKUP(Tableau1345678[[#This Row],[Repère]],Tableau1[#All],11,FALSE))</f>
        <v/>
      </c>
      <c r="L82" s="14" t="str">
        <f>IF(Tableau1345678[[#This Row],[Repère]]="","",VLOOKUP(Tableau1345678[[#This Row],[Repère]],Tableau1[#All],12,FALSE))</f>
        <v/>
      </c>
    </row>
    <row r="83" spans="1:12" x14ac:dyDescent="0.3">
      <c r="A83" s="18"/>
      <c r="B83" s="19"/>
      <c r="C83" s="13" t="str">
        <f>IF(Tableau1345678[[#This Row],[Repère]]="","",VLOOKUP(Tableau1345678[[#This Row],[Repère]],Tableau1[#All],3,FALSE))</f>
        <v/>
      </c>
      <c r="D83" s="13" t="str">
        <f>IF(Tableau1345678[[#This Row],[Repère]]="","",VLOOKUP(Tableau1345678[[#This Row],[Repère]],Tableau1[#All],4,FALSE))</f>
        <v/>
      </c>
      <c r="E83" s="13" t="str">
        <f>IF(Tableau1345678[[#This Row],[Repère]]="","",VLOOKUP(Tableau1345678[[#This Row],[Repère]],Tableau1[#All],5,FALSE))</f>
        <v/>
      </c>
      <c r="F83" s="13" t="str">
        <f>IF(Tableau1345678[[#This Row],[Repère]]="","",VLOOKUP(Tableau1345678[[#This Row],[Repère]],Tableau1[#All],6,FALSE))</f>
        <v/>
      </c>
      <c r="G83" s="13" t="str">
        <f>IF(Tableau1345678[[#This Row],[Repère]]="","",VLOOKUP(Tableau1345678[[#This Row],[Repère]],Tableau1[#All],7,FALSE))</f>
        <v/>
      </c>
      <c r="H83" s="13" t="str">
        <f>IF(Tableau1345678[[#This Row],[Repère]]="","",VLOOKUP(Tableau1345678[[#This Row],[Repère]],Tableau1[#All],8,FALSE))</f>
        <v/>
      </c>
      <c r="I83" s="13" t="str">
        <f>IF(Tableau1345678[[#This Row],[Repère]]="","",VLOOKUP(Tableau1345678[[#This Row],[Repère]],Tableau1[#All],9,FALSE))</f>
        <v/>
      </c>
      <c r="J83" s="13" t="str">
        <f>IF(Tableau1345678[[#This Row],[Repère]]="","",VLOOKUP(Tableau1345678[[#This Row],[Repère]],Tableau1[#All],10,FALSE))</f>
        <v/>
      </c>
      <c r="K83" s="13" t="str">
        <f>IF(Tableau1345678[[#This Row],[Repère]]="","",VLOOKUP(Tableau1345678[[#This Row],[Repère]],Tableau1[#All],11,FALSE))</f>
        <v/>
      </c>
      <c r="L83" s="14" t="str">
        <f>IF(Tableau1345678[[#This Row],[Repère]]="","",VLOOKUP(Tableau1345678[[#This Row],[Repère]],Tableau1[#All],12,FALSE))</f>
        <v/>
      </c>
    </row>
    <row r="84" spans="1:12" x14ac:dyDescent="0.3">
      <c r="A84" s="18"/>
      <c r="B84" s="19"/>
      <c r="C84" s="13" t="str">
        <f>IF(Tableau1345678[[#This Row],[Repère]]="","",VLOOKUP(Tableau1345678[[#This Row],[Repère]],Tableau1[#All],3,FALSE))</f>
        <v/>
      </c>
      <c r="D84" s="13" t="str">
        <f>IF(Tableau1345678[[#This Row],[Repère]]="","",VLOOKUP(Tableau1345678[[#This Row],[Repère]],Tableau1[#All],4,FALSE))</f>
        <v/>
      </c>
      <c r="E84" s="13" t="str">
        <f>IF(Tableau1345678[[#This Row],[Repère]]="","",VLOOKUP(Tableau1345678[[#This Row],[Repère]],Tableau1[#All],5,FALSE))</f>
        <v/>
      </c>
      <c r="F84" s="13" t="str">
        <f>IF(Tableau1345678[[#This Row],[Repère]]="","",VLOOKUP(Tableau1345678[[#This Row],[Repère]],Tableau1[#All],6,FALSE))</f>
        <v/>
      </c>
      <c r="G84" s="13" t="str">
        <f>IF(Tableau1345678[[#This Row],[Repère]]="","",VLOOKUP(Tableau1345678[[#This Row],[Repère]],Tableau1[#All],7,FALSE))</f>
        <v/>
      </c>
      <c r="H84" s="13" t="str">
        <f>IF(Tableau1345678[[#This Row],[Repère]]="","",VLOOKUP(Tableau1345678[[#This Row],[Repère]],Tableau1[#All],8,FALSE))</f>
        <v/>
      </c>
      <c r="I84" s="13" t="str">
        <f>IF(Tableau1345678[[#This Row],[Repère]]="","",VLOOKUP(Tableau1345678[[#This Row],[Repère]],Tableau1[#All],9,FALSE))</f>
        <v/>
      </c>
      <c r="J84" s="13" t="str">
        <f>IF(Tableau1345678[[#This Row],[Repère]]="","",VLOOKUP(Tableau1345678[[#This Row],[Repère]],Tableau1[#All],10,FALSE))</f>
        <v/>
      </c>
      <c r="K84" s="13" t="str">
        <f>IF(Tableau1345678[[#This Row],[Repère]]="","",VLOOKUP(Tableau1345678[[#This Row],[Repère]],Tableau1[#All],11,FALSE))</f>
        <v/>
      </c>
      <c r="L84" s="14" t="str">
        <f>IF(Tableau1345678[[#This Row],[Repère]]="","",VLOOKUP(Tableau1345678[[#This Row],[Repère]],Tableau1[#All],12,FALSE))</f>
        <v/>
      </c>
    </row>
    <row r="85" spans="1:12" x14ac:dyDescent="0.3">
      <c r="A85" s="18"/>
      <c r="B85" s="19"/>
      <c r="C85" s="13" t="str">
        <f>IF(Tableau1345678[[#This Row],[Repère]]="","",VLOOKUP(Tableau1345678[[#This Row],[Repère]],Tableau1[#All],3,FALSE))</f>
        <v/>
      </c>
      <c r="D85" s="13" t="str">
        <f>IF(Tableau1345678[[#This Row],[Repère]]="","",VLOOKUP(Tableau1345678[[#This Row],[Repère]],Tableau1[#All],4,FALSE))</f>
        <v/>
      </c>
      <c r="E85" s="13" t="str">
        <f>IF(Tableau1345678[[#This Row],[Repère]]="","",VLOOKUP(Tableau1345678[[#This Row],[Repère]],Tableau1[#All],5,FALSE))</f>
        <v/>
      </c>
      <c r="F85" s="13" t="str">
        <f>IF(Tableau1345678[[#This Row],[Repère]]="","",VLOOKUP(Tableau1345678[[#This Row],[Repère]],Tableau1[#All],6,FALSE))</f>
        <v/>
      </c>
      <c r="G85" s="13" t="str">
        <f>IF(Tableau1345678[[#This Row],[Repère]]="","",VLOOKUP(Tableau1345678[[#This Row],[Repère]],Tableau1[#All],7,FALSE))</f>
        <v/>
      </c>
      <c r="H85" s="13" t="str">
        <f>IF(Tableau1345678[[#This Row],[Repère]]="","",VLOOKUP(Tableau1345678[[#This Row],[Repère]],Tableau1[#All],8,FALSE))</f>
        <v/>
      </c>
      <c r="I85" s="13" t="str">
        <f>IF(Tableau1345678[[#This Row],[Repère]]="","",VLOOKUP(Tableau1345678[[#This Row],[Repère]],Tableau1[#All],9,FALSE))</f>
        <v/>
      </c>
      <c r="J85" s="13" t="str">
        <f>IF(Tableau1345678[[#This Row],[Repère]]="","",VLOOKUP(Tableau1345678[[#This Row],[Repère]],Tableau1[#All],10,FALSE))</f>
        <v/>
      </c>
      <c r="K85" s="13" t="str">
        <f>IF(Tableau1345678[[#This Row],[Repère]]="","",VLOOKUP(Tableau1345678[[#This Row],[Repère]],Tableau1[#All],11,FALSE))</f>
        <v/>
      </c>
      <c r="L85" s="14" t="str">
        <f>IF(Tableau1345678[[#This Row],[Repère]]="","",VLOOKUP(Tableau1345678[[#This Row],[Repère]],Tableau1[#All],12,FALSE))</f>
        <v/>
      </c>
    </row>
    <row r="86" spans="1:12" x14ac:dyDescent="0.3">
      <c r="A86" s="18"/>
      <c r="B86" s="19"/>
      <c r="C86" s="13" t="str">
        <f>IF(Tableau1345678[[#This Row],[Repère]]="","",VLOOKUP(Tableau1345678[[#This Row],[Repère]],Tableau1[#All],3,FALSE))</f>
        <v/>
      </c>
      <c r="D86" s="13" t="str">
        <f>IF(Tableau1345678[[#This Row],[Repère]]="","",VLOOKUP(Tableau1345678[[#This Row],[Repère]],Tableau1[#All],4,FALSE))</f>
        <v/>
      </c>
      <c r="E86" s="13" t="str">
        <f>IF(Tableau1345678[[#This Row],[Repère]]="","",VLOOKUP(Tableau1345678[[#This Row],[Repère]],Tableau1[#All],5,FALSE))</f>
        <v/>
      </c>
      <c r="F86" s="13" t="str">
        <f>IF(Tableau1345678[[#This Row],[Repère]]="","",VLOOKUP(Tableau1345678[[#This Row],[Repère]],Tableau1[#All],6,FALSE))</f>
        <v/>
      </c>
      <c r="G86" s="13" t="str">
        <f>IF(Tableau1345678[[#This Row],[Repère]]="","",VLOOKUP(Tableau1345678[[#This Row],[Repère]],Tableau1[#All],7,FALSE))</f>
        <v/>
      </c>
      <c r="H86" s="13" t="str">
        <f>IF(Tableau1345678[[#This Row],[Repère]]="","",VLOOKUP(Tableau1345678[[#This Row],[Repère]],Tableau1[#All],8,FALSE))</f>
        <v/>
      </c>
      <c r="I86" s="13" t="str">
        <f>IF(Tableau1345678[[#This Row],[Repère]]="","",VLOOKUP(Tableau1345678[[#This Row],[Repère]],Tableau1[#All],9,FALSE))</f>
        <v/>
      </c>
      <c r="J86" s="13" t="str">
        <f>IF(Tableau1345678[[#This Row],[Repère]]="","",VLOOKUP(Tableau1345678[[#This Row],[Repère]],Tableau1[#All],10,FALSE))</f>
        <v/>
      </c>
      <c r="K86" s="13" t="str">
        <f>IF(Tableau1345678[[#This Row],[Repère]]="","",VLOOKUP(Tableau1345678[[#This Row],[Repère]],Tableau1[#All],11,FALSE))</f>
        <v/>
      </c>
      <c r="L86" s="14" t="str">
        <f>IF(Tableau1345678[[#This Row],[Repère]]="","",VLOOKUP(Tableau1345678[[#This Row],[Repère]],Tableau1[#All],12,FALSE))</f>
        <v/>
      </c>
    </row>
    <row r="87" spans="1:12" x14ac:dyDescent="0.3">
      <c r="A87" s="18"/>
      <c r="B87" s="19"/>
      <c r="C87" s="13" t="str">
        <f>IF(Tableau1345678[[#This Row],[Repère]]="","",VLOOKUP(Tableau1345678[[#This Row],[Repère]],Tableau1[#All],3,FALSE))</f>
        <v/>
      </c>
      <c r="D87" s="13" t="str">
        <f>IF(Tableau1345678[[#This Row],[Repère]]="","",VLOOKUP(Tableau1345678[[#This Row],[Repère]],Tableau1[#All],4,FALSE))</f>
        <v/>
      </c>
      <c r="E87" s="13" t="str">
        <f>IF(Tableau1345678[[#This Row],[Repère]]="","",VLOOKUP(Tableau1345678[[#This Row],[Repère]],Tableau1[#All],5,FALSE))</f>
        <v/>
      </c>
      <c r="F87" s="13" t="str">
        <f>IF(Tableau1345678[[#This Row],[Repère]]="","",VLOOKUP(Tableau1345678[[#This Row],[Repère]],Tableau1[#All],6,FALSE))</f>
        <v/>
      </c>
      <c r="G87" s="13" t="str">
        <f>IF(Tableau1345678[[#This Row],[Repère]]="","",VLOOKUP(Tableau1345678[[#This Row],[Repère]],Tableau1[#All],7,FALSE))</f>
        <v/>
      </c>
      <c r="H87" s="13" t="str">
        <f>IF(Tableau1345678[[#This Row],[Repère]]="","",VLOOKUP(Tableau1345678[[#This Row],[Repère]],Tableau1[#All],8,FALSE))</f>
        <v/>
      </c>
      <c r="I87" s="13" t="str">
        <f>IF(Tableau1345678[[#This Row],[Repère]]="","",VLOOKUP(Tableau1345678[[#This Row],[Repère]],Tableau1[#All],9,FALSE))</f>
        <v/>
      </c>
      <c r="J87" s="13" t="str">
        <f>IF(Tableau1345678[[#This Row],[Repère]]="","",VLOOKUP(Tableau1345678[[#This Row],[Repère]],Tableau1[#All],10,FALSE))</f>
        <v/>
      </c>
      <c r="K87" s="13" t="str">
        <f>IF(Tableau1345678[[#This Row],[Repère]]="","",VLOOKUP(Tableau1345678[[#This Row],[Repère]],Tableau1[#All],11,FALSE))</f>
        <v/>
      </c>
      <c r="L87" s="14" t="str">
        <f>IF(Tableau1345678[[#This Row],[Repère]]="","",VLOOKUP(Tableau1345678[[#This Row],[Repère]],Tableau1[#All],12,FALSE))</f>
        <v/>
      </c>
    </row>
    <row r="88" spans="1:12" x14ac:dyDescent="0.3">
      <c r="A88" s="18"/>
      <c r="B88" s="19"/>
      <c r="C88" s="13" t="str">
        <f>IF(Tableau1345678[[#This Row],[Repère]]="","",VLOOKUP(Tableau1345678[[#This Row],[Repère]],Tableau1[#All],3,FALSE))</f>
        <v/>
      </c>
      <c r="D88" s="13" t="str">
        <f>IF(Tableau1345678[[#This Row],[Repère]]="","",VLOOKUP(Tableau1345678[[#This Row],[Repère]],Tableau1[#All],4,FALSE))</f>
        <v/>
      </c>
      <c r="E88" s="13" t="str">
        <f>IF(Tableau1345678[[#This Row],[Repère]]="","",VLOOKUP(Tableau1345678[[#This Row],[Repère]],Tableau1[#All],5,FALSE))</f>
        <v/>
      </c>
      <c r="F88" s="13" t="str">
        <f>IF(Tableau1345678[[#This Row],[Repère]]="","",VLOOKUP(Tableau1345678[[#This Row],[Repère]],Tableau1[#All],6,FALSE))</f>
        <v/>
      </c>
      <c r="G88" s="13" t="str">
        <f>IF(Tableau1345678[[#This Row],[Repère]]="","",VLOOKUP(Tableau1345678[[#This Row],[Repère]],Tableau1[#All],7,FALSE))</f>
        <v/>
      </c>
      <c r="H88" s="13" t="str">
        <f>IF(Tableau1345678[[#This Row],[Repère]]="","",VLOOKUP(Tableau1345678[[#This Row],[Repère]],Tableau1[#All],8,FALSE))</f>
        <v/>
      </c>
      <c r="I88" s="13" t="str">
        <f>IF(Tableau1345678[[#This Row],[Repère]]="","",VLOOKUP(Tableau1345678[[#This Row],[Repère]],Tableau1[#All],9,FALSE))</f>
        <v/>
      </c>
      <c r="J88" s="13" t="str">
        <f>IF(Tableau1345678[[#This Row],[Repère]]="","",VLOOKUP(Tableau1345678[[#This Row],[Repère]],Tableau1[#All],10,FALSE))</f>
        <v/>
      </c>
      <c r="K88" s="13" t="str">
        <f>IF(Tableau1345678[[#This Row],[Repère]]="","",VLOOKUP(Tableau1345678[[#This Row],[Repère]],Tableau1[#All],11,FALSE))</f>
        <v/>
      </c>
      <c r="L88" s="14" t="str">
        <f>IF(Tableau1345678[[#This Row],[Repère]]="","",VLOOKUP(Tableau1345678[[#This Row],[Repère]],Tableau1[#All],12,FALSE))</f>
        <v/>
      </c>
    </row>
    <row r="89" spans="1:12" x14ac:dyDescent="0.3">
      <c r="A89" s="18"/>
      <c r="B89" s="19"/>
      <c r="C89" s="13" t="str">
        <f>IF(Tableau1345678[[#This Row],[Repère]]="","",VLOOKUP(Tableau1345678[[#This Row],[Repère]],Tableau1[#All],3,FALSE))</f>
        <v/>
      </c>
      <c r="D89" s="13" t="str">
        <f>IF(Tableau1345678[[#This Row],[Repère]]="","",VLOOKUP(Tableau1345678[[#This Row],[Repère]],Tableau1[#All],4,FALSE))</f>
        <v/>
      </c>
      <c r="E89" s="13" t="str">
        <f>IF(Tableau1345678[[#This Row],[Repère]]="","",VLOOKUP(Tableau1345678[[#This Row],[Repère]],Tableau1[#All],5,FALSE))</f>
        <v/>
      </c>
      <c r="F89" s="13" t="str">
        <f>IF(Tableau1345678[[#This Row],[Repère]]="","",VLOOKUP(Tableau1345678[[#This Row],[Repère]],Tableau1[#All],6,FALSE))</f>
        <v/>
      </c>
      <c r="G89" s="13" t="str">
        <f>IF(Tableau1345678[[#This Row],[Repère]]="","",VLOOKUP(Tableau1345678[[#This Row],[Repère]],Tableau1[#All],7,FALSE))</f>
        <v/>
      </c>
      <c r="H89" s="13" t="str">
        <f>IF(Tableau1345678[[#This Row],[Repère]]="","",VLOOKUP(Tableau1345678[[#This Row],[Repère]],Tableau1[#All],8,FALSE))</f>
        <v/>
      </c>
      <c r="I89" s="13" t="str">
        <f>IF(Tableau1345678[[#This Row],[Repère]]="","",VLOOKUP(Tableau1345678[[#This Row],[Repère]],Tableau1[#All],9,FALSE))</f>
        <v/>
      </c>
      <c r="J89" s="13" t="str">
        <f>IF(Tableau1345678[[#This Row],[Repère]]="","",VLOOKUP(Tableau1345678[[#This Row],[Repère]],Tableau1[#All],10,FALSE))</f>
        <v/>
      </c>
      <c r="K89" s="13" t="str">
        <f>IF(Tableau1345678[[#This Row],[Repère]]="","",VLOOKUP(Tableau1345678[[#This Row],[Repère]],Tableau1[#All],11,FALSE))</f>
        <v/>
      </c>
      <c r="L89" s="14" t="str">
        <f>IF(Tableau1345678[[#This Row],[Repère]]="","",VLOOKUP(Tableau1345678[[#This Row],[Repère]],Tableau1[#All],12,FALSE))</f>
        <v/>
      </c>
    </row>
    <row r="90" spans="1:12" x14ac:dyDescent="0.3">
      <c r="A90" s="18"/>
      <c r="B90" s="19"/>
      <c r="C90" s="13" t="str">
        <f>IF(Tableau1345678[[#This Row],[Repère]]="","",VLOOKUP(Tableau1345678[[#This Row],[Repère]],Tableau1[#All],3,FALSE))</f>
        <v/>
      </c>
      <c r="D90" s="13" t="str">
        <f>IF(Tableau1345678[[#This Row],[Repère]]="","",VLOOKUP(Tableau1345678[[#This Row],[Repère]],Tableau1[#All],4,FALSE))</f>
        <v/>
      </c>
      <c r="E90" s="13" t="str">
        <f>IF(Tableau1345678[[#This Row],[Repère]]="","",VLOOKUP(Tableau1345678[[#This Row],[Repère]],Tableau1[#All],5,FALSE))</f>
        <v/>
      </c>
      <c r="F90" s="13" t="str">
        <f>IF(Tableau1345678[[#This Row],[Repère]]="","",VLOOKUP(Tableau1345678[[#This Row],[Repère]],Tableau1[#All],6,FALSE))</f>
        <v/>
      </c>
      <c r="G90" s="13" t="str">
        <f>IF(Tableau1345678[[#This Row],[Repère]]="","",VLOOKUP(Tableau1345678[[#This Row],[Repère]],Tableau1[#All],7,FALSE))</f>
        <v/>
      </c>
      <c r="H90" s="13" t="str">
        <f>IF(Tableau1345678[[#This Row],[Repère]]="","",VLOOKUP(Tableau1345678[[#This Row],[Repère]],Tableau1[#All],8,FALSE))</f>
        <v/>
      </c>
      <c r="I90" s="13" t="str">
        <f>IF(Tableau1345678[[#This Row],[Repère]]="","",VLOOKUP(Tableau1345678[[#This Row],[Repère]],Tableau1[#All],9,FALSE))</f>
        <v/>
      </c>
      <c r="J90" s="13" t="str">
        <f>IF(Tableau1345678[[#This Row],[Repère]]="","",VLOOKUP(Tableau1345678[[#This Row],[Repère]],Tableau1[#All],10,FALSE))</f>
        <v/>
      </c>
      <c r="K90" s="13" t="str">
        <f>IF(Tableau1345678[[#This Row],[Repère]]="","",VLOOKUP(Tableau1345678[[#This Row],[Repère]],Tableau1[#All],11,FALSE))</f>
        <v/>
      </c>
      <c r="L90" s="14" t="str">
        <f>IF(Tableau1345678[[#This Row],[Repère]]="","",VLOOKUP(Tableau1345678[[#This Row],[Repère]],Tableau1[#All],12,FALSE))</f>
        <v/>
      </c>
    </row>
    <row r="91" spans="1:12" x14ac:dyDescent="0.3">
      <c r="A91" s="18"/>
      <c r="B91" s="19"/>
      <c r="C91" s="13" t="str">
        <f>IF(Tableau1345678[[#This Row],[Repère]]="","",VLOOKUP(Tableau1345678[[#This Row],[Repère]],Tableau1[#All],3,FALSE))</f>
        <v/>
      </c>
      <c r="D91" s="13" t="str">
        <f>IF(Tableau1345678[[#This Row],[Repère]]="","",VLOOKUP(Tableau1345678[[#This Row],[Repère]],Tableau1[#All],4,FALSE))</f>
        <v/>
      </c>
      <c r="E91" s="13" t="str">
        <f>IF(Tableau1345678[[#This Row],[Repère]]="","",VLOOKUP(Tableau1345678[[#This Row],[Repère]],Tableau1[#All],5,FALSE))</f>
        <v/>
      </c>
      <c r="F91" s="13" t="str">
        <f>IF(Tableau1345678[[#This Row],[Repère]]="","",VLOOKUP(Tableau1345678[[#This Row],[Repère]],Tableau1[#All],6,FALSE))</f>
        <v/>
      </c>
      <c r="G91" s="13" t="str">
        <f>IF(Tableau1345678[[#This Row],[Repère]]="","",VLOOKUP(Tableau1345678[[#This Row],[Repère]],Tableau1[#All],7,FALSE))</f>
        <v/>
      </c>
      <c r="H91" s="13" t="str">
        <f>IF(Tableau1345678[[#This Row],[Repère]]="","",VLOOKUP(Tableau1345678[[#This Row],[Repère]],Tableau1[#All],8,FALSE))</f>
        <v/>
      </c>
      <c r="I91" s="13" t="str">
        <f>IF(Tableau1345678[[#This Row],[Repère]]="","",VLOOKUP(Tableau1345678[[#This Row],[Repère]],Tableau1[#All],9,FALSE))</f>
        <v/>
      </c>
      <c r="J91" s="13" t="str">
        <f>IF(Tableau1345678[[#This Row],[Repère]]="","",VLOOKUP(Tableau1345678[[#This Row],[Repère]],Tableau1[#All],10,FALSE))</f>
        <v/>
      </c>
      <c r="K91" s="13" t="str">
        <f>IF(Tableau1345678[[#This Row],[Repère]]="","",VLOOKUP(Tableau1345678[[#This Row],[Repère]],Tableau1[#All],11,FALSE))</f>
        <v/>
      </c>
      <c r="L91" s="14" t="str">
        <f>IF(Tableau1345678[[#This Row],[Repère]]="","",VLOOKUP(Tableau1345678[[#This Row],[Repère]],Tableau1[#All],12,FALSE))</f>
        <v/>
      </c>
    </row>
    <row r="92" spans="1:12" x14ac:dyDescent="0.3">
      <c r="A92" s="18"/>
      <c r="B92" s="19"/>
      <c r="C92" s="13" t="str">
        <f>IF(Tableau1345678[[#This Row],[Repère]]="","",VLOOKUP(Tableau1345678[[#This Row],[Repère]],Tableau1[#All],3,FALSE))</f>
        <v/>
      </c>
      <c r="D92" s="13" t="str">
        <f>IF(Tableau1345678[[#This Row],[Repère]]="","",VLOOKUP(Tableau1345678[[#This Row],[Repère]],Tableau1[#All],4,FALSE))</f>
        <v/>
      </c>
      <c r="E92" s="13" t="str">
        <f>IF(Tableau1345678[[#This Row],[Repère]]="","",VLOOKUP(Tableau1345678[[#This Row],[Repère]],Tableau1[#All],5,FALSE))</f>
        <v/>
      </c>
      <c r="F92" s="13" t="str">
        <f>IF(Tableau1345678[[#This Row],[Repère]]="","",VLOOKUP(Tableau1345678[[#This Row],[Repère]],Tableau1[#All],6,FALSE))</f>
        <v/>
      </c>
      <c r="G92" s="13" t="str">
        <f>IF(Tableau1345678[[#This Row],[Repère]]="","",VLOOKUP(Tableau1345678[[#This Row],[Repère]],Tableau1[#All],7,FALSE))</f>
        <v/>
      </c>
      <c r="H92" s="13" t="str">
        <f>IF(Tableau1345678[[#This Row],[Repère]]="","",VLOOKUP(Tableau1345678[[#This Row],[Repère]],Tableau1[#All],8,FALSE))</f>
        <v/>
      </c>
      <c r="I92" s="13" t="str">
        <f>IF(Tableau1345678[[#This Row],[Repère]]="","",VLOOKUP(Tableau1345678[[#This Row],[Repère]],Tableau1[#All],9,FALSE))</f>
        <v/>
      </c>
      <c r="J92" s="13" t="str">
        <f>IF(Tableau1345678[[#This Row],[Repère]]="","",VLOOKUP(Tableau1345678[[#This Row],[Repère]],Tableau1[#All],10,FALSE))</f>
        <v/>
      </c>
      <c r="K92" s="13" t="str">
        <f>IF(Tableau1345678[[#This Row],[Repère]]="","",VLOOKUP(Tableau1345678[[#This Row],[Repère]],Tableau1[#All],11,FALSE))</f>
        <v/>
      </c>
      <c r="L92" s="14" t="str">
        <f>IF(Tableau1345678[[#This Row],[Repère]]="","",VLOOKUP(Tableau1345678[[#This Row],[Repère]],Tableau1[#All],12,FALSE))</f>
        <v/>
      </c>
    </row>
    <row r="93" spans="1:12" x14ac:dyDescent="0.3">
      <c r="A93" s="18"/>
      <c r="B93" s="19"/>
      <c r="C93" s="13" t="str">
        <f>IF(Tableau1345678[[#This Row],[Repère]]="","",VLOOKUP(Tableau1345678[[#This Row],[Repère]],Tableau1[#All],3,FALSE))</f>
        <v/>
      </c>
      <c r="D93" s="13" t="str">
        <f>IF(Tableau1345678[[#This Row],[Repère]]="","",VLOOKUP(Tableau1345678[[#This Row],[Repère]],Tableau1[#All],4,FALSE))</f>
        <v/>
      </c>
      <c r="E93" s="13" t="str">
        <f>IF(Tableau1345678[[#This Row],[Repère]]="","",VLOOKUP(Tableau1345678[[#This Row],[Repère]],Tableau1[#All],5,FALSE))</f>
        <v/>
      </c>
      <c r="F93" s="13" t="str">
        <f>IF(Tableau1345678[[#This Row],[Repère]]="","",VLOOKUP(Tableau1345678[[#This Row],[Repère]],Tableau1[#All],6,FALSE))</f>
        <v/>
      </c>
      <c r="G93" s="13" t="str">
        <f>IF(Tableau1345678[[#This Row],[Repère]]="","",VLOOKUP(Tableau1345678[[#This Row],[Repère]],Tableau1[#All],7,FALSE))</f>
        <v/>
      </c>
      <c r="H93" s="13" t="str">
        <f>IF(Tableau1345678[[#This Row],[Repère]]="","",VLOOKUP(Tableau1345678[[#This Row],[Repère]],Tableau1[#All],8,FALSE))</f>
        <v/>
      </c>
      <c r="I93" s="13" t="str">
        <f>IF(Tableau1345678[[#This Row],[Repère]]="","",VLOOKUP(Tableau1345678[[#This Row],[Repère]],Tableau1[#All],9,FALSE))</f>
        <v/>
      </c>
      <c r="J93" s="13" t="str">
        <f>IF(Tableau1345678[[#This Row],[Repère]]="","",VLOOKUP(Tableau1345678[[#This Row],[Repère]],Tableau1[#All],10,FALSE))</f>
        <v/>
      </c>
      <c r="K93" s="13" t="str">
        <f>IF(Tableau1345678[[#This Row],[Repère]]="","",VLOOKUP(Tableau1345678[[#This Row],[Repère]],Tableau1[#All],11,FALSE))</f>
        <v/>
      </c>
      <c r="L93" s="14" t="str">
        <f>IF(Tableau1345678[[#This Row],[Repère]]="","",VLOOKUP(Tableau1345678[[#This Row],[Repère]],Tableau1[#All],12,FALSE))</f>
        <v/>
      </c>
    </row>
    <row r="94" spans="1:12" x14ac:dyDescent="0.3">
      <c r="A94" s="18"/>
      <c r="B94" s="19"/>
      <c r="C94" s="13" t="str">
        <f>IF(Tableau1345678[[#This Row],[Repère]]="","",VLOOKUP(Tableau1345678[[#This Row],[Repère]],Tableau1[#All],3,FALSE))</f>
        <v/>
      </c>
      <c r="D94" s="13" t="str">
        <f>IF(Tableau1345678[[#This Row],[Repère]]="","",VLOOKUP(Tableau1345678[[#This Row],[Repère]],Tableau1[#All],4,FALSE))</f>
        <v/>
      </c>
      <c r="E94" s="13" t="str">
        <f>IF(Tableau1345678[[#This Row],[Repère]]="","",VLOOKUP(Tableau1345678[[#This Row],[Repère]],Tableau1[#All],5,FALSE))</f>
        <v/>
      </c>
      <c r="F94" s="13" t="str">
        <f>IF(Tableau1345678[[#This Row],[Repère]]="","",VLOOKUP(Tableau1345678[[#This Row],[Repère]],Tableau1[#All],6,FALSE))</f>
        <v/>
      </c>
      <c r="G94" s="13" t="str">
        <f>IF(Tableau1345678[[#This Row],[Repère]]="","",VLOOKUP(Tableau1345678[[#This Row],[Repère]],Tableau1[#All],7,FALSE))</f>
        <v/>
      </c>
      <c r="H94" s="13" t="str">
        <f>IF(Tableau1345678[[#This Row],[Repère]]="","",VLOOKUP(Tableau1345678[[#This Row],[Repère]],Tableau1[#All],8,FALSE))</f>
        <v/>
      </c>
      <c r="I94" s="13" t="str">
        <f>IF(Tableau1345678[[#This Row],[Repère]]="","",VLOOKUP(Tableau1345678[[#This Row],[Repère]],Tableau1[#All],9,FALSE))</f>
        <v/>
      </c>
      <c r="J94" s="13" t="str">
        <f>IF(Tableau1345678[[#This Row],[Repère]]="","",VLOOKUP(Tableau1345678[[#This Row],[Repère]],Tableau1[#All],10,FALSE))</f>
        <v/>
      </c>
      <c r="K94" s="13" t="str">
        <f>IF(Tableau1345678[[#This Row],[Repère]]="","",VLOOKUP(Tableau1345678[[#This Row],[Repère]],Tableau1[#All],11,FALSE))</f>
        <v/>
      </c>
      <c r="L94" s="14" t="str">
        <f>IF(Tableau1345678[[#This Row],[Repère]]="","",VLOOKUP(Tableau1345678[[#This Row],[Repère]],Tableau1[#All],12,FALSE))</f>
        <v/>
      </c>
    </row>
    <row r="95" spans="1:12" x14ac:dyDescent="0.3">
      <c r="A95" s="18"/>
      <c r="B95" s="19"/>
      <c r="C95" s="13" t="str">
        <f>IF(Tableau1345678[[#This Row],[Repère]]="","",VLOOKUP(Tableau1345678[[#This Row],[Repère]],Tableau1[#All],3,FALSE))</f>
        <v/>
      </c>
      <c r="D95" s="13" t="str">
        <f>IF(Tableau1345678[[#This Row],[Repère]]="","",VLOOKUP(Tableau1345678[[#This Row],[Repère]],Tableau1[#All],4,FALSE))</f>
        <v/>
      </c>
      <c r="E95" s="13" t="str">
        <f>IF(Tableau1345678[[#This Row],[Repère]]="","",VLOOKUP(Tableau1345678[[#This Row],[Repère]],Tableau1[#All],5,FALSE))</f>
        <v/>
      </c>
      <c r="F95" s="13" t="str">
        <f>IF(Tableau1345678[[#This Row],[Repère]]="","",VLOOKUP(Tableau1345678[[#This Row],[Repère]],Tableau1[#All],6,FALSE))</f>
        <v/>
      </c>
      <c r="G95" s="13" t="str">
        <f>IF(Tableau1345678[[#This Row],[Repère]]="","",VLOOKUP(Tableau1345678[[#This Row],[Repère]],Tableau1[#All],7,FALSE))</f>
        <v/>
      </c>
      <c r="H95" s="13" t="str">
        <f>IF(Tableau1345678[[#This Row],[Repère]]="","",VLOOKUP(Tableau1345678[[#This Row],[Repère]],Tableau1[#All],8,FALSE))</f>
        <v/>
      </c>
      <c r="I95" s="13" t="str">
        <f>IF(Tableau1345678[[#This Row],[Repère]]="","",VLOOKUP(Tableau1345678[[#This Row],[Repère]],Tableau1[#All],9,FALSE))</f>
        <v/>
      </c>
      <c r="J95" s="13" t="str">
        <f>IF(Tableau1345678[[#This Row],[Repère]]="","",VLOOKUP(Tableau1345678[[#This Row],[Repère]],Tableau1[#All],10,FALSE))</f>
        <v/>
      </c>
      <c r="K95" s="13" t="str">
        <f>IF(Tableau1345678[[#This Row],[Repère]]="","",VLOOKUP(Tableau1345678[[#This Row],[Repère]],Tableau1[#All],11,FALSE))</f>
        <v/>
      </c>
      <c r="L95" s="14" t="str">
        <f>IF(Tableau1345678[[#This Row],[Repère]]="","",VLOOKUP(Tableau1345678[[#This Row],[Repère]],Tableau1[#All],12,FALSE))</f>
        <v/>
      </c>
    </row>
    <row r="96" spans="1:12" x14ac:dyDescent="0.3">
      <c r="A96" s="18"/>
      <c r="B96" s="19"/>
      <c r="C96" s="13" t="str">
        <f>IF(Tableau1345678[[#This Row],[Repère]]="","",VLOOKUP(Tableau1345678[[#This Row],[Repère]],Tableau1[#All],3,FALSE))</f>
        <v/>
      </c>
      <c r="D96" s="13" t="str">
        <f>IF(Tableau1345678[[#This Row],[Repère]]="","",VLOOKUP(Tableau1345678[[#This Row],[Repère]],Tableau1[#All],4,FALSE))</f>
        <v/>
      </c>
      <c r="E96" s="13" t="str">
        <f>IF(Tableau1345678[[#This Row],[Repère]]="","",VLOOKUP(Tableau1345678[[#This Row],[Repère]],Tableau1[#All],5,FALSE))</f>
        <v/>
      </c>
      <c r="F96" s="13" t="str">
        <f>IF(Tableau1345678[[#This Row],[Repère]]="","",VLOOKUP(Tableau1345678[[#This Row],[Repère]],Tableau1[#All],6,FALSE))</f>
        <v/>
      </c>
      <c r="G96" s="13" t="str">
        <f>IF(Tableau1345678[[#This Row],[Repère]]="","",VLOOKUP(Tableau1345678[[#This Row],[Repère]],Tableau1[#All],7,FALSE))</f>
        <v/>
      </c>
      <c r="H96" s="13" t="str">
        <f>IF(Tableau1345678[[#This Row],[Repère]]="","",VLOOKUP(Tableau1345678[[#This Row],[Repère]],Tableau1[#All],8,FALSE))</f>
        <v/>
      </c>
      <c r="I96" s="13" t="str">
        <f>IF(Tableau1345678[[#This Row],[Repère]]="","",VLOOKUP(Tableau1345678[[#This Row],[Repère]],Tableau1[#All],9,FALSE))</f>
        <v/>
      </c>
      <c r="J96" s="13" t="str">
        <f>IF(Tableau1345678[[#This Row],[Repère]]="","",VLOOKUP(Tableau1345678[[#This Row],[Repère]],Tableau1[#All],10,FALSE))</f>
        <v/>
      </c>
      <c r="K96" s="13" t="str">
        <f>IF(Tableau1345678[[#This Row],[Repère]]="","",VLOOKUP(Tableau1345678[[#This Row],[Repère]],Tableau1[#All],11,FALSE))</f>
        <v/>
      </c>
      <c r="L96" s="14" t="str">
        <f>IF(Tableau1345678[[#This Row],[Repère]]="","",VLOOKUP(Tableau1345678[[#This Row],[Repère]],Tableau1[#All],12,FALSE))</f>
        <v/>
      </c>
    </row>
    <row r="97" spans="1:12" x14ac:dyDescent="0.3">
      <c r="A97" s="18"/>
      <c r="B97" s="19"/>
      <c r="C97" s="13" t="str">
        <f>IF(Tableau1345678[[#This Row],[Repère]]="","",VLOOKUP(Tableau1345678[[#This Row],[Repère]],Tableau1[#All],3,FALSE))</f>
        <v/>
      </c>
      <c r="D97" s="13" t="str">
        <f>IF(Tableau1345678[[#This Row],[Repère]]="","",VLOOKUP(Tableau1345678[[#This Row],[Repère]],Tableau1[#All],4,FALSE))</f>
        <v/>
      </c>
      <c r="E97" s="13" t="str">
        <f>IF(Tableau1345678[[#This Row],[Repère]]="","",VLOOKUP(Tableau1345678[[#This Row],[Repère]],Tableau1[#All],5,FALSE))</f>
        <v/>
      </c>
      <c r="F97" s="13" t="str">
        <f>IF(Tableau1345678[[#This Row],[Repère]]="","",VLOOKUP(Tableau1345678[[#This Row],[Repère]],Tableau1[#All],6,FALSE))</f>
        <v/>
      </c>
      <c r="G97" s="13" t="str">
        <f>IF(Tableau1345678[[#This Row],[Repère]]="","",VLOOKUP(Tableau1345678[[#This Row],[Repère]],Tableau1[#All],7,FALSE))</f>
        <v/>
      </c>
      <c r="H97" s="13" t="str">
        <f>IF(Tableau1345678[[#This Row],[Repère]]="","",VLOOKUP(Tableau1345678[[#This Row],[Repère]],Tableau1[#All],8,FALSE))</f>
        <v/>
      </c>
      <c r="I97" s="13" t="str">
        <f>IF(Tableau1345678[[#This Row],[Repère]]="","",VLOOKUP(Tableau1345678[[#This Row],[Repère]],Tableau1[#All],9,FALSE))</f>
        <v/>
      </c>
      <c r="J97" s="13" t="str">
        <f>IF(Tableau1345678[[#This Row],[Repère]]="","",VLOOKUP(Tableau1345678[[#This Row],[Repère]],Tableau1[#All],10,FALSE))</f>
        <v/>
      </c>
      <c r="K97" s="13" t="str">
        <f>IF(Tableau1345678[[#This Row],[Repère]]="","",VLOOKUP(Tableau1345678[[#This Row],[Repère]],Tableau1[#All],11,FALSE))</f>
        <v/>
      </c>
      <c r="L97" s="14" t="str">
        <f>IF(Tableau1345678[[#This Row],[Repère]]="","",VLOOKUP(Tableau1345678[[#This Row],[Repère]],Tableau1[#All],12,FALSE))</f>
        <v/>
      </c>
    </row>
    <row r="98" spans="1:12" x14ac:dyDescent="0.3">
      <c r="A98" s="18"/>
      <c r="B98" s="19"/>
      <c r="C98" s="13" t="str">
        <f>IF(Tableau1345678[[#This Row],[Repère]]="","",VLOOKUP(Tableau1345678[[#This Row],[Repère]],Tableau1[#All],3,FALSE))</f>
        <v/>
      </c>
      <c r="D98" s="13" t="str">
        <f>IF(Tableau1345678[[#This Row],[Repère]]="","",VLOOKUP(Tableau1345678[[#This Row],[Repère]],Tableau1[#All],4,FALSE))</f>
        <v/>
      </c>
      <c r="E98" s="13" t="str">
        <f>IF(Tableau1345678[[#This Row],[Repère]]="","",VLOOKUP(Tableau1345678[[#This Row],[Repère]],Tableau1[#All],5,FALSE))</f>
        <v/>
      </c>
      <c r="F98" s="13" t="str">
        <f>IF(Tableau1345678[[#This Row],[Repère]]="","",VLOOKUP(Tableau1345678[[#This Row],[Repère]],Tableau1[#All],6,FALSE))</f>
        <v/>
      </c>
      <c r="G98" s="13" t="str">
        <f>IF(Tableau1345678[[#This Row],[Repère]]="","",VLOOKUP(Tableau1345678[[#This Row],[Repère]],Tableau1[#All],7,FALSE))</f>
        <v/>
      </c>
      <c r="H98" s="13" t="str">
        <f>IF(Tableau1345678[[#This Row],[Repère]]="","",VLOOKUP(Tableau1345678[[#This Row],[Repère]],Tableau1[#All],8,FALSE))</f>
        <v/>
      </c>
      <c r="I98" s="13" t="str">
        <f>IF(Tableau1345678[[#This Row],[Repère]]="","",VLOOKUP(Tableau1345678[[#This Row],[Repère]],Tableau1[#All],9,FALSE))</f>
        <v/>
      </c>
      <c r="J98" s="13" t="str">
        <f>IF(Tableau1345678[[#This Row],[Repère]]="","",VLOOKUP(Tableau1345678[[#This Row],[Repère]],Tableau1[#All],10,FALSE))</f>
        <v/>
      </c>
      <c r="K98" s="13" t="str">
        <f>IF(Tableau1345678[[#This Row],[Repère]]="","",VLOOKUP(Tableau1345678[[#This Row],[Repère]],Tableau1[#All],11,FALSE))</f>
        <v/>
      </c>
      <c r="L98" s="14" t="str">
        <f>IF(Tableau1345678[[#This Row],[Repère]]="","",VLOOKUP(Tableau1345678[[#This Row],[Repère]],Tableau1[#All],12,FALSE))</f>
        <v/>
      </c>
    </row>
    <row r="99" spans="1:12" x14ac:dyDescent="0.3">
      <c r="A99" s="18"/>
      <c r="B99" s="19"/>
      <c r="C99" s="13" t="str">
        <f>IF(Tableau1345678[[#This Row],[Repère]]="","",VLOOKUP(Tableau1345678[[#This Row],[Repère]],Tableau1[#All],3,FALSE))</f>
        <v/>
      </c>
      <c r="D99" s="13" t="str">
        <f>IF(Tableau1345678[[#This Row],[Repère]]="","",VLOOKUP(Tableau1345678[[#This Row],[Repère]],Tableau1[#All],4,FALSE))</f>
        <v/>
      </c>
      <c r="E99" s="13" t="str">
        <f>IF(Tableau1345678[[#This Row],[Repère]]="","",VLOOKUP(Tableau1345678[[#This Row],[Repère]],Tableau1[#All],5,FALSE))</f>
        <v/>
      </c>
      <c r="F99" s="13" t="str">
        <f>IF(Tableau1345678[[#This Row],[Repère]]="","",VLOOKUP(Tableau1345678[[#This Row],[Repère]],Tableau1[#All],6,FALSE))</f>
        <v/>
      </c>
      <c r="G99" s="13" t="str">
        <f>IF(Tableau1345678[[#This Row],[Repère]]="","",VLOOKUP(Tableau1345678[[#This Row],[Repère]],Tableau1[#All],7,FALSE))</f>
        <v/>
      </c>
      <c r="H99" s="13" t="str">
        <f>IF(Tableau1345678[[#This Row],[Repère]]="","",VLOOKUP(Tableau1345678[[#This Row],[Repère]],Tableau1[#All],8,FALSE))</f>
        <v/>
      </c>
      <c r="I99" s="13" t="str">
        <f>IF(Tableau1345678[[#This Row],[Repère]]="","",VLOOKUP(Tableau1345678[[#This Row],[Repère]],Tableau1[#All],9,FALSE))</f>
        <v/>
      </c>
      <c r="J99" s="13" t="str">
        <f>IF(Tableau1345678[[#This Row],[Repère]]="","",VLOOKUP(Tableau1345678[[#This Row],[Repère]],Tableau1[#All],10,FALSE))</f>
        <v/>
      </c>
      <c r="K99" s="13" t="str">
        <f>IF(Tableau1345678[[#This Row],[Repère]]="","",VLOOKUP(Tableau1345678[[#This Row],[Repère]],Tableau1[#All],11,FALSE))</f>
        <v/>
      </c>
      <c r="L99" s="14" t="str">
        <f>IF(Tableau1345678[[#This Row],[Repère]]="","",VLOOKUP(Tableau1345678[[#This Row],[Repère]],Tableau1[#All],12,FALSE))</f>
        <v/>
      </c>
    </row>
    <row r="100" spans="1:12" x14ac:dyDescent="0.3">
      <c r="A100" s="18"/>
      <c r="B100" s="19"/>
      <c r="C100" s="13" t="str">
        <f>IF(Tableau1345678[[#This Row],[Repère]]="","",VLOOKUP(Tableau1345678[[#This Row],[Repère]],Tableau1[#All],3,FALSE))</f>
        <v/>
      </c>
      <c r="D100" s="13" t="str">
        <f>IF(Tableau1345678[[#This Row],[Repère]]="","",VLOOKUP(Tableau1345678[[#This Row],[Repère]],Tableau1[#All],4,FALSE))</f>
        <v/>
      </c>
      <c r="E100" s="13" t="str">
        <f>IF(Tableau1345678[[#This Row],[Repère]]="","",VLOOKUP(Tableau1345678[[#This Row],[Repère]],Tableau1[#All],5,FALSE))</f>
        <v/>
      </c>
      <c r="F100" s="13" t="str">
        <f>IF(Tableau1345678[[#This Row],[Repère]]="","",VLOOKUP(Tableau1345678[[#This Row],[Repère]],Tableau1[#All],6,FALSE))</f>
        <v/>
      </c>
      <c r="G100" s="13" t="str">
        <f>IF(Tableau1345678[[#This Row],[Repère]]="","",VLOOKUP(Tableau1345678[[#This Row],[Repère]],Tableau1[#All],7,FALSE))</f>
        <v/>
      </c>
      <c r="H100" s="13" t="str">
        <f>IF(Tableau1345678[[#This Row],[Repère]]="","",VLOOKUP(Tableau1345678[[#This Row],[Repère]],Tableau1[#All],8,FALSE))</f>
        <v/>
      </c>
      <c r="I100" s="13" t="str">
        <f>IF(Tableau1345678[[#This Row],[Repère]]="","",VLOOKUP(Tableau1345678[[#This Row],[Repère]],Tableau1[#All],9,FALSE))</f>
        <v/>
      </c>
      <c r="J100" s="13" t="str">
        <f>IF(Tableau1345678[[#This Row],[Repère]]="","",VLOOKUP(Tableau1345678[[#This Row],[Repère]],Tableau1[#All],10,FALSE))</f>
        <v/>
      </c>
      <c r="K100" s="13" t="str">
        <f>IF(Tableau1345678[[#This Row],[Repère]]="","",VLOOKUP(Tableau1345678[[#This Row],[Repère]],Tableau1[#All],11,FALSE))</f>
        <v/>
      </c>
      <c r="L100" s="14" t="str">
        <f>IF(Tableau1345678[[#This Row],[Repère]]="","",VLOOKUP(Tableau1345678[[#This Row],[Repère]],Tableau1[#All],12,FALSE))</f>
        <v/>
      </c>
    </row>
    <row r="101" spans="1:12" x14ac:dyDescent="0.3">
      <c r="A101" s="18"/>
      <c r="B101" s="19"/>
      <c r="C101" s="13" t="str">
        <f>IF(Tableau1345678[[#This Row],[Repère]]="","",VLOOKUP(Tableau1345678[[#This Row],[Repère]],Tableau1[#All],3,FALSE))</f>
        <v/>
      </c>
      <c r="D101" s="13" t="str">
        <f>IF(Tableau1345678[[#This Row],[Repère]]="","",VLOOKUP(Tableau1345678[[#This Row],[Repère]],Tableau1[#All],4,FALSE))</f>
        <v/>
      </c>
      <c r="E101" s="13" t="str">
        <f>IF(Tableau1345678[[#This Row],[Repère]]="","",VLOOKUP(Tableau1345678[[#This Row],[Repère]],Tableau1[#All],5,FALSE))</f>
        <v/>
      </c>
      <c r="F101" s="13" t="str">
        <f>IF(Tableau1345678[[#This Row],[Repère]]="","",VLOOKUP(Tableau1345678[[#This Row],[Repère]],Tableau1[#All],6,FALSE))</f>
        <v/>
      </c>
      <c r="G101" s="13" t="str">
        <f>IF(Tableau1345678[[#This Row],[Repère]]="","",VLOOKUP(Tableau1345678[[#This Row],[Repère]],Tableau1[#All],7,FALSE))</f>
        <v/>
      </c>
      <c r="H101" s="13" t="str">
        <f>IF(Tableau1345678[[#This Row],[Repère]]="","",VLOOKUP(Tableau1345678[[#This Row],[Repère]],Tableau1[#All],8,FALSE))</f>
        <v/>
      </c>
      <c r="I101" s="13" t="str">
        <f>IF(Tableau1345678[[#This Row],[Repère]]="","",VLOOKUP(Tableau1345678[[#This Row],[Repère]],Tableau1[#All],9,FALSE))</f>
        <v/>
      </c>
      <c r="J101" s="13" t="str">
        <f>IF(Tableau1345678[[#This Row],[Repère]]="","",VLOOKUP(Tableau1345678[[#This Row],[Repère]],Tableau1[#All],10,FALSE))</f>
        <v/>
      </c>
      <c r="K101" s="13" t="str">
        <f>IF(Tableau1345678[[#This Row],[Repère]]="","",VLOOKUP(Tableau1345678[[#This Row],[Repère]],Tableau1[#All],11,FALSE))</f>
        <v/>
      </c>
      <c r="L101" s="14" t="str">
        <f>IF(Tableau1345678[[#This Row],[Repère]]="","",VLOOKUP(Tableau1345678[[#This Row],[Repère]],Tableau1[#All],12,FALSE))</f>
        <v/>
      </c>
    </row>
  </sheetData>
  <sheetProtection algorithmName="SHA-512" hashValue="oSmymILmkN95FfpE9kuB0z8U4vEPGcPujf1rVhZU5e/5taapAnV5GjRoWdzH3+B4Ae6h7i11bTrqItKbZAOTgQ==" saltValue="M4STbB/C+d+i3FKwexg42g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BC2A-703E-4290-9804-E2129392866F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IF(Tableau13456789[[#This Row],[Repère]]="","",VLOOKUP(Tableau13456789[[#This Row],[Repère]],Tableau1[#All],3,FALSE))</f>
        <v/>
      </c>
      <c r="D2" s="13" t="str">
        <f>IF(Tableau13456789[[#This Row],[Repère]]="","",VLOOKUP(Tableau13456789[[#This Row],[Repère]],Tableau1[#All],4,FALSE))</f>
        <v/>
      </c>
      <c r="E2" s="13" t="str">
        <f>IF(Tableau13456789[[#This Row],[Repère]]="","",VLOOKUP(Tableau13456789[[#This Row],[Repère]],Tableau1[#All],5,FALSE))</f>
        <v/>
      </c>
      <c r="F2" s="13" t="str">
        <f>IF(Tableau13456789[[#This Row],[Repère]]="","",VLOOKUP(Tableau13456789[[#This Row],[Repère]],Tableau1[#All],6,FALSE))</f>
        <v/>
      </c>
      <c r="G2" s="13" t="str">
        <f>IF(Tableau13456789[[#This Row],[Repère]]="","",VLOOKUP(Tableau13456789[[#This Row],[Repère]],Tableau1[#All],7,FALSE))</f>
        <v/>
      </c>
      <c r="H2" s="13" t="str">
        <f>IF(Tableau13456789[[#This Row],[Repère]]="","",VLOOKUP(Tableau13456789[[#This Row],[Repère]],Tableau1[#All],8,FALSE))</f>
        <v/>
      </c>
      <c r="I2" s="13" t="str">
        <f>IF(Tableau13456789[[#This Row],[Repère]]="","",VLOOKUP(Tableau13456789[[#This Row],[Repère]],Tableau1[#All],9,FALSE))</f>
        <v/>
      </c>
      <c r="J2" s="13" t="str">
        <f>IF(Tableau13456789[[#This Row],[Repère]]="","",VLOOKUP(Tableau13456789[[#This Row],[Repère]],Tableau1[#All],10,FALSE))</f>
        <v/>
      </c>
      <c r="K2" s="13" t="str">
        <f>IF(Tableau13456789[[#This Row],[Repère]]="","",VLOOKUP(Tableau13456789[[#This Row],[Repère]],Tableau1[#All],11,FALSE))</f>
        <v/>
      </c>
      <c r="L2" s="13" t="str">
        <f>IF(Tableau13456789[[#This Row],[Repère]]="","",VLOOKUP(Tableau13456789[[#This Row],[Repère]],Tableau1[#All],12,FALSE))</f>
        <v/>
      </c>
    </row>
    <row r="3" spans="1:12" x14ac:dyDescent="0.3">
      <c r="A3" s="18"/>
      <c r="B3" s="19"/>
      <c r="C3" s="13" t="str">
        <f>IF(Tableau13456789[[#This Row],[Repère]]="","",VLOOKUP(Tableau13456789[[#This Row],[Repère]],Tableau1[#All],3,FALSE))</f>
        <v/>
      </c>
      <c r="D3" s="13" t="str">
        <f>IF(Tableau13456789[[#This Row],[Repère]]="","",VLOOKUP(Tableau13456789[[#This Row],[Repère]],Tableau1[#All],4,FALSE))</f>
        <v/>
      </c>
      <c r="E3" s="13" t="str">
        <f>IF(Tableau13456789[[#This Row],[Repère]]="","",VLOOKUP(Tableau13456789[[#This Row],[Repère]],Tableau1[#All],5,FALSE))</f>
        <v/>
      </c>
      <c r="F3" s="13" t="str">
        <f>IF(Tableau13456789[[#This Row],[Repère]]="","",VLOOKUP(Tableau13456789[[#This Row],[Repère]],Tableau1[#All],6,FALSE))</f>
        <v/>
      </c>
      <c r="G3" s="13" t="str">
        <f>IF(Tableau13456789[[#This Row],[Repère]]="","",VLOOKUP(Tableau13456789[[#This Row],[Repère]],Tableau1[#All],7,FALSE))</f>
        <v/>
      </c>
      <c r="H3" s="13" t="str">
        <f>IF(Tableau13456789[[#This Row],[Repère]]="","",VLOOKUP(Tableau13456789[[#This Row],[Repère]],Tableau1[#All],8,FALSE))</f>
        <v/>
      </c>
      <c r="I3" s="13" t="str">
        <f>IF(Tableau13456789[[#This Row],[Repère]]="","",VLOOKUP(Tableau13456789[[#This Row],[Repère]],Tableau1[#All],9,FALSE))</f>
        <v/>
      </c>
      <c r="J3" s="13" t="str">
        <f>IF(Tableau13456789[[#This Row],[Repère]]="","",VLOOKUP(Tableau13456789[[#This Row],[Repère]],Tableau1[#All],10,FALSE))</f>
        <v/>
      </c>
      <c r="K3" s="13" t="str">
        <f>IF(Tableau13456789[[#This Row],[Repère]]="","",VLOOKUP(Tableau13456789[[#This Row],[Repère]],Tableau1[#All],11,FALSE))</f>
        <v/>
      </c>
      <c r="L3" s="14" t="str">
        <f>IF(Tableau13456789[[#This Row],[Repère]]="","",VLOOKUP(Tableau13456789[[#This Row],[Repère]],Tableau1[#All],12,FALSE))</f>
        <v/>
      </c>
    </row>
    <row r="4" spans="1:12" x14ac:dyDescent="0.3">
      <c r="A4" s="18"/>
      <c r="B4" s="19"/>
      <c r="C4" s="13" t="str">
        <f>IF(Tableau13456789[[#This Row],[Repère]]="","",VLOOKUP(Tableau13456789[[#This Row],[Repère]],Tableau1[#All],3,FALSE))</f>
        <v/>
      </c>
      <c r="D4" s="13" t="str">
        <f>IF(Tableau13456789[[#This Row],[Repère]]="","",VLOOKUP(Tableau13456789[[#This Row],[Repère]],Tableau1[#All],4,FALSE))</f>
        <v/>
      </c>
      <c r="E4" s="13" t="str">
        <f>IF(Tableau13456789[[#This Row],[Repère]]="","",VLOOKUP(Tableau13456789[[#This Row],[Repère]],Tableau1[#All],5,FALSE))</f>
        <v/>
      </c>
      <c r="F4" s="13" t="str">
        <f>IF(Tableau13456789[[#This Row],[Repère]]="","",VLOOKUP(Tableau13456789[[#This Row],[Repère]],Tableau1[#All],6,FALSE))</f>
        <v/>
      </c>
      <c r="G4" s="13" t="str">
        <f>IF(Tableau13456789[[#This Row],[Repère]]="","",VLOOKUP(Tableau13456789[[#This Row],[Repère]],Tableau1[#All],7,FALSE))</f>
        <v/>
      </c>
      <c r="H4" s="13" t="str">
        <f>IF(Tableau13456789[[#This Row],[Repère]]="","",VLOOKUP(Tableau13456789[[#This Row],[Repère]],Tableau1[#All],8,FALSE))</f>
        <v/>
      </c>
      <c r="I4" s="13" t="str">
        <f>IF(Tableau13456789[[#This Row],[Repère]]="","",VLOOKUP(Tableau13456789[[#This Row],[Repère]],Tableau1[#All],9,FALSE))</f>
        <v/>
      </c>
      <c r="J4" s="13" t="str">
        <f>IF(Tableau13456789[[#This Row],[Repère]]="","",VLOOKUP(Tableau13456789[[#This Row],[Repère]],Tableau1[#All],10,FALSE))</f>
        <v/>
      </c>
      <c r="K4" s="13" t="str">
        <f>IF(Tableau13456789[[#This Row],[Repère]]="","",VLOOKUP(Tableau13456789[[#This Row],[Repère]],Tableau1[#All],11,FALSE))</f>
        <v/>
      </c>
      <c r="L4" s="14" t="str">
        <f>IF(Tableau13456789[[#This Row],[Repère]]="","",VLOOKUP(Tableau13456789[[#This Row],[Repère]],Tableau1[#All],12,FALSE))</f>
        <v/>
      </c>
    </row>
    <row r="5" spans="1:12" x14ac:dyDescent="0.3">
      <c r="A5" s="18"/>
      <c r="B5" s="19"/>
      <c r="C5" s="13" t="str">
        <f>IF(Tableau13456789[[#This Row],[Repère]]="","",VLOOKUP(Tableau13456789[[#This Row],[Repère]],Tableau1[#All],3,FALSE))</f>
        <v/>
      </c>
      <c r="D5" s="13" t="str">
        <f>IF(Tableau13456789[[#This Row],[Repère]]="","",VLOOKUP(Tableau13456789[[#This Row],[Repère]],Tableau1[#All],4,FALSE))</f>
        <v/>
      </c>
      <c r="E5" s="13" t="str">
        <f>IF(Tableau13456789[[#This Row],[Repère]]="","",VLOOKUP(Tableau13456789[[#This Row],[Repère]],Tableau1[#All],5,FALSE))</f>
        <v/>
      </c>
      <c r="F5" s="13" t="str">
        <f>IF(Tableau13456789[[#This Row],[Repère]]="","",VLOOKUP(Tableau13456789[[#This Row],[Repère]],Tableau1[#All],6,FALSE))</f>
        <v/>
      </c>
      <c r="G5" s="13" t="str">
        <f>IF(Tableau13456789[[#This Row],[Repère]]="","",VLOOKUP(Tableau13456789[[#This Row],[Repère]],Tableau1[#All],7,FALSE))</f>
        <v/>
      </c>
      <c r="H5" s="13" t="str">
        <f>IF(Tableau13456789[[#This Row],[Repère]]="","",VLOOKUP(Tableau13456789[[#This Row],[Repère]],Tableau1[#All],8,FALSE))</f>
        <v/>
      </c>
      <c r="I5" s="13" t="str">
        <f>IF(Tableau13456789[[#This Row],[Repère]]="","",VLOOKUP(Tableau13456789[[#This Row],[Repère]],Tableau1[#All],9,FALSE))</f>
        <v/>
      </c>
      <c r="J5" s="13" t="str">
        <f>IF(Tableau13456789[[#This Row],[Repère]]="","",VLOOKUP(Tableau13456789[[#This Row],[Repère]],Tableau1[#All],10,FALSE))</f>
        <v/>
      </c>
      <c r="K5" s="13" t="str">
        <f>IF(Tableau13456789[[#This Row],[Repère]]="","",VLOOKUP(Tableau13456789[[#This Row],[Repère]],Tableau1[#All],11,FALSE))</f>
        <v/>
      </c>
      <c r="L5" s="14" t="str">
        <f>IF(Tableau13456789[[#This Row],[Repère]]="","",VLOOKUP(Tableau13456789[[#This Row],[Repère]],Tableau1[#All],12,FALSE))</f>
        <v/>
      </c>
    </row>
    <row r="6" spans="1:12" x14ac:dyDescent="0.3">
      <c r="A6" s="18"/>
      <c r="B6" s="19"/>
      <c r="C6" s="13" t="str">
        <f>IF(Tableau13456789[[#This Row],[Repère]]="","",VLOOKUP(Tableau13456789[[#This Row],[Repère]],Tableau1[#All],3,FALSE))</f>
        <v/>
      </c>
      <c r="D6" s="13" t="str">
        <f>IF(Tableau13456789[[#This Row],[Repère]]="","",VLOOKUP(Tableau13456789[[#This Row],[Repère]],Tableau1[#All],4,FALSE))</f>
        <v/>
      </c>
      <c r="E6" s="13" t="str">
        <f>IF(Tableau13456789[[#This Row],[Repère]]="","",VLOOKUP(Tableau13456789[[#This Row],[Repère]],Tableau1[#All],5,FALSE))</f>
        <v/>
      </c>
      <c r="F6" s="13" t="str">
        <f>IF(Tableau13456789[[#This Row],[Repère]]="","",VLOOKUP(Tableau13456789[[#This Row],[Repère]],Tableau1[#All],6,FALSE))</f>
        <v/>
      </c>
      <c r="G6" s="13" t="str">
        <f>IF(Tableau13456789[[#This Row],[Repère]]="","",VLOOKUP(Tableau13456789[[#This Row],[Repère]],Tableau1[#All],7,FALSE))</f>
        <v/>
      </c>
      <c r="H6" s="13" t="str">
        <f>IF(Tableau13456789[[#This Row],[Repère]]="","",VLOOKUP(Tableau13456789[[#This Row],[Repère]],Tableau1[#All],8,FALSE))</f>
        <v/>
      </c>
      <c r="I6" s="13" t="str">
        <f>IF(Tableau13456789[[#This Row],[Repère]]="","",VLOOKUP(Tableau13456789[[#This Row],[Repère]],Tableau1[#All],9,FALSE))</f>
        <v/>
      </c>
      <c r="J6" s="13" t="str">
        <f>IF(Tableau13456789[[#This Row],[Repère]]="","",VLOOKUP(Tableau13456789[[#This Row],[Repère]],Tableau1[#All],10,FALSE))</f>
        <v/>
      </c>
      <c r="K6" s="13" t="str">
        <f>IF(Tableau13456789[[#This Row],[Repère]]="","",VLOOKUP(Tableau13456789[[#This Row],[Repère]],Tableau1[#All],11,FALSE))</f>
        <v/>
      </c>
      <c r="L6" s="14" t="str">
        <f>IF(Tableau13456789[[#This Row],[Repère]]="","",VLOOKUP(Tableau13456789[[#This Row],[Repère]],Tableau1[#All],12,FALSE))</f>
        <v/>
      </c>
    </row>
    <row r="7" spans="1:12" x14ac:dyDescent="0.3">
      <c r="A7" s="18"/>
      <c r="B7" s="19"/>
      <c r="C7" s="13" t="str">
        <f>IF(Tableau13456789[[#This Row],[Repère]]="","",VLOOKUP(Tableau13456789[[#This Row],[Repère]],Tableau1[#All],3,FALSE))</f>
        <v/>
      </c>
      <c r="D7" s="13" t="str">
        <f>IF(Tableau13456789[[#This Row],[Repère]]="","",VLOOKUP(Tableau13456789[[#This Row],[Repère]],Tableau1[#All],4,FALSE))</f>
        <v/>
      </c>
      <c r="E7" s="13" t="str">
        <f>IF(Tableau13456789[[#This Row],[Repère]]="","",VLOOKUP(Tableau13456789[[#This Row],[Repère]],Tableau1[#All],5,FALSE))</f>
        <v/>
      </c>
      <c r="F7" s="13" t="str">
        <f>IF(Tableau13456789[[#This Row],[Repère]]="","",VLOOKUP(Tableau13456789[[#This Row],[Repère]],Tableau1[#All],6,FALSE))</f>
        <v/>
      </c>
      <c r="G7" s="13" t="str">
        <f>IF(Tableau13456789[[#This Row],[Repère]]="","",VLOOKUP(Tableau13456789[[#This Row],[Repère]],Tableau1[#All],7,FALSE))</f>
        <v/>
      </c>
      <c r="H7" s="13" t="str">
        <f>IF(Tableau13456789[[#This Row],[Repère]]="","",VLOOKUP(Tableau13456789[[#This Row],[Repère]],Tableau1[#All],8,FALSE))</f>
        <v/>
      </c>
      <c r="I7" s="13" t="str">
        <f>IF(Tableau13456789[[#This Row],[Repère]]="","",VLOOKUP(Tableau13456789[[#This Row],[Repère]],Tableau1[#All],9,FALSE))</f>
        <v/>
      </c>
      <c r="J7" s="13" t="str">
        <f>IF(Tableau13456789[[#This Row],[Repère]]="","",VLOOKUP(Tableau13456789[[#This Row],[Repère]],Tableau1[#All],10,FALSE))</f>
        <v/>
      </c>
      <c r="K7" s="13" t="str">
        <f>IF(Tableau13456789[[#This Row],[Repère]]="","",VLOOKUP(Tableau13456789[[#This Row],[Repère]],Tableau1[#All],11,FALSE))</f>
        <v/>
      </c>
      <c r="L7" s="14" t="str">
        <f>IF(Tableau13456789[[#This Row],[Repère]]="","",VLOOKUP(Tableau13456789[[#This Row],[Repère]],Tableau1[#All],12,FALSE))</f>
        <v/>
      </c>
    </row>
    <row r="8" spans="1:12" x14ac:dyDescent="0.3">
      <c r="A8" s="18"/>
      <c r="B8" s="19"/>
      <c r="C8" s="13" t="str">
        <f>IF(Tableau13456789[[#This Row],[Repère]]="","",VLOOKUP(Tableau13456789[[#This Row],[Repère]],Tableau1[#All],3,FALSE))</f>
        <v/>
      </c>
      <c r="D8" s="13" t="str">
        <f>IF(Tableau13456789[[#This Row],[Repère]]="","",VLOOKUP(Tableau13456789[[#This Row],[Repère]],Tableau1[#All],4,FALSE))</f>
        <v/>
      </c>
      <c r="E8" s="13" t="str">
        <f>IF(Tableau13456789[[#This Row],[Repère]]="","",VLOOKUP(Tableau13456789[[#This Row],[Repère]],Tableau1[#All],5,FALSE))</f>
        <v/>
      </c>
      <c r="F8" s="13" t="str">
        <f>IF(Tableau13456789[[#This Row],[Repère]]="","",VLOOKUP(Tableau13456789[[#This Row],[Repère]],Tableau1[#All],6,FALSE))</f>
        <v/>
      </c>
      <c r="G8" s="13" t="str">
        <f>IF(Tableau13456789[[#This Row],[Repère]]="","",VLOOKUP(Tableau13456789[[#This Row],[Repère]],Tableau1[#All],7,FALSE))</f>
        <v/>
      </c>
      <c r="H8" s="13" t="str">
        <f>IF(Tableau13456789[[#This Row],[Repère]]="","",VLOOKUP(Tableau13456789[[#This Row],[Repère]],Tableau1[#All],8,FALSE))</f>
        <v/>
      </c>
      <c r="I8" s="13" t="str">
        <f>IF(Tableau13456789[[#This Row],[Repère]]="","",VLOOKUP(Tableau13456789[[#This Row],[Repère]],Tableau1[#All],9,FALSE))</f>
        <v/>
      </c>
      <c r="J8" s="13" t="str">
        <f>IF(Tableau13456789[[#This Row],[Repère]]="","",VLOOKUP(Tableau13456789[[#This Row],[Repère]],Tableau1[#All],10,FALSE))</f>
        <v/>
      </c>
      <c r="K8" s="13" t="str">
        <f>IF(Tableau13456789[[#This Row],[Repère]]="","",VLOOKUP(Tableau13456789[[#This Row],[Repère]],Tableau1[#All],11,FALSE))</f>
        <v/>
      </c>
      <c r="L8" s="14" t="str">
        <f>IF(Tableau13456789[[#This Row],[Repère]]="","",VLOOKUP(Tableau13456789[[#This Row],[Repère]],Tableau1[#All],12,FALSE))</f>
        <v/>
      </c>
    </row>
    <row r="9" spans="1:12" x14ac:dyDescent="0.3">
      <c r="A9" s="18"/>
      <c r="B9" s="19"/>
      <c r="C9" s="13" t="str">
        <f>IF(Tableau13456789[[#This Row],[Repère]]="","",VLOOKUP(Tableau13456789[[#This Row],[Repère]],Tableau1[#All],3,FALSE))</f>
        <v/>
      </c>
      <c r="D9" s="13" t="str">
        <f>IF(Tableau13456789[[#This Row],[Repère]]="","",VLOOKUP(Tableau13456789[[#This Row],[Repère]],Tableau1[#All],4,FALSE))</f>
        <v/>
      </c>
      <c r="E9" s="13" t="str">
        <f>IF(Tableau13456789[[#This Row],[Repère]]="","",VLOOKUP(Tableau13456789[[#This Row],[Repère]],Tableau1[#All],5,FALSE))</f>
        <v/>
      </c>
      <c r="F9" s="13" t="str">
        <f>IF(Tableau13456789[[#This Row],[Repère]]="","",VLOOKUP(Tableau13456789[[#This Row],[Repère]],Tableau1[#All],6,FALSE))</f>
        <v/>
      </c>
      <c r="G9" s="13" t="str">
        <f>IF(Tableau13456789[[#This Row],[Repère]]="","",VLOOKUP(Tableau13456789[[#This Row],[Repère]],Tableau1[#All],7,FALSE))</f>
        <v/>
      </c>
      <c r="H9" s="13" t="str">
        <f>IF(Tableau13456789[[#This Row],[Repère]]="","",VLOOKUP(Tableau13456789[[#This Row],[Repère]],Tableau1[#All],8,FALSE))</f>
        <v/>
      </c>
      <c r="I9" s="13" t="str">
        <f>IF(Tableau13456789[[#This Row],[Repère]]="","",VLOOKUP(Tableau13456789[[#This Row],[Repère]],Tableau1[#All],9,FALSE))</f>
        <v/>
      </c>
      <c r="J9" s="13" t="str">
        <f>IF(Tableau13456789[[#This Row],[Repère]]="","",VLOOKUP(Tableau13456789[[#This Row],[Repère]],Tableau1[#All],10,FALSE))</f>
        <v/>
      </c>
      <c r="K9" s="13" t="str">
        <f>IF(Tableau13456789[[#This Row],[Repère]]="","",VLOOKUP(Tableau13456789[[#This Row],[Repère]],Tableau1[#All],11,FALSE))</f>
        <v/>
      </c>
      <c r="L9" s="14" t="str">
        <f>IF(Tableau13456789[[#This Row],[Repère]]="","",VLOOKUP(Tableau13456789[[#This Row],[Repère]],Tableau1[#All],12,FALSE))</f>
        <v/>
      </c>
    </row>
    <row r="10" spans="1:12" x14ac:dyDescent="0.3">
      <c r="A10" s="18"/>
      <c r="B10" s="19"/>
      <c r="C10" s="13" t="str">
        <f>IF(Tableau13456789[[#This Row],[Repère]]="","",VLOOKUP(Tableau13456789[[#This Row],[Repère]],Tableau1[#All],3,FALSE))</f>
        <v/>
      </c>
      <c r="D10" s="13" t="str">
        <f>IF(Tableau13456789[[#This Row],[Repère]]="","",VLOOKUP(Tableau13456789[[#This Row],[Repère]],Tableau1[#All],4,FALSE))</f>
        <v/>
      </c>
      <c r="E10" s="13" t="str">
        <f>IF(Tableau13456789[[#This Row],[Repère]]="","",VLOOKUP(Tableau13456789[[#This Row],[Repère]],Tableau1[#All],5,FALSE))</f>
        <v/>
      </c>
      <c r="F10" s="13" t="str">
        <f>IF(Tableau13456789[[#This Row],[Repère]]="","",VLOOKUP(Tableau13456789[[#This Row],[Repère]],Tableau1[#All],6,FALSE))</f>
        <v/>
      </c>
      <c r="G10" s="13" t="str">
        <f>IF(Tableau13456789[[#This Row],[Repère]]="","",VLOOKUP(Tableau13456789[[#This Row],[Repère]],Tableau1[#All],7,FALSE))</f>
        <v/>
      </c>
      <c r="H10" s="13" t="str">
        <f>IF(Tableau13456789[[#This Row],[Repère]]="","",VLOOKUP(Tableau13456789[[#This Row],[Repère]],Tableau1[#All],8,FALSE))</f>
        <v/>
      </c>
      <c r="I10" s="13" t="str">
        <f>IF(Tableau13456789[[#This Row],[Repère]]="","",VLOOKUP(Tableau13456789[[#This Row],[Repère]],Tableau1[#All],9,FALSE))</f>
        <v/>
      </c>
      <c r="J10" s="13" t="str">
        <f>IF(Tableau13456789[[#This Row],[Repère]]="","",VLOOKUP(Tableau13456789[[#This Row],[Repère]],Tableau1[#All],10,FALSE))</f>
        <v/>
      </c>
      <c r="K10" s="13" t="str">
        <f>IF(Tableau13456789[[#This Row],[Repère]]="","",VLOOKUP(Tableau13456789[[#This Row],[Repère]],Tableau1[#All],11,FALSE))</f>
        <v/>
      </c>
      <c r="L10" s="14" t="str">
        <f>IF(Tableau13456789[[#This Row],[Repère]]="","",VLOOKUP(Tableau13456789[[#This Row],[Repère]],Tableau1[#All],12,FALSE))</f>
        <v/>
      </c>
    </row>
    <row r="11" spans="1:12" x14ac:dyDescent="0.3">
      <c r="A11" s="18"/>
      <c r="B11" s="19"/>
      <c r="C11" s="13" t="str">
        <f>IF(Tableau13456789[[#This Row],[Repère]]="","",VLOOKUP(Tableau13456789[[#This Row],[Repère]],Tableau1[#All],3,FALSE))</f>
        <v/>
      </c>
      <c r="D11" s="13" t="str">
        <f>IF(Tableau13456789[[#This Row],[Repère]]="","",VLOOKUP(Tableau13456789[[#This Row],[Repère]],Tableau1[#All],4,FALSE))</f>
        <v/>
      </c>
      <c r="E11" s="13" t="str">
        <f>IF(Tableau13456789[[#This Row],[Repère]]="","",VLOOKUP(Tableau13456789[[#This Row],[Repère]],Tableau1[#All],5,FALSE))</f>
        <v/>
      </c>
      <c r="F11" s="13" t="str">
        <f>IF(Tableau13456789[[#This Row],[Repère]]="","",VLOOKUP(Tableau13456789[[#This Row],[Repère]],Tableau1[#All],6,FALSE))</f>
        <v/>
      </c>
      <c r="G11" s="13" t="str">
        <f>IF(Tableau13456789[[#This Row],[Repère]]="","",VLOOKUP(Tableau13456789[[#This Row],[Repère]],Tableau1[#All],7,FALSE))</f>
        <v/>
      </c>
      <c r="H11" s="13" t="str">
        <f>IF(Tableau13456789[[#This Row],[Repère]]="","",VLOOKUP(Tableau13456789[[#This Row],[Repère]],Tableau1[#All],8,FALSE))</f>
        <v/>
      </c>
      <c r="I11" s="13" t="str">
        <f>IF(Tableau13456789[[#This Row],[Repère]]="","",VLOOKUP(Tableau13456789[[#This Row],[Repère]],Tableau1[#All],9,FALSE))</f>
        <v/>
      </c>
      <c r="J11" s="13" t="str">
        <f>IF(Tableau13456789[[#This Row],[Repère]]="","",VLOOKUP(Tableau13456789[[#This Row],[Repère]],Tableau1[#All],10,FALSE))</f>
        <v/>
      </c>
      <c r="K11" s="13" t="str">
        <f>IF(Tableau13456789[[#This Row],[Repère]]="","",VLOOKUP(Tableau13456789[[#This Row],[Repère]],Tableau1[#All],11,FALSE))</f>
        <v/>
      </c>
      <c r="L11" s="14" t="str">
        <f>IF(Tableau13456789[[#This Row],[Repère]]="","",VLOOKUP(Tableau13456789[[#This Row],[Repère]],Tableau1[#All],12,FALSE))</f>
        <v/>
      </c>
    </row>
    <row r="12" spans="1:12" x14ac:dyDescent="0.3">
      <c r="A12" s="18"/>
      <c r="B12" s="19"/>
      <c r="C12" s="13" t="str">
        <f>IF(Tableau13456789[[#This Row],[Repère]]="","",VLOOKUP(Tableau13456789[[#This Row],[Repère]],Tableau1[#All],3,FALSE))</f>
        <v/>
      </c>
      <c r="D12" s="13" t="str">
        <f>IF(Tableau13456789[[#This Row],[Repère]]="","",VLOOKUP(Tableau13456789[[#This Row],[Repère]],Tableau1[#All],4,FALSE))</f>
        <v/>
      </c>
      <c r="E12" s="13" t="str">
        <f>IF(Tableau13456789[[#This Row],[Repère]]="","",VLOOKUP(Tableau13456789[[#This Row],[Repère]],Tableau1[#All],5,FALSE))</f>
        <v/>
      </c>
      <c r="F12" s="13" t="str">
        <f>IF(Tableau13456789[[#This Row],[Repère]]="","",VLOOKUP(Tableau13456789[[#This Row],[Repère]],Tableau1[#All],6,FALSE))</f>
        <v/>
      </c>
      <c r="G12" s="13" t="str">
        <f>IF(Tableau13456789[[#This Row],[Repère]]="","",VLOOKUP(Tableau13456789[[#This Row],[Repère]],Tableau1[#All],7,FALSE))</f>
        <v/>
      </c>
      <c r="H12" s="13" t="str">
        <f>IF(Tableau13456789[[#This Row],[Repère]]="","",VLOOKUP(Tableau13456789[[#This Row],[Repère]],Tableau1[#All],8,FALSE))</f>
        <v/>
      </c>
      <c r="I12" s="13" t="str">
        <f>IF(Tableau13456789[[#This Row],[Repère]]="","",VLOOKUP(Tableau13456789[[#This Row],[Repère]],Tableau1[#All],9,FALSE))</f>
        <v/>
      </c>
      <c r="J12" s="13" t="str">
        <f>IF(Tableau13456789[[#This Row],[Repère]]="","",VLOOKUP(Tableau13456789[[#This Row],[Repère]],Tableau1[#All],10,FALSE))</f>
        <v/>
      </c>
      <c r="K12" s="13" t="str">
        <f>IF(Tableau13456789[[#This Row],[Repère]]="","",VLOOKUP(Tableau13456789[[#This Row],[Repère]],Tableau1[#All],11,FALSE))</f>
        <v/>
      </c>
      <c r="L12" s="14" t="str">
        <f>IF(Tableau13456789[[#This Row],[Repère]]="","",VLOOKUP(Tableau13456789[[#This Row],[Repère]],Tableau1[#All],12,FALSE))</f>
        <v/>
      </c>
    </row>
    <row r="13" spans="1:12" x14ac:dyDescent="0.3">
      <c r="A13" s="18"/>
      <c r="B13" s="19"/>
      <c r="C13" s="13" t="str">
        <f>IF(Tableau13456789[[#This Row],[Repère]]="","",VLOOKUP(Tableau13456789[[#This Row],[Repère]],Tableau1[#All],3,FALSE))</f>
        <v/>
      </c>
      <c r="D13" s="13" t="str">
        <f>IF(Tableau13456789[[#This Row],[Repère]]="","",VLOOKUP(Tableau13456789[[#This Row],[Repère]],Tableau1[#All],4,FALSE))</f>
        <v/>
      </c>
      <c r="E13" s="13" t="str">
        <f>IF(Tableau13456789[[#This Row],[Repère]]="","",VLOOKUP(Tableau13456789[[#This Row],[Repère]],Tableau1[#All],5,FALSE))</f>
        <v/>
      </c>
      <c r="F13" s="13" t="str">
        <f>IF(Tableau13456789[[#This Row],[Repère]]="","",VLOOKUP(Tableau13456789[[#This Row],[Repère]],Tableau1[#All],6,FALSE))</f>
        <v/>
      </c>
      <c r="G13" s="13" t="str">
        <f>IF(Tableau13456789[[#This Row],[Repère]]="","",VLOOKUP(Tableau13456789[[#This Row],[Repère]],Tableau1[#All],7,FALSE))</f>
        <v/>
      </c>
      <c r="H13" s="13" t="str">
        <f>IF(Tableau13456789[[#This Row],[Repère]]="","",VLOOKUP(Tableau13456789[[#This Row],[Repère]],Tableau1[#All],8,FALSE))</f>
        <v/>
      </c>
      <c r="I13" s="13" t="str">
        <f>IF(Tableau13456789[[#This Row],[Repère]]="","",VLOOKUP(Tableau13456789[[#This Row],[Repère]],Tableau1[#All],9,FALSE))</f>
        <v/>
      </c>
      <c r="J13" s="13" t="str">
        <f>IF(Tableau13456789[[#This Row],[Repère]]="","",VLOOKUP(Tableau13456789[[#This Row],[Repère]],Tableau1[#All],10,FALSE))</f>
        <v/>
      </c>
      <c r="K13" s="13" t="str">
        <f>IF(Tableau13456789[[#This Row],[Repère]]="","",VLOOKUP(Tableau13456789[[#This Row],[Repère]],Tableau1[#All],11,FALSE))</f>
        <v/>
      </c>
      <c r="L13" s="14" t="str">
        <f>IF(Tableau13456789[[#This Row],[Repère]]="","",VLOOKUP(Tableau13456789[[#This Row],[Repère]],Tableau1[#All],12,FALSE))</f>
        <v/>
      </c>
    </row>
    <row r="14" spans="1:12" x14ac:dyDescent="0.3">
      <c r="A14" s="18"/>
      <c r="B14" s="19"/>
      <c r="C14" s="13" t="str">
        <f>IF(Tableau13456789[[#This Row],[Repère]]="","",VLOOKUP(Tableau13456789[[#This Row],[Repère]],Tableau1[#All],3,FALSE))</f>
        <v/>
      </c>
      <c r="D14" s="13" t="str">
        <f>IF(Tableau13456789[[#This Row],[Repère]]="","",VLOOKUP(Tableau13456789[[#This Row],[Repère]],Tableau1[#All],4,FALSE))</f>
        <v/>
      </c>
      <c r="E14" s="13" t="str">
        <f>IF(Tableau13456789[[#This Row],[Repère]]="","",VLOOKUP(Tableau13456789[[#This Row],[Repère]],Tableau1[#All],5,FALSE))</f>
        <v/>
      </c>
      <c r="F14" s="13" t="str">
        <f>IF(Tableau13456789[[#This Row],[Repère]]="","",VLOOKUP(Tableau13456789[[#This Row],[Repère]],Tableau1[#All],6,FALSE))</f>
        <v/>
      </c>
      <c r="G14" s="13" t="str">
        <f>IF(Tableau13456789[[#This Row],[Repère]]="","",VLOOKUP(Tableau13456789[[#This Row],[Repère]],Tableau1[#All],7,FALSE))</f>
        <v/>
      </c>
      <c r="H14" s="13" t="str">
        <f>IF(Tableau13456789[[#This Row],[Repère]]="","",VLOOKUP(Tableau13456789[[#This Row],[Repère]],Tableau1[#All],8,FALSE))</f>
        <v/>
      </c>
      <c r="I14" s="13" t="str">
        <f>IF(Tableau13456789[[#This Row],[Repère]]="","",VLOOKUP(Tableau13456789[[#This Row],[Repère]],Tableau1[#All],9,FALSE))</f>
        <v/>
      </c>
      <c r="J14" s="13" t="str">
        <f>IF(Tableau13456789[[#This Row],[Repère]]="","",VLOOKUP(Tableau13456789[[#This Row],[Repère]],Tableau1[#All],10,FALSE))</f>
        <v/>
      </c>
      <c r="K14" s="13" t="str">
        <f>IF(Tableau13456789[[#This Row],[Repère]]="","",VLOOKUP(Tableau13456789[[#This Row],[Repère]],Tableau1[#All],11,FALSE))</f>
        <v/>
      </c>
      <c r="L14" s="14" t="str">
        <f>IF(Tableau13456789[[#This Row],[Repère]]="","",VLOOKUP(Tableau13456789[[#This Row],[Repère]],Tableau1[#All],12,FALSE))</f>
        <v/>
      </c>
    </row>
    <row r="15" spans="1:12" x14ac:dyDescent="0.3">
      <c r="A15" s="18"/>
      <c r="B15" s="19"/>
      <c r="C15" s="13" t="str">
        <f>IF(Tableau13456789[[#This Row],[Repère]]="","",VLOOKUP(Tableau13456789[[#This Row],[Repère]],Tableau1[#All],3,FALSE))</f>
        <v/>
      </c>
      <c r="D15" s="13" t="str">
        <f>IF(Tableau13456789[[#This Row],[Repère]]="","",VLOOKUP(Tableau13456789[[#This Row],[Repère]],Tableau1[#All],4,FALSE))</f>
        <v/>
      </c>
      <c r="E15" s="13" t="str">
        <f>IF(Tableau13456789[[#This Row],[Repère]]="","",VLOOKUP(Tableau13456789[[#This Row],[Repère]],Tableau1[#All],5,FALSE))</f>
        <v/>
      </c>
      <c r="F15" s="13" t="str">
        <f>IF(Tableau13456789[[#This Row],[Repère]]="","",VLOOKUP(Tableau13456789[[#This Row],[Repère]],Tableau1[#All],6,FALSE))</f>
        <v/>
      </c>
      <c r="G15" s="13" t="str">
        <f>IF(Tableau13456789[[#This Row],[Repère]]="","",VLOOKUP(Tableau13456789[[#This Row],[Repère]],Tableau1[#All],7,FALSE))</f>
        <v/>
      </c>
      <c r="H15" s="13" t="str">
        <f>IF(Tableau13456789[[#This Row],[Repère]]="","",VLOOKUP(Tableau13456789[[#This Row],[Repère]],Tableau1[#All],8,FALSE))</f>
        <v/>
      </c>
      <c r="I15" s="13" t="str">
        <f>IF(Tableau13456789[[#This Row],[Repère]]="","",VLOOKUP(Tableau13456789[[#This Row],[Repère]],Tableau1[#All],9,FALSE))</f>
        <v/>
      </c>
      <c r="J15" s="13" t="str">
        <f>IF(Tableau13456789[[#This Row],[Repère]]="","",VLOOKUP(Tableau13456789[[#This Row],[Repère]],Tableau1[#All],10,FALSE))</f>
        <v/>
      </c>
      <c r="K15" s="13" t="str">
        <f>IF(Tableau13456789[[#This Row],[Repère]]="","",VLOOKUP(Tableau13456789[[#This Row],[Repère]],Tableau1[#All],11,FALSE))</f>
        <v/>
      </c>
      <c r="L15" s="14" t="str">
        <f>IF(Tableau13456789[[#This Row],[Repère]]="","",VLOOKUP(Tableau13456789[[#This Row],[Repère]],Tableau1[#All],12,FALSE))</f>
        <v/>
      </c>
    </row>
    <row r="16" spans="1:12" x14ac:dyDescent="0.3">
      <c r="A16" s="18"/>
      <c r="B16" s="19"/>
      <c r="C16" s="13" t="str">
        <f>IF(Tableau13456789[[#This Row],[Repère]]="","",VLOOKUP(Tableau13456789[[#This Row],[Repère]],Tableau1[#All],3,FALSE))</f>
        <v/>
      </c>
      <c r="D16" s="13" t="str">
        <f>IF(Tableau13456789[[#This Row],[Repère]]="","",VLOOKUP(Tableau13456789[[#This Row],[Repère]],Tableau1[#All],4,FALSE))</f>
        <v/>
      </c>
      <c r="E16" s="13" t="str">
        <f>IF(Tableau13456789[[#This Row],[Repère]]="","",VLOOKUP(Tableau13456789[[#This Row],[Repère]],Tableau1[#All],5,FALSE))</f>
        <v/>
      </c>
      <c r="F16" s="13" t="str">
        <f>IF(Tableau13456789[[#This Row],[Repère]]="","",VLOOKUP(Tableau13456789[[#This Row],[Repère]],Tableau1[#All],6,FALSE))</f>
        <v/>
      </c>
      <c r="G16" s="13" t="str">
        <f>IF(Tableau13456789[[#This Row],[Repère]]="","",VLOOKUP(Tableau13456789[[#This Row],[Repère]],Tableau1[#All],7,FALSE))</f>
        <v/>
      </c>
      <c r="H16" s="13" t="str">
        <f>IF(Tableau13456789[[#This Row],[Repère]]="","",VLOOKUP(Tableau13456789[[#This Row],[Repère]],Tableau1[#All],8,FALSE))</f>
        <v/>
      </c>
      <c r="I16" s="13" t="str">
        <f>IF(Tableau13456789[[#This Row],[Repère]]="","",VLOOKUP(Tableau13456789[[#This Row],[Repère]],Tableau1[#All],9,FALSE))</f>
        <v/>
      </c>
      <c r="J16" s="13" t="str">
        <f>IF(Tableau13456789[[#This Row],[Repère]]="","",VLOOKUP(Tableau13456789[[#This Row],[Repère]],Tableau1[#All],10,FALSE))</f>
        <v/>
      </c>
      <c r="K16" s="13" t="str">
        <f>IF(Tableau13456789[[#This Row],[Repère]]="","",VLOOKUP(Tableau13456789[[#This Row],[Repère]],Tableau1[#All],11,FALSE))</f>
        <v/>
      </c>
      <c r="L16" s="14" t="str">
        <f>IF(Tableau13456789[[#This Row],[Repère]]="","",VLOOKUP(Tableau13456789[[#This Row],[Repère]],Tableau1[#All],12,FALSE))</f>
        <v/>
      </c>
    </row>
    <row r="17" spans="1:12" x14ac:dyDescent="0.3">
      <c r="A17" s="18"/>
      <c r="B17" s="19"/>
      <c r="C17" s="13" t="str">
        <f>IF(Tableau13456789[[#This Row],[Repère]]="","",VLOOKUP(Tableau13456789[[#This Row],[Repère]],Tableau1[#All],3,FALSE))</f>
        <v/>
      </c>
      <c r="D17" s="13" t="str">
        <f>IF(Tableau13456789[[#This Row],[Repère]]="","",VLOOKUP(Tableau13456789[[#This Row],[Repère]],Tableau1[#All],4,FALSE))</f>
        <v/>
      </c>
      <c r="E17" s="13" t="str">
        <f>IF(Tableau13456789[[#This Row],[Repère]]="","",VLOOKUP(Tableau13456789[[#This Row],[Repère]],Tableau1[#All],5,FALSE))</f>
        <v/>
      </c>
      <c r="F17" s="13" t="str">
        <f>IF(Tableau13456789[[#This Row],[Repère]]="","",VLOOKUP(Tableau13456789[[#This Row],[Repère]],Tableau1[#All],6,FALSE))</f>
        <v/>
      </c>
      <c r="G17" s="13" t="str">
        <f>IF(Tableau13456789[[#This Row],[Repère]]="","",VLOOKUP(Tableau13456789[[#This Row],[Repère]],Tableau1[#All],7,FALSE))</f>
        <v/>
      </c>
      <c r="H17" s="13" t="str">
        <f>IF(Tableau13456789[[#This Row],[Repère]]="","",VLOOKUP(Tableau13456789[[#This Row],[Repère]],Tableau1[#All],8,FALSE))</f>
        <v/>
      </c>
      <c r="I17" s="13" t="str">
        <f>IF(Tableau13456789[[#This Row],[Repère]]="","",VLOOKUP(Tableau13456789[[#This Row],[Repère]],Tableau1[#All],9,FALSE))</f>
        <v/>
      </c>
      <c r="J17" s="13" t="str">
        <f>IF(Tableau13456789[[#This Row],[Repère]]="","",VLOOKUP(Tableau13456789[[#This Row],[Repère]],Tableau1[#All],10,FALSE))</f>
        <v/>
      </c>
      <c r="K17" s="13" t="str">
        <f>IF(Tableau13456789[[#This Row],[Repère]]="","",VLOOKUP(Tableau13456789[[#This Row],[Repère]],Tableau1[#All],11,FALSE))</f>
        <v/>
      </c>
      <c r="L17" s="14" t="str">
        <f>IF(Tableau13456789[[#This Row],[Repère]]="","",VLOOKUP(Tableau13456789[[#This Row],[Repère]],Tableau1[#All],12,FALSE))</f>
        <v/>
      </c>
    </row>
    <row r="18" spans="1:12" x14ac:dyDescent="0.3">
      <c r="A18" s="18"/>
      <c r="B18" s="19"/>
      <c r="C18" s="13" t="str">
        <f>IF(Tableau13456789[[#This Row],[Repère]]="","",VLOOKUP(Tableau13456789[[#This Row],[Repère]],Tableau1[#All],3,FALSE))</f>
        <v/>
      </c>
      <c r="D18" s="13" t="str">
        <f>IF(Tableau13456789[[#This Row],[Repère]]="","",VLOOKUP(Tableau13456789[[#This Row],[Repère]],Tableau1[#All],4,FALSE))</f>
        <v/>
      </c>
      <c r="E18" s="13" t="str">
        <f>IF(Tableau13456789[[#This Row],[Repère]]="","",VLOOKUP(Tableau13456789[[#This Row],[Repère]],Tableau1[#All],5,FALSE))</f>
        <v/>
      </c>
      <c r="F18" s="13" t="str">
        <f>IF(Tableau13456789[[#This Row],[Repère]]="","",VLOOKUP(Tableau13456789[[#This Row],[Repère]],Tableau1[#All],6,FALSE))</f>
        <v/>
      </c>
      <c r="G18" s="13" t="str">
        <f>IF(Tableau13456789[[#This Row],[Repère]]="","",VLOOKUP(Tableau13456789[[#This Row],[Repère]],Tableau1[#All],7,FALSE))</f>
        <v/>
      </c>
      <c r="H18" s="13" t="str">
        <f>IF(Tableau13456789[[#This Row],[Repère]]="","",VLOOKUP(Tableau13456789[[#This Row],[Repère]],Tableau1[#All],8,FALSE))</f>
        <v/>
      </c>
      <c r="I18" s="13" t="str">
        <f>IF(Tableau13456789[[#This Row],[Repère]]="","",VLOOKUP(Tableau13456789[[#This Row],[Repère]],Tableau1[#All],9,FALSE))</f>
        <v/>
      </c>
      <c r="J18" s="13" t="str">
        <f>IF(Tableau13456789[[#This Row],[Repère]]="","",VLOOKUP(Tableau13456789[[#This Row],[Repère]],Tableau1[#All],10,FALSE))</f>
        <v/>
      </c>
      <c r="K18" s="13" t="str">
        <f>IF(Tableau13456789[[#This Row],[Repère]]="","",VLOOKUP(Tableau13456789[[#This Row],[Repère]],Tableau1[#All],11,FALSE))</f>
        <v/>
      </c>
      <c r="L18" s="14" t="str">
        <f>IF(Tableau13456789[[#This Row],[Repère]]="","",VLOOKUP(Tableau13456789[[#This Row],[Repère]],Tableau1[#All],12,FALSE))</f>
        <v/>
      </c>
    </row>
    <row r="19" spans="1:12" x14ac:dyDescent="0.3">
      <c r="A19" s="18"/>
      <c r="B19" s="19"/>
      <c r="C19" s="13" t="str">
        <f>IF(Tableau13456789[[#This Row],[Repère]]="","",VLOOKUP(Tableau13456789[[#This Row],[Repère]],Tableau1[#All],3,FALSE))</f>
        <v/>
      </c>
      <c r="D19" s="13" t="str">
        <f>IF(Tableau13456789[[#This Row],[Repère]]="","",VLOOKUP(Tableau13456789[[#This Row],[Repère]],Tableau1[#All],4,FALSE))</f>
        <v/>
      </c>
      <c r="E19" s="13" t="str">
        <f>IF(Tableau13456789[[#This Row],[Repère]]="","",VLOOKUP(Tableau13456789[[#This Row],[Repère]],Tableau1[#All],5,FALSE))</f>
        <v/>
      </c>
      <c r="F19" s="13" t="str">
        <f>IF(Tableau13456789[[#This Row],[Repère]]="","",VLOOKUP(Tableau13456789[[#This Row],[Repère]],Tableau1[#All],6,FALSE))</f>
        <v/>
      </c>
      <c r="G19" s="13" t="str">
        <f>IF(Tableau13456789[[#This Row],[Repère]]="","",VLOOKUP(Tableau13456789[[#This Row],[Repère]],Tableau1[#All],7,FALSE))</f>
        <v/>
      </c>
      <c r="H19" s="13" t="str">
        <f>IF(Tableau13456789[[#This Row],[Repère]]="","",VLOOKUP(Tableau13456789[[#This Row],[Repère]],Tableau1[#All],8,FALSE))</f>
        <v/>
      </c>
      <c r="I19" s="13" t="str">
        <f>IF(Tableau13456789[[#This Row],[Repère]]="","",VLOOKUP(Tableau13456789[[#This Row],[Repère]],Tableau1[#All],9,FALSE))</f>
        <v/>
      </c>
      <c r="J19" s="13" t="str">
        <f>IF(Tableau13456789[[#This Row],[Repère]]="","",VLOOKUP(Tableau13456789[[#This Row],[Repère]],Tableau1[#All],10,FALSE))</f>
        <v/>
      </c>
      <c r="K19" s="13" t="str">
        <f>IF(Tableau13456789[[#This Row],[Repère]]="","",VLOOKUP(Tableau13456789[[#This Row],[Repère]],Tableau1[#All],11,FALSE))</f>
        <v/>
      </c>
      <c r="L19" s="14" t="str">
        <f>IF(Tableau13456789[[#This Row],[Repère]]="","",VLOOKUP(Tableau13456789[[#This Row],[Repère]],Tableau1[#All],12,FALSE))</f>
        <v/>
      </c>
    </row>
    <row r="20" spans="1:12" x14ac:dyDescent="0.3">
      <c r="A20" s="18"/>
      <c r="B20" s="19"/>
      <c r="C20" s="13" t="str">
        <f>IF(Tableau13456789[[#This Row],[Repère]]="","",VLOOKUP(Tableau13456789[[#This Row],[Repère]],Tableau1[#All],3,FALSE))</f>
        <v/>
      </c>
      <c r="D20" s="13" t="str">
        <f>IF(Tableau13456789[[#This Row],[Repère]]="","",VLOOKUP(Tableau13456789[[#This Row],[Repère]],Tableau1[#All],4,FALSE))</f>
        <v/>
      </c>
      <c r="E20" s="13" t="str">
        <f>IF(Tableau13456789[[#This Row],[Repère]]="","",VLOOKUP(Tableau13456789[[#This Row],[Repère]],Tableau1[#All],5,FALSE))</f>
        <v/>
      </c>
      <c r="F20" s="13" t="str">
        <f>IF(Tableau13456789[[#This Row],[Repère]]="","",VLOOKUP(Tableau13456789[[#This Row],[Repère]],Tableau1[#All],6,FALSE))</f>
        <v/>
      </c>
      <c r="G20" s="13" t="str">
        <f>IF(Tableau13456789[[#This Row],[Repère]]="","",VLOOKUP(Tableau13456789[[#This Row],[Repère]],Tableau1[#All],7,FALSE))</f>
        <v/>
      </c>
      <c r="H20" s="13" t="str">
        <f>IF(Tableau13456789[[#This Row],[Repère]]="","",VLOOKUP(Tableau13456789[[#This Row],[Repère]],Tableau1[#All],8,FALSE))</f>
        <v/>
      </c>
      <c r="I20" s="13" t="str">
        <f>IF(Tableau13456789[[#This Row],[Repère]]="","",VLOOKUP(Tableau13456789[[#This Row],[Repère]],Tableau1[#All],9,FALSE))</f>
        <v/>
      </c>
      <c r="J20" s="13" t="str">
        <f>IF(Tableau13456789[[#This Row],[Repère]]="","",VLOOKUP(Tableau13456789[[#This Row],[Repère]],Tableau1[#All],10,FALSE))</f>
        <v/>
      </c>
      <c r="K20" s="13" t="str">
        <f>IF(Tableau13456789[[#This Row],[Repère]]="","",VLOOKUP(Tableau13456789[[#This Row],[Repère]],Tableau1[#All],11,FALSE))</f>
        <v/>
      </c>
      <c r="L20" s="14" t="str">
        <f>IF(Tableau13456789[[#This Row],[Repère]]="","",VLOOKUP(Tableau13456789[[#This Row],[Repère]],Tableau1[#All],12,FALSE))</f>
        <v/>
      </c>
    </row>
    <row r="21" spans="1:12" x14ac:dyDescent="0.3">
      <c r="A21" s="18"/>
      <c r="B21" s="19"/>
      <c r="C21" s="13" t="str">
        <f>IF(Tableau13456789[[#This Row],[Repère]]="","",VLOOKUP(Tableau13456789[[#This Row],[Repère]],Tableau1[#All],3,FALSE))</f>
        <v/>
      </c>
      <c r="D21" s="13" t="str">
        <f>IF(Tableau13456789[[#This Row],[Repère]]="","",VLOOKUP(Tableau13456789[[#This Row],[Repère]],Tableau1[#All],4,FALSE))</f>
        <v/>
      </c>
      <c r="E21" s="13" t="str">
        <f>IF(Tableau13456789[[#This Row],[Repère]]="","",VLOOKUP(Tableau13456789[[#This Row],[Repère]],Tableau1[#All],5,FALSE))</f>
        <v/>
      </c>
      <c r="F21" s="13" t="str">
        <f>IF(Tableau13456789[[#This Row],[Repère]]="","",VLOOKUP(Tableau13456789[[#This Row],[Repère]],Tableau1[#All],6,FALSE))</f>
        <v/>
      </c>
      <c r="G21" s="13" t="str">
        <f>IF(Tableau13456789[[#This Row],[Repère]]="","",VLOOKUP(Tableau13456789[[#This Row],[Repère]],Tableau1[#All],7,FALSE))</f>
        <v/>
      </c>
      <c r="H21" s="13" t="str">
        <f>IF(Tableau13456789[[#This Row],[Repère]]="","",VLOOKUP(Tableau13456789[[#This Row],[Repère]],Tableau1[#All],8,FALSE))</f>
        <v/>
      </c>
      <c r="I21" s="13" t="str">
        <f>IF(Tableau13456789[[#This Row],[Repère]]="","",VLOOKUP(Tableau13456789[[#This Row],[Repère]],Tableau1[#All],9,FALSE))</f>
        <v/>
      </c>
      <c r="J21" s="13" t="str">
        <f>IF(Tableau13456789[[#This Row],[Repère]]="","",VLOOKUP(Tableau13456789[[#This Row],[Repère]],Tableau1[#All],10,FALSE))</f>
        <v/>
      </c>
      <c r="K21" s="13" t="str">
        <f>IF(Tableau13456789[[#This Row],[Repère]]="","",VLOOKUP(Tableau13456789[[#This Row],[Repère]],Tableau1[#All],11,FALSE))</f>
        <v/>
      </c>
      <c r="L21" s="14" t="str">
        <f>IF(Tableau13456789[[#This Row],[Repère]]="","",VLOOKUP(Tableau13456789[[#This Row],[Repère]],Tableau1[#All],12,FALSE))</f>
        <v/>
      </c>
    </row>
    <row r="22" spans="1:12" x14ac:dyDescent="0.3">
      <c r="A22" s="18"/>
      <c r="B22" s="19"/>
      <c r="C22" s="13" t="str">
        <f>IF(Tableau13456789[[#This Row],[Repère]]="","",VLOOKUP(Tableau13456789[[#This Row],[Repère]],Tableau1[#All],3,FALSE))</f>
        <v/>
      </c>
      <c r="D22" s="13" t="str">
        <f>IF(Tableau13456789[[#This Row],[Repère]]="","",VLOOKUP(Tableau13456789[[#This Row],[Repère]],Tableau1[#All],4,FALSE))</f>
        <v/>
      </c>
      <c r="E22" s="13" t="str">
        <f>IF(Tableau13456789[[#This Row],[Repère]]="","",VLOOKUP(Tableau13456789[[#This Row],[Repère]],Tableau1[#All],5,FALSE))</f>
        <v/>
      </c>
      <c r="F22" s="13" t="str">
        <f>IF(Tableau13456789[[#This Row],[Repère]]="","",VLOOKUP(Tableau13456789[[#This Row],[Repère]],Tableau1[#All],6,FALSE))</f>
        <v/>
      </c>
      <c r="G22" s="13" t="str">
        <f>IF(Tableau13456789[[#This Row],[Repère]]="","",VLOOKUP(Tableau13456789[[#This Row],[Repère]],Tableau1[#All],7,FALSE))</f>
        <v/>
      </c>
      <c r="H22" s="13" t="str">
        <f>IF(Tableau13456789[[#This Row],[Repère]]="","",VLOOKUP(Tableau13456789[[#This Row],[Repère]],Tableau1[#All],8,FALSE))</f>
        <v/>
      </c>
      <c r="I22" s="13" t="str">
        <f>IF(Tableau13456789[[#This Row],[Repère]]="","",VLOOKUP(Tableau13456789[[#This Row],[Repère]],Tableau1[#All],9,FALSE))</f>
        <v/>
      </c>
      <c r="J22" s="13" t="str">
        <f>IF(Tableau13456789[[#This Row],[Repère]]="","",VLOOKUP(Tableau13456789[[#This Row],[Repère]],Tableau1[#All],10,FALSE))</f>
        <v/>
      </c>
      <c r="K22" s="13" t="str">
        <f>IF(Tableau13456789[[#This Row],[Repère]]="","",VLOOKUP(Tableau13456789[[#This Row],[Repère]],Tableau1[#All],11,FALSE))</f>
        <v/>
      </c>
      <c r="L22" s="14" t="str">
        <f>IF(Tableau13456789[[#This Row],[Repère]]="","",VLOOKUP(Tableau13456789[[#This Row],[Repère]],Tableau1[#All],12,FALSE))</f>
        <v/>
      </c>
    </row>
    <row r="23" spans="1:12" x14ac:dyDescent="0.3">
      <c r="A23" s="18"/>
      <c r="B23" s="19"/>
      <c r="C23" s="13" t="str">
        <f>IF(Tableau13456789[[#This Row],[Repère]]="","",VLOOKUP(Tableau13456789[[#This Row],[Repère]],Tableau1[#All],3,FALSE))</f>
        <v/>
      </c>
      <c r="D23" s="13" t="str">
        <f>IF(Tableau13456789[[#This Row],[Repère]]="","",VLOOKUP(Tableau13456789[[#This Row],[Repère]],Tableau1[#All],4,FALSE))</f>
        <v/>
      </c>
      <c r="E23" s="13" t="str">
        <f>IF(Tableau13456789[[#This Row],[Repère]]="","",VLOOKUP(Tableau13456789[[#This Row],[Repère]],Tableau1[#All],5,FALSE))</f>
        <v/>
      </c>
      <c r="F23" s="13" t="str">
        <f>IF(Tableau13456789[[#This Row],[Repère]]="","",VLOOKUP(Tableau13456789[[#This Row],[Repère]],Tableau1[#All],6,FALSE))</f>
        <v/>
      </c>
      <c r="G23" s="13" t="str">
        <f>IF(Tableau13456789[[#This Row],[Repère]]="","",VLOOKUP(Tableau13456789[[#This Row],[Repère]],Tableau1[#All],7,FALSE))</f>
        <v/>
      </c>
      <c r="H23" s="13" t="str">
        <f>IF(Tableau13456789[[#This Row],[Repère]]="","",VLOOKUP(Tableau13456789[[#This Row],[Repère]],Tableau1[#All],8,FALSE))</f>
        <v/>
      </c>
      <c r="I23" s="13" t="str">
        <f>IF(Tableau13456789[[#This Row],[Repère]]="","",VLOOKUP(Tableau13456789[[#This Row],[Repère]],Tableau1[#All],9,FALSE))</f>
        <v/>
      </c>
      <c r="J23" s="13" t="str">
        <f>IF(Tableau13456789[[#This Row],[Repère]]="","",VLOOKUP(Tableau13456789[[#This Row],[Repère]],Tableau1[#All],10,FALSE))</f>
        <v/>
      </c>
      <c r="K23" s="13" t="str">
        <f>IF(Tableau13456789[[#This Row],[Repère]]="","",VLOOKUP(Tableau13456789[[#This Row],[Repère]],Tableau1[#All],11,FALSE))</f>
        <v/>
      </c>
      <c r="L23" s="14" t="str">
        <f>IF(Tableau13456789[[#This Row],[Repère]]="","",VLOOKUP(Tableau13456789[[#This Row],[Repère]],Tableau1[#All],12,FALSE))</f>
        <v/>
      </c>
    </row>
    <row r="24" spans="1:12" x14ac:dyDescent="0.3">
      <c r="A24" s="18"/>
      <c r="B24" s="19"/>
      <c r="C24" s="13" t="str">
        <f>IF(Tableau13456789[[#This Row],[Repère]]="","",VLOOKUP(Tableau13456789[[#This Row],[Repère]],Tableau1[#All],3,FALSE))</f>
        <v/>
      </c>
      <c r="D24" s="13" t="str">
        <f>IF(Tableau13456789[[#This Row],[Repère]]="","",VLOOKUP(Tableau13456789[[#This Row],[Repère]],Tableau1[#All],4,FALSE))</f>
        <v/>
      </c>
      <c r="E24" s="13" t="str">
        <f>IF(Tableau13456789[[#This Row],[Repère]]="","",VLOOKUP(Tableau13456789[[#This Row],[Repère]],Tableau1[#All],5,FALSE))</f>
        <v/>
      </c>
      <c r="F24" s="13" t="str">
        <f>IF(Tableau13456789[[#This Row],[Repère]]="","",VLOOKUP(Tableau13456789[[#This Row],[Repère]],Tableau1[#All],6,FALSE))</f>
        <v/>
      </c>
      <c r="G24" s="13" t="str">
        <f>IF(Tableau13456789[[#This Row],[Repère]]="","",VLOOKUP(Tableau13456789[[#This Row],[Repère]],Tableau1[#All],7,FALSE))</f>
        <v/>
      </c>
      <c r="H24" s="13" t="str">
        <f>IF(Tableau13456789[[#This Row],[Repère]]="","",VLOOKUP(Tableau13456789[[#This Row],[Repère]],Tableau1[#All],8,FALSE))</f>
        <v/>
      </c>
      <c r="I24" s="13" t="str">
        <f>IF(Tableau13456789[[#This Row],[Repère]]="","",VLOOKUP(Tableau13456789[[#This Row],[Repère]],Tableau1[#All],9,FALSE))</f>
        <v/>
      </c>
      <c r="J24" s="13" t="str">
        <f>IF(Tableau13456789[[#This Row],[Repère]]="","",VLOOKUP(Tableau13456789[[#This Row],[Repère]],Tableau1[#All],10,FALSE))</f>
        <v/>
      </c>
      <c r="K24" s="13" t="str">
        <f>IF(Tableau13456789[[#This Row],[Repère]]="","",VLOOKUP(Tableau13456789[[#This Row],[Repère]],Tableau1[#All],11,FALSE))</f>
        <v/>
      </c>
      <c r="L24" s="14" t="str">
        <f>IF(Tableau13456789[[#This Row],[Repère]]="","",VLOOKUP(Tableau13456789[[#This Row],[Repère]],Tableau1[#All],12,FALSE))</f>
        <v/>
      </c>
    </row>
    <row r="25" spans="1:12" x14ac:dyDescent="0.3">
      <c r="A25" s="18"/>
      <c r="B25" s="19"/>
      <c r="C25" s="13" t="str">
        <f>IF(Tableau13456789[[#This Row],[Repère]]="","",VLOOKUP(Tableau13456789[[#This Row],[Repère]],Tableau1[#All],3,FALSE))</f>
        <v/>
      </c>
      <c r="D25" s="13" t="str">
        <f>IF(Tableau13456789[[#This Row],[Repère]]="","",VLOOKUP(Tableau13456789[[#This Row],[Repère]],Tableau1[#All],4,FALSE))</f>
        <v/>
      </c>
      <c r="E25" s="13" t="str">
        <f>IF(Tableau13456789[[#This Row],[Repère]]="","",VLOOKUP(Tableau13456789[[#This Row],[Repère]],Tableau1[#All],5,FALSE))</f>
        <v/>
      </c>
      <c r="F25" s="13" t="str">
        <f>IF(Tableau13456789[[#This Row],[Repère]]="","",VLOOKUP(Tableau13456789[[#This Row],[Repère]],Tableau1[#All],6,FALSE))</f>
        <v/>
      </c>
      <c r="G25" s="13" t="str">
        <f>IF(Tableau13456789[[#This Row],[Repère]]="","",VLOOKUP(Tableau13456789[[#This Row],[Repère]],Tableau1[#All],7,FALSE))</f>
        <v/>
      </c>
      <c r="H25" s="13" t="str">
        <f>IF(Tableau13456789[[#This Row],[Repère]]="","",VLOOKUP(Tableau13456789[[#This Row],[Repère]],Tableau1[#All],8,FALSE))</f>
        <v/>
      </c>
      <c r="I25" s="13" t="str">
        <f>IF(Tableau13456789[[#This Row],[Repère]]="","",VLOOKUP(Tableau13456789[[#This Row],[Repère]],Tableau1[#All],9,FALSE))</f>
        <v/>
      </c>
      <c r="J25" s="13" t="str">
        <f>IF(Tableau13456789[[#This Row],[Repère]]="","",VLOOKUP(Tableau13456789[[#This Row],[Repère]],Tableau1[#All],10,FALSE))</f>
        <v/>
      </c>
      <c r="K25" s="13" t="str">
        <f>IF(Tableau13456789[[#This Row],[Repère]]="","",VLOOKUP(Tableau13456789[[#This Row],[Repère]],Tableau1[#All],11,FALSE))</f>
        <v/>
      </c>
      <c r="L25" s="14" t="str">
        <f>IF(Tableau13456789[[#This Row],[Repère]]="","",VLOOKUP(Tableau13456789[[#This Row],[Repère]],Tableau1[#All],12,FALSE))</f>
        <v/>
      </c>
    </row>
    <row r="26" spans="1:12" x14ac:dyDescent="0.3">
      <c r="A26" s="18"/>
      <c r="B26" s="19"/>
      <c r="C26" s="13" t="str">
        <f>IF(Tableau13456789[[#This Row],[Repère]]="","",VLOOKUP(Tableau13456789[[#This Row],[Repère]],Tableau1[#All],3,FALSE))</f>
        <v/>
      </c>
      <c r="D26" s="13" t="str">
        <f>IF(Tableau13456789[[#This Row],[Repère]]="","",VLOOKUP(Tableau13456789[[#This Row],[Repère]],Tableau1[#All],4,FALSE))</f>
        <v/>
      </c>
      <c r="E26" s="13" t="str">
        <f>IF(Tableau13456789[[#This Row],[Repère]]="","",VLOOKUP(Tableau13456789[[#This Row],[Repère]],Tableau1[#All],5,FALSE))</f>
        <v/>
      </c>
      <c r="F26" s="13" t="str">
        <f>IF(Tableau13456789[[#This Row],[Repère]]="","",VLOOKUP(Tableau13456789[[#This Row],[Repère]],Tableau1[#All],6,FALSE))</f>
        <v/>
      </c>
      <c r="G26" s="13" t="str">
        <f>IF(Tableau13456789[[#This Row],[Repère]]="","",VLOOKUP(Tableau13456789[[#This Row],[Repère]],Tableau1[#All],7,FALSE))</f>
        <v/>
      </c>
      <c r="H26" s="13" t="str">
        <f>IF(Tableau13456789[[#This Row],[Repère]]="","",VLOOKUP(Tableau13456789[[#This Row],[Repère]],Tableau1[#All],8,FALSE))</f>
        <v/>
      </c>
      <c r="I26" s="13" t="str">
        <f>IF(Tableau13456789[[#This Row],[Repère]]="","",VLOOKUP(Tableau13456789[[#This Row],[Repère]],Tableau1[#All],9,FALSE))</f>
        <v/>
      </c>
      <c r="J26" s="13" t="str">
        <f>IF(Tableau13456789[[#This Row],[Repère]]="","",VLOOKUP(Tableau13456789[[#This Row],[Repère]],Tableau1[#All],10,FALSE))</f>
        <v/>
      </c>
      <c r="K26" s="13" t="str">
        <f>IF(Tableau13456789[[#This Row],[Repère]]="","",VLOOKUP(Tableau13456789[[#This Row],[Repère]],Tableau1[#All],11,FALSE))</f>
        <v/>
      </c>
      <c r="L26" s="14" t="str">
        <f>IF(Tableau13456789[[#This Row],[Repère]]="","",VLOOKUP(Tableau13456789[[#This Row],[Repère]],Tableau1[#All],12,FALSE))</f>
        <v/>
      </c>
    </row>
    <row r="27" spans="1:12" x14ac:dyDescent="0.3">
      <c r="A27" s="18"/>
      <c r="B27" s="19"/>
      <c r="C27" s="13" t="str">
        <f>IF(Tableau13456789[[#This Row],[Repère]]="","",VLOOKUP(Tableau13456789[[#This Row],[Repère]],Tableau1[#All],3,FALSE))</f>
        <v/>
      </c>
      <c r="D27" s="13" t="str">
        <f>IF(Tableau13456789[[#This Row],[Repère]]="","",VLOOKUP(Tableau13456789[[#This Row],[Repère]],Tableau1[#All],4,FALSE))</f>
        <v/>
      </c>
      <c r="E27" s="13" t="str">
        <f>IF(Tableau13456789[[#This Row],[Repère]]="","",VLOOKUP(Tableau13456789[[#This Row],[Repère]],Tableau1[#All],5,FALSE))</f>
        <v/>
      </c>
      <c r="F27" s="13" t="str">
        <f>IF(Tableau13456789[[#This Row],[Repère]]="","",VLOOKUP(Tableau13456789[[#This Row],[Repère]],Tableau1[#All],6,FALSE))</f>
        <v/>
      </c>
      <c r="G27" s="13" t="str">
        <f>IF(Tableau13456789[[#This Row],[Repère]]="","",VLOOKUP(Tableau13456789[[#This Row],[Repère]],Tableau1[#All],7,FALSE))</f>
        <v/>
      </c>
      <c r="H27" s="13" t="str">
        <f>IF(Tableau13456789[[#This Row],[Repère]]="","",VLOOKUP(Tableau13456789[[#This Row],[Repère]],Tableau1[#All],8,FALSE))</f>
        <v/>
      </c>
      <c r="I27" s="13" t="str">
        <f>IF(Tableau13456789[[#This Row],[Repère]]="","",VLOOKUP(Tableau13456789[[#This Row],[Repère]],Tableau1[#All],9,FALSE))</f>
        <v/>
      </c>
      <c r="J27" s="13" t="str">
        <f>IF(Tableau13456789[[#This Row],[Repère]]="","",VLOOKUP(Tableau13456789[[#This Row],[Repère]],Tableau1[#All],10,FALSE))</f>
        <v/>
      </c>
      <c r="K27" s="13" t="str">
        <f>IF(Tableau13456789[[#This Row],[Repère]]="","",VLOOKUP(Tableau13456789[[#This Row],[Repère]],Tableau1[#All],11,FALSE))</f>
        <v/>
      </c>
      <c r="L27" s="14" t="str">
        <f>IF(Tableau13456789[[#This Row],[Repère]]="","",VLOOKUP(Tableau13456789[[#This Row],[Repère]],Tableau1[#All],12,FALSE))</f>
        <v/>
      </c>
    </row>
    <row r="28" spans="1:12" x14ac:dyDescent="0.3">
      <c r="A28" s="18"/>
      <c r="B28" s="19"/>
      <c r="C28" s="13" t="str">
        <f>IF(Tableau13456789[[#This Row],[Repère]]="","",VLOOKUP(Tableau13456789[[#This Row],[Repère]],Tableau1[#All],3,FALSE))</f>
        <v/>
      </c>
      <c r="D28" s="13" t="str">
        <f>IF(Tableau13456789[[#This Row],[Repère]]="","",VLOOKUP(Tableau13456789[[#This Row],[Repère]],Tableau1[#All],4,FALSE))</f>
        <v/>
      </c>
      <c r="E28" s="13" t="str">
        <f>IF(Tableau13456789[[#This Row],[Repère]]="","",VLOOKUP(Tableau13456789[[#This Row],[Repère]],Tableau1[#All],5,FALSE))</f>
        <v/>
      </c>
      <c r="F28" s="13" t="str">
        <f>IF(Tableau13456789[[#This Row],[Repère]]="","",VLOOKUP(Tableau13456789[[#This Row],[Repère]],Tableau1[#All],6,FALSE))</f>
        <v/>
      </c>
      <c r="G28" s="13" t="str">
        <f>IF(Tableau13456789[[#This Row],[Repère]]="","",VLOOKUP(Tableau13456789[[#This Row],[Repère]],Tableau1[#All],7,FALSE))</f>
        <v/>
      </c>
      <c r="H28" s="13" t="str">
        <f>IF(Tableau13456789[[#This Row],[Repère]]="","",VLOOKUP(Tableau13456789[[#This Row],[Repère]],Tableau1[#All],8,FALSE))</f>
        <v/>
      </c>
      <c r="I28" s="13" t="str">
        <f>IF(Tableau13456789[[#This Row],[Repère]]="","",VLOOKUP(Tableau13456789[[#This Row],[Repère]],Tableau1[#All],9,FALSE))</f>
        <v/>
      </c>
      <c r="J28" s="13" t="str">
        <f>IF(Tableau13456789[[#This Row],[Repère]]="","",VLOOKUP(Tableau13456789[[#This Row],[Repère]],Tableau1[#All],10,FALSE))</f>
        <v/>
      </c>
      <c r="K28" s="13" t="str">
        <f>IF(Tableau13456789[[#This Row],[Repère]]="","",VLOOKUP(Tableau13456789[[#This Row],[Repère]],Tableau1[#All],11,FALSE))</f>
        <v/>
      </c>
      <c r="L28" s="14" t="str">
        <f>IF(Tableau13456789[[#This Row],[Repère]]="","",VLOOKUP(Tableau13456789[[#This Row],[Repère]],Tableau1[#All],12,FALSE))</f>
        <v/>
      </c>
    </row>
    <row r="29" spans="1:12" x14ac:dyDescent="0.3">
      <c r="A29" s="18"/>
      <c r="B29" s="19"/>
      <c r="C29" s="13" t="str">
        <f>IF(Tableau13456789[[#This Row],[Repère]]="","",VLOOKUP(Tableau13456789[[#This Row],[Repère]],Tableau1[#All],3,FALSE))</f>
        <v/>
      </c>
      <c r="D29" s="13" t="str">
        <f>IF(Tableau13456789[[#This Row],[Repère]]="","",VLOOKUP(Tableau13456789[[#This Row],[Repère]],Tableau1[#All],4,FALSE))</f>
        <v/>
      </c>
      <c r="E29" s="13" t="str">
        <f>IF(Tableau13456789[[#This Row],[Repère]]="","",VLOOKUP(Tableau13456789[[#This Row],[Repère]],Tableau1[#All],5,FALSE))</f>
        <v/>
      </c>
      <c r="F29" s="13" t="str">
        <f>IF(Tableau13456789[[#This Row],[Repère]]="","",VLOOKUP(Tableau13456789[[#This Row],[Repère]],Tableau1[#All],6,FALSE))</f>
        <v/>
      </c>
      <c r="G29" s="13" t="str">
        <f>IF(Tableau13456789[[#This Row],[Repère]]="","",VLOOKUP(Tableau13456789[[#This Row],[Repère]],Tableau1[#All],7,FALSE))</f>
        <v/>
      </c>
      <c r="H29" s="13" t="str">
        <f>IF(Tableau13456789[[#This Row],[Repère]]="","",VLOOKUP(Tableau13456789[[#This Row],[Repère]],Tableau1[#All],8,FALSE))</f>
        <v/>
      </c>
      <c r="I29" s="13" t="str">
        <f>IF(Tableau13456789[[#This Row],[Repère]]="","",VLOOKUP(Tableau13456789[[#This Row],[Repère]],Tableau1[#All],9,FALSE))</f>
        <v/>
      </c>
      <c r="J29" s="13" t="str">
        <f>IF(Tableau13456789[[#This Row],[Repère]]="","",VLOOKUP(Tableau13456789[[#This Row],[Repère]],Tableau1[#All],10,FALSE))</f>
        <v/>
      </c>
      <c r="K29" s="13" t="str">
        <f>IF(Tableau13456789[[#This Row],[Repère]]="","",VLOOKUP(Tableau13456789[[#This Row],[Repère]],Tableau1[#All],11,FALSE))</f>
        <v/>
      </c>
      <c r="L29" s="14" t="str">
        <f>IF(Tableau13456789[[#This Row],[Repère]]="","",VLOOKUP(Tableau13456789[[#This Row],[Repère]],Tableau1[#All],12,FALSE))</f>
        <v/>
      </c>
    </row>
    <row r="30" spans="1:12" x14ac:dyDescent="0.3">
      <c r="A30" s="18"/>
      <c r="B30" s="19"/>
      <c r="C30" s="13" t="str">
        <f>IF(Tableau13456789[[#This Row],[Repère]]="","",VLOOKUP(Tableau13456789[[#This Row],[Repère]],Tableau1[#All],3,FALSE))</f>
        <v/>
      </c>
      <c r="D30" s="13" t="str">
        <f>IF(Tableau13456789[[#This Row],[Repère]]="","",VLOOKUP(Tableau13456789[[#This Row],[Repère]],Tableau1[#All],4,FALSE))</f>
        <v/>
      </c>
      <c r="E30" s="13" t="str">
        <f>IF(Tableau13456789[[#This Row],[Repère]]="","",VLOOKUP(Tableau13456789[[#This Row],[Repère]],Tableau1[#All],5,FALSE))</f>
        <v/>
      </c>
      <c r="F30" s="13" t="str">
        <f>IF(Tableau13456789[[#This Row],[Repère]]="","",VLOOKUP(Tableau13456789[[#This Row],[Repère]],Tableau1[#All],6,FALSE))</f>
        <v/>
      </c>
      <c r="G30" s="13" t="str">
        <f>IF(Tableau13456789[[#This Row],[Repère]]="","",VLOOKUP(Tableau13456789[[#This Row],[Repère]],Tableau1[#All],7,FALSE))</f>
        <v/>
      </c>
      <c r="H30" s="13" t="str">
        <f>IF(Tableau13456789[[#This Row],[Repère]]="","",VLOOKUP(Tableau13456789[[#This Row],[Repère]],Tableau1[#All],8,FALSE))</f>
        <v/>
      </c>
      <c r="I30" s="13" t="str">
        <f>IF(Tableau13456789[[#This Row],[Repère]]="","",VLOOKUP(Tableau13456789[[#This Row],[Repère]],Tableau1[#All],9,FALSE))</f>
        <v/>
      </c>
      <c r="J30" s="13" t="str">
        <f>IF(Tableau13456789[[#This Row],[Repère]]="","",VLOOKUP(Tableau13456789[[#This Row],[Repère]],Tableau1[#All],10,FALSE))</f>
        <v/>
      </c>
      <c r="K30" s="13" t="str">
        <f>IF(Tableau13456789[[#This Row],[Repère]]="","",VLOOKUP(Tableau13456789[[#This Row],[Repère]],Tableau1[#All],11,FALSE))</f>
        <v/>
      </c>
      <c r="L30" s="14" t="str">
        <f>IF(Tableau13456789[[#This Row],[Repère]]="","",VLOOKUP(Tableau13456789[[#This Row],[Repère]],Tableau1[#All],12,FALSE))</f>
        <v/>
      </c>
    </row>
    <row r="31" spans="1:12" x14ac:dyDescent="0.3">
      <c r="A31" s="18"/>
      <c r="B31" s="19"/>
      <c r="C31" s="13" t="str">
        <f>IF(Tableau13456789[[#This Row],[Repère]]="","",VLOOKUP(Tableau13456789[[#This Row],[Repère]],Tableau1[#All],3,FALSE))</f>
        <v/>
      </c>
      <c r="D31" s="13" t="str">
        <f>IF(Tableau13456789[[#This Row],[Repère]]="","",VLOOKUP(Tableau13456789[[#This Row],[Repère]],Tableau1[#All],4,FALSE))</f>
        <v/>
      </c>
      <c r="E31" s="13" t="str">
        <f>IF(Tableau13456789[[#This Row],[Repère]]="","",VLOOKUP(Tableau13456789[[#This Row],[Repère]],Tableau1[#All],5,FALSE))</f>
        <v/>
      </c>
      <c r="F31" s="13" t="str">
        <f>IF(Tableau13456789[[#This Row],[Repère]]="","",VLOOKUP(Tableau13456789[[#This Row],[Repère]],Tableau1[#All],6,FALSE))</f>
        <v/>
      </c>
      <c r="G31" s="13" t="str">
        <f>IF(Tableau13456789[[#This Row],[Repère]]="","",VLOOKUP(Tableau13456789[[#This Row],[Repère]],Tableau1[#All],7,FALSE))</f>
        <v/>
      </c>
      <c r="H31" s="13" t="str">
        <f>IF(Tableau13456789[[#This Row],[Repère]]="","",VLOOKUP(Tableau13456789[[#This Row],[Repère]],Tableau1[#All],8,FALSE))</f>
        <v/>
      </c>
      <c r="I31" s="13" t="str">
        <f>IF(Tableau13456789[[#This Row],[Repère]]="","",VLOOKUP(Tableau13456789[[#This Row],[Repère]],Tableau1[#All],9,FALSE))</f>
        <v/>
      </c>
      <c r="J31" s="13" t="str">
        <f>IF(Tableau13456789[[#This Row],[Repère]]="","",VLOOKUP(Tableau13456789[[#This Row],[Repère]],Tableau1[#All],10,FALSE))</f>
        <v/>
      </c>
      <c r="K31" s="13" t="str">
        <f>IF(Tableau13456789[[#This Row],[Repère]]="","",VLOOKUP(Tableau13456789[[#This Row],[Repère]],Tableau1[#All],11,FALSE))</f>
        <v/>
      </c>
      <c r="L31" s="14" t="str">
        <f>IF(Tableau13456789[[#This Row],[Repère]]="","",VLOOKUP(Tableau13456789[[#This Row],[Repère]],Tableau1[#All],12,FALSE))</f>
        <v/>
      </c>
    </row>
    <row r="32" spans="1:12" x14ac:dyDescent="0.3">
      <c r="A32" s="18"/>
      <c r="B32" s="19"/>
      <c r="C32" s="13" t="str">
        <f>IF(Tableau13456789[[#This Row],[Repère]]="","",VLOOKUP(Tableau13456789[[#This Row],[Repère]],Tableau1[#All],3,FALSE))</f>
        <v/>
      </c>
      <c r="D32" s="13" t="str">
        <f>IF(Tableau13456789[[#This Row],[Repère]]="","",VLOOKUP(Tableau13456789[[#This Row],[Repère]],Tableau1[#All],4,FALSE))</f>
        <v/>
      </c>
      <c r="E32" s="13" t="str">
        <f>IF(Tableau13456789[[#This Row],[Repère]]="","",VLOOKUP(Tableau13456789[[#This Row],[Repère]],Tableau1[#All],5,FALSE))</f>
        <v/>
      </c>
      <c r="F32" s="13" t="str">
        <f>IF(Tableau13456789[[#This Row],[Repère]]="","",VLOOKUP(Tableau13456789[[#This Row],[Repère]],Tableau1[#All],6,FALSE))</f>
        <v/>
      </c>
      <c r="G32" s="13" t="str">
        <f>IF(Tableau13456789[[#This Row],[Repère]]="","",VLOOKUP(Tableau13456789[[#This Row],[Repère]],Tableau1[#All],7,FALSE))</f>
        <v/>
      </c>
      <c r="H32" s="13" t="str">
        <f>IF(Tableau13456789[[#This Row],[Repère]]="","",VLOOKUP(Tableau13456789[[#This Row],[Repère]],Tableau1[#All],8,FALSE))</f>
        <v/>
      </c>
      <c r="I32" s="13" t="str">
        <f>IF(Tableau13456789[[#This Row],[Repère]]="","",VLOOKUP(Tableau13456789[[#This Row],[Repère]],Tableau1[#All],9,FALSE))</f>
        <v/>
      </c>
      <c r="J32" s="13" t="str">
        <f>IF(Tableau13456789[[#This Row],[Repère]]="","",VLOOKUP(Tableau13456789[[#This Row],[Repère]],Tableau1[#All],10,FALSE))</f>
        <v/>
      </c>
      <c r="K32" s="13" t="str">
        <f>IF(Tableau13456789[[#This Row],[Repère]]="","",VLOOKUP(Tableau13456789[[#This Row],[Repère]],Tableau1[#All],11,FALSE))</f>
        <v/>
      </c>
      <c r="L32" s="14" t="str">
        <f>IF(Tableau13456789[[#This Row],[Repère]]="","",VLOOKUP(Tableau13456789[[#This Row],[Repère]],Tableau1[#All],12,FALSE))</f>
        <v/>
      </c>
    </row>
    <row r="33" spans="1:12" x14ac:dyDescent="0.3">
      <c r="A33" s="18"/>
      <c r="B33" s="19"/>
      <c r="C33" s="13" t="str">
        <f>IF(Tableau13456789[[#This Row],[Repère]]="","",VLOOKUP(Tableau13456789[[#This Row],[Repère]],Tableau1[#All],3,FALSE))</f>
        <v/>
      </c>
      <c r="D33" s="13" t="str">
        <f>IF(Tableau13456789[[#This Row],[Repère]]="","",VLOOKUP(Tableau13456789[[#This Row],[Repère]],Tableau1[#All],4,FALSE))</f>
        <v/>
      </c>
      <c r="E33" s="13" t="str">
        <f>IF(Tableau13456789[[#This Row],[Repère]]="","",VLOOKUP(Tableau13456789[[#This Row],[Repère]],Tableau1[#All],5,FALSE))</f>
        <v/>
      </c>
      <c r="F33" s="13" t="str">
        <f>IF(Tableau13456789[[#This Row],[Repère]]="","",VLOOKUP(Tableau13456789[[#This Row],[Repère]],Tableau1[#All],6,FALSE))</f>
        <v/>
      </c>
      <c r="G33" s="13" t="str">
        <f>IF(Tableau13456789[[#This Row],[Repère]]="","",VLOOKUP(Tableau13456789[[#This Row],[Repère]],Tableau1[#All],7,FALSE))</f>
        <v/>
      </c>
      <c r="H33" s="13" t="str">
        <f>IF(Tableau13456789[[#This Row],[Repère]]="","",VLOOKUP(Tableau13456789[[#This Row],[Repère]],Tableau1[#All],8,FALSE))</f>
        <v/>
      </c>
      <c r="I33" s="13" t="str">
        <f>IF(Tableau13456789[[#This Row],[Repère]]="","",VLOOKUP(Tableau13456789[[#This Row],[Repère]],Tableau1[#All],9,FALSE))</f>
        <v/>
      </c>
      <c r="J33" s="13" t="str">
        <f>IF(Tableau13456789[[#This Row],[Repère]]="","",VLOOKUP(Tableau13456789[[#This Row],[Repère]],Tableau1[#All],10,FALSE))</f>
        <v/>
      </c>
      <c r="K33" s="13" t="str">
        <f>IF(Tableau13456789[[#This Row],[Repère]]="","",VLOOKUP(Tableau13456789[[#This Row],[Repère]],Tableau1[#All],11,FALSE))</f>
        <v/>
      </c>
      <c r="L33" s="14" t="str">
        <f>IF(Tableau13456789[[#This Row],[Repère]]="","",VLOOKUP(Tableau13456789[[#This Row],[Repère]],Tableau1[#All],12,FALSE))</f>
        <v/>
      </c>
    </row>
    <row r="34" spans="1:12" x14ac:dyDescent="0.3">
      <c r="A34" s="18"/>
      <c r="B34" s="19"/>
      <c r="C34" s="13" t="str">
        <f>IF(Tableau13456789[[#This Row],[Repère]]="","",VLOOKUP(Tableau13456789[[#This Row],[Repère]],Tableau1[#All],3,FALSE))</f>
        <v/>
      </c>
      <c r="D34" s="13" t="str">
        <f>IF(Tableau13456789[[#This Row],[Repère]]="","",VLOOKUP(Tableau13456789[[#This Row],[Repère]],Tableau1[#All],4,FALSE))</f>
        <v/>
      </c>
      <c r="E34" s="13" t="str">
        <f>IF(Tableau13456789[[#This Row],[Repère]]="","",VLOOKUP(Tableau13456789[[#This Row],[Repère]],Tableau1[#All],5,FALSE))</f>
        <v/>
      </c>
      <c r="F34" s="13" t="str">
        <f>IF(Tableau13456789[[#This Row],[Repère]]="","",VLOOKUP(Tableau13456789[[#This Row],[Repère]],Tableau1[#All],6,FALSE))</f>
        <v/>
      </c>
      <c r="G34" s="13" t="str">
        <f>IF(Tableau13456789[[#This Row],[Repère]]="","",VLOOKUP(Tableau13456789[[#This Row],[Repère]],Tableau1[#All],7,FALSE))</f>
        <v/>
      </c>
      <c r="H34" s="13" t="str">
        <f>IF(Tableau13456789[[#This Row],[Repère]]="","",VLOOKUP(Tableau13456789[[#This Row],[Repère]],Tableau1[#All],8,FALSE))</f>
        <v/>
      </c>
      <c r="I34" s="13" t="str">
        <f>IF(Tableau13456789[[#This Row],[Repère]]="","",VLOOKUP(Tableau13456789[[#This Row],[Repère]],Tableau1[#All],9,FALSE))</f>
        <v/>
      </c>
      <c r="J34" s="13" t="str">
        <f>IF(Tableau13456789[[#This Row],[Repère]]="","",VLOOKUP(Tableau13456789[[#This Row],[Repère]],Tableau1[#All],10,FALSE))</f>
        <v/>
      </c>
      <c r="K34" s="13" t="str">
        <f>IF(Tableau13456789[[#This Row],[Repère]]="","",VLOOKUP(Tableau13456789[[#This Row],[Repère]],Tableau1[#All],11,FALSE))</f>
        <v/>
      </c>
      <c r="L34" s="14" t="str">
        <f>IF(Tableau13456789[[#This Row],[Repère]]="","",VLOOKUP(Tableau13456789[[#This Row],[Repère]],Tableau1[#All],12,FALSE))</f>
        <v/>
      </c>
    </row>
    <row r="35" spans="1:12" x14ac:dyDescent="0.3">
      <c r="A35" s="18"/>
      <c r="B35" s="19"/>
      <c r="C35" s="13" t="str">
        <f>IF(Tableau13456789[[#This Row],[Repère]]="","",VLOOKUP(Tableau13456789[[#This Row],[Repère]],Tableau1[#All],3,FALSE))</f>
        <v/>
      </c>
      <c r="D35" s="13" t="str">
        <f>IF(Tableau13456789[[#This Row],[Repère]]="","",VLOOKUP(Tableau13456789[[#This Row],[Repère]],Tableau1[#All],4,FALSE))</f>
        <v/>
      </c>
      <c r="E35" s="13" t="str">
        <f>IF(Tableau13456789[[#This Row],[Repère]]="","",VLOOKUP(Tableau13456789[[#This Row],[Repère]],Tableau1[#All],5,FALSE))</f>
        <v/>
      </c>
      <c r="F35" s="13" t="str">
        <f>IF(Tableau13456789[[#This Row],[Repère]]="","",VLOOKUP(Tableau13456789[[#This Row],[Repère]],Tableau1[#All],6,FALSE))</f>
        <v/>
      </c>
      <c r="G35" s="13" t="str">
        <f>IF(Tableau13456789[[#This Row],[Repère]]="","",VLOOKUP(Tableau13456789[[#This Row],[Repère]],Tableau1[#All],7,FALSE))</f>
        <v/>
      </c>
      <c r="H35" s="13" t="str">
        <f>IF(Tableau13456789[[#This Row],[Repère]]="","",VLOOKUP(Tableau13456789[[#This Row],[Repère]],Tableau1[#All],8,FALSE))</f>
        <v/>
      </c>
      <c r="I35" s="13" t="str">
        <f>IF(Tableau13456789[[#This Row],[Repère]]="","",VLOOKUP(Tableau13456789[[#This Row],[Repère]],Tableau1[#All],9,FALSE))</f>
        <v/>
      </c>
      <c r="J35" s="13" t="str">
        <f>IF(Tableau13456789[[#This Row],[Repère]]="","",VLOOKUP(Tableau13456789[[#This Row],[Repère]],Tableau1[#All],10,FALSE))</f>
        <v/>
      </c>
      <c r="K35" s="13" t="str">
        <f>IF(Tableau13456789[[#This Row],[Repère]]="","",VLOOKUP(Tableau13456789[[#This Row],[Repère]],Tableau1[#All],11,FALSE))</f>
        <v/>
      </c>
      <c r="L35" s="14" t="str">
        <f>IF(Tableau13456789[[#This Row],[Repère]]="","",VLOOKUP(Tableau13456789[[#This Row],[Repère]],Tableau1[#All],12,FALSE))</f>
        <v/>
      </c>
    </row>
    <row r="36" spans="1:12" x14ac:dyDescent="0.3">
      <c r="A36" s="18"/>
      <c r="B36" s="19"/>
      <c r="C36" s="13" t="str">
        <f>IF(Tableau13456789[[#This Row],[Repère]]="","",VLOOKUP(Tableau13456789[[#This Row],[Repère]],Tableau1[#All],3,FALSE))</f>
        <v/>
      </c>
      <c r="D36" s="13" t="str">
        <f>IF(Tableau13456789[[#This Row],[Repère]]="","",VLOOKUP(Tableau13456789[[#This Row],[Repère]],Tableau1[#All],4,FALSE))</f>
        <v/>
      </c>
      <c r="E36" s="13" t="str">
        <f>IF(Tableau13456789[[#This Row],[Repère]]="","",VLOOKUP(Tableau13456789[[#This Row],[Repère]],Tableau1[#All],5,FALSE))</f>
        <v/>
      </c>
      <c r="F36" s="13" t="str">
        <f>IF(Tableau13456789[[#This Row],[Repère]]="","",VLOOKUP(Tableau13456789[[#This Row],[Repère]],Tableau1[#All],6,FALSE))</f>
        <v/>
      </c>
      <c r="G36" s="13" t="str">
        <f>IF(Tableau13456789[[#This Row],[Repère]]="","",VLOOKUP(Tableau13456789[[#This Row],[Repère]],Tableau1[#All],7,FALSE))</f>
        <v/>
      </c>
      <c r="H36" s="13" t="str">
        <f>IF(Tableau13456789[[#This Row],[Repère]]="","",VLOOKUP(Tableau13456789[[#This Row],[Repère]],Tableau1[#All],8,FALSE))</f>
        <v/>
      </c>
      <c r="I36" s="13" t="str">
        <f>IF(Tableau13456789[[#This Row],[Repère]]="","",VLOOKUP(Tableau13456789[[#This Row],[Repère]],Tableau1[#All],9,FALSE))</f>
        <v/>
      </c>
      <c r="J36" s="13" t="str">
        <f>IF(Tableau13456789[[#This Row],[Repère]]="","",VLOOKUP(Tableau13456789[[#This Row],[Repère]],Tableau1[#All],10,FALSE))</f>
        <v/>
      </c>
      <c r="K36" s="13" t="str">
        <f>IF(Tableau13456789[[#This Row],[Repère]]="","",VLOOKUP(Tableau13456789[[#This Row],[Repère]],Tableau1[#All],11,FALSE))</f>
        <v/>
      </c>
      <c r="L36" s="14" t="str">
        <f>IF(Tableau13456789[[#This Row],[Repère]]="","",VLOOKUP(Tableau13456789[[#This Row],[Repère]],Tableau1[#All],12,FALSE))</f>
        <v/>
      </c>
    </row>
    <row r="37" spans="1:12" x14ac:dyDescent="0.3">
      <c r="A37" s="18"/>
      <c r="B37" s="19"/>
      <c r="C37" s="13" t="str">
        <f>IF(Tableau13456789[[#This Row],[Repère]]="","",VLOOKUP(Tableau13456789[[#This Row],[Repère]],Tableau1[#All],3,FALSE))</f>
        <v/>
      </c>
      <c r="D37" s="13" t="str">
        <f>IF(Tableau13456789[[#This Row],[Repère]]="","",VLOOKUP(Tableau13456789[[#This Row],[Repère]],Tableau1[#All],4,FALSE))</f>
        <v/>
      </c>
      <c r="E37" s="13" t="str">
        <f>IF(Tableau13456789[[#This Row],[Repère]]="","",VLOOKUP(Tableau13456789[[#This Row],[Repère]],Tableau1[#All],5,FALSE))</f>
        <v/>
      </c>
      <c r="F37" s="13" t="str">
        <f>IF(Tableau13456789[[#This Row],[Repère]]="","",VLOOKUP(Tableau13456789[[#This Row],[Repère]],Tableau1[#All],6,FALSE))</f>
        <v/>
      </c>
      <c r="G37" s="13" t="str">
        <f>IF(Tableau13456789[[#This Row],[Repère]]="","",VLOOKUP(Tableau13456789[[#This Row],[Repère]],Tableau1[#All],7,FALSE))</f>
        <v/>
      </c>
      <c r="H37" s="13" t="str">
        <f>IF(Tableau13456789[[#This Row],[Repère]]="","",VLOOKUP(Tableau13456789[[#This Row],[Repère]],Tableau1[#All],8,FALSE))</f>
        <v/>
      </c>
      <c r="I37" s="13" t="str">
        <f>IF(Tableau13456789[[#This Row],[Repère]]="","",VLOOKUP(Tableau13456789[[#This Row],[Repère]],Tableau1[#All],9,FALSE))</f>
        <v/>
      </c>
      <c r="J37" s="13" t="str">
        <f>IF(Tableau13456789[[#This Row],[Repère]]="","",VLOOKUP(Tableau13456789[[#This Row],[Repère]],Tableau1[#All],10,FALSE))</f>
        <v/>
      </c>
      <c r="K37" s="13" t="str">
        <f>IF(Tableau13456789[[#This Row],[Repère]]="","",VLOOKUP(Tableau13456789[[#This Row],[Repère]],Tableau1[#All],11,FALSE))</f>
        <v/>
      </c>
      <c r="L37" s="14" t="str">
        <f>IF(Tableau13456789[[#This Row],[Repère]]="","",VLOOKUP(Tableau13456789[[#This Row],[Repère]],Tableau1[#All],12,FALSE))</f>
        <v/>
      </c>
    </row>
    <row r="38" spans="1:12" x14ac:dyDescent="0.3">
      <c r="A38" s="18"/>
      <c r="B38" s="19"/>
      <c r="C38" s="13" t="str">
        <f>IF(Tableau13456789[[#This Row],[Repère]]="","",VLOOKUP(Tableau13456789[[#This Row],[Repère]],Tableau1[#All],3,FALSE))</f>
        <v/>
      </c>
      <c r="D38" s="13" t="str">
        <f>IF(Tableau13456789[[#This Row],[Repère]]="","",VLOOKUP(Tableau13456789[[#This Row],[Repère]],Tableau1[#All],4,FALSE))</f>
        <v/>
      </c>
      <c r="E38" s="13" t="str">
        <f>IF(Tableau13456789[[#This Row],[Repère]]="","",VLOOKUP(Tableau13456789[[#This Row],[Repère]],Tableau1[#All],5,FALSE))</f>
        <v/>
      </c>
      <c r="F38" s="13" t="str">
        <f>IF(Tableau13456789[[#This Row],[Repère]]="","",VLOOKUP(Tableau13456789[[#This Row],[Repère]],Tableau1[#All],6,FALSE))</f>
        <v/>
      </c>
      <c r="G38" s="13" t="str">
        <f>IF(Tableau13456789[[#This Row],[Repère]]="","",VLOOKUP(Tableau13456789[[#This Row],[Repère]],Tableau1[#All],7,FALSE))</f>
        <v/>
      </c>
      <c r="H38" s="13" t="str">
        <f>IF(Tableau13456789[[#This Row],[Repère]]="","",VLOOKUP(Tableau13456789[[#This Row],[Repère]],Tableau1[#All],8,FALSE))</f>
        <v/>
      </c>
      <c r="I38" s="13" t="str">
        <f>IF(Tableau13456789[[#This Row],[Repère]]="","",VLOOKUP(Tableau13456789[[#This Row],[Repère]],Tableau1[#All],9,FALSE))</f>
        <v/>
      </c>
      <c r="J38" s="13" t="str">
        <f>IF(Tableau13456789[[#This Row],[Repère]]="","",VLOOKUP(Tableau13456789[[#This Row],[Repère]],Tableau1[#All],10,FALSE))</f>
        <v/>
      </c>
      <c r="K38" s="13" t="str">
        <f>IF(Tableau13456789[[#This Row],[Repère]]="","",VLOOKUP(Tableau13456789[[#This Row],[Repère]],Tableau1[#All],11,FALSE))</f>
        <v/>
      </c>
      <c r="L38" s="14" t="str">
        <f>IF(Tableau13456789[[#This Row],[Repère]]="","",VLOOKUP(Tableau13456789[[#This Row],[Repère]],Tableau1[#All],12,FALSE))</f>
        <v/>
      </c>
    </row>
    <row r="39" spans="1:12" x14ac:dyDescent="0.3">
      <c r="A39" s="18"/>
      <c r="B39" s="19"/>
      <c r="C39" s="13" t="str">
        <f>IF(Tableau13456789[[#This Row],[Repère]]="","",VLOOKUP(Tableau13456789[[#This Row],[Repère]],Tableau1[#All],3,FALSE))</f>
        <v/>
      </c>
      <c r="D39" s="13" t="str">
        <f>IF(Tableau13456789[[#This Row],[Repère]]="","",VLOOKUP(Tableau13456789[[#This Row],[Repère]],Tableau1[#All],4,FALSE))</f>
        <v/>
      </c>
      <c r="E39" s="13" t="str">
        <f>IF(Tableau13456789[[#This Row],[Repère]]="","",VLOOKUP(Tableau13456789[[#This Row],[Repère]],Tableau1[#All],5,FALSE))</f>
        <v/>
      </c>
      <c r="F39" s="13" t="str">
        <f>IF(Tableau13456789[[#This Row],[Repère]]="","",VLOOKUP(Tableau13456789[[#This Row],[Repère]],Tableau1[#All],6,FALSE))</f>
        <v/>
      </c>
      <c r="G39" s="13" t="str">
        <f>IF(Tableau13456789[[#This Row],[Repère]]="","",VLOOKUP(Tableau13456789[[#This Row],[Repère]],Tableau1[#All],7,FALSE))</f>
        <v/>
      </c>
      <c r="H39" s="13" t="str">
        <f>IF(Tableau13456789[[#This Row],[Repère]]="","",VLOOKUP(Tableau13456789[[#This Row],[Repère]],Tableau1[#All],8,FALSE))</f>
        <v/>
      </c>
      <c r="I39" s="13" t="str">
        <f>IF(Tableau13456789[[#This Row],[Repère]]="","",VLOOKUP(Tableau13456789[[#This Row],[Repère]],Tableau1[#All],9,FALSE))</f>
        <v/>
      </c>
      <c r="J39" s="13" t="str">
        <f>IF(Tableau13456789[[#This Row],[Repère]]="","",VLOOKUP(Tableau13456789[[#This Row],[Repère]],Tableau1[#All],10,FALSE))</f>
        <v/>
      </c>
      <c r="K39" s="13" t="str">
        <f>IF(Tableau13456789[[#This Row],[Repère]]="","",VLOOKUP(Tableau13456789[[#This Row],[Repère]],Tableau1[#All],11,FALSE))</f>
        <v/>
      </c>
      <c r="L39" s="14" t="str">
        <f>IF(Tableau13456789[[#This Row],[Repère]]="","",VLOOKUP(Tableau13456789[[#This Row],[Repère]],Tableau1[#All],12,FALSE))</f>
        <v/>
      </c>
    </row>
    <row r="40" spans="1:12" x14ac:dyDescent="0.3">
      <c r="A40" s="18"/>
      <c r="B40" s="19"/>
      <c r="C40" s="13" t="str">
        <f>IF(Tableau13456789[[#This Row],[Repère]]="","",VLOOKUP(Tableau13456789[[#This Row],[Repère]],Tableau1[#All],3,FALSE))</f>
        <v/>
      </c>
      <c r="D40" s="13" t="str">
        <f>IF(Tableau13456789[[#This Row],[Repère]]="","",VLOOKUP(Tableau13456789[[#This Row],[Repère]],Tableau1[#All],4,FALSE))</f>
        <v/>
      </c>
      <c r="E40" s="13" t="str">
        <f>IF(Tableau13456789[[#This Row],[Repère]]="","",VLOOKUP(Tableau13456789[[#This Row],[Repère]],Tableau1[#All],5,FALSE))</f>
        <v/>
      </c>
      <c r="F40" s="13" t="str">
        <f>IF(Tableau13456789[[#This Row],[Repère]]="","",VLOOKUP(Tableau13456789[[#This Row],[Repère]],Tableau1[#All],6,FALSE))</f>
        <v/>
      </c>
      <c r="G40" s="13" t="str">
        <f>IF(Tableau13456789[[#This Row],[Repère]]="","",VLOOKUP(Tableau13456789[[#This Row],[Repère]],Tableau1[#All],7,FALSE))</f>
        <v/>
      </c>
      <c r="H40" s="13" t="str">
        <f>IF(Tableau13456789[[#This Row],[Repère]]="","",VLOOKUP(Tableau13456789[[#This Row],[Repère]],Tableau1[#All],8,FALSE))</f>
        <v/>
      </c>
      <c r="I40" s="13" t="str">
        <f>IF(Tableau13456789[[#This Row],[Repère]]="","",VLOOKUP(Tableau13456789[[#This Row],[Repère]],Tableau1[#All],9,FALSE))</f>
        <v/>
      </c>
      <c r="J40" s="13" t="str">
        <f>IF(Tableau13456789[[#This Row],[Repère]]="","",VLOOKUP(Tableau13456789[[#This Row],[Repère]],Tableau1[#All],10,FALSE))</f>
        <v/>
      </c>
      <c r="K40" s="13" t="str">
        <f>IF(Tableau13456789[[#This Row],[Repère]]="","",VLOOKUP(Tableau13456789[[#This Row],[Repère]],Tableau1[#All],11,FALSE))</f>
        <v/>
      </c>
      <c r="L40" s="14" t="str">
        <f>IF(Tableau13456789[[#This Row],[Repère]]="","",VLOOKUP(Tableau13456789[[#This Row],[Repère]],Tableau1[#All],12,FALSE))</f>
        <v/>
      </c>
    </row>
    <row r="41" spans="1:12" x14ac:dyDescent="0.3">
      <c r="A41" s="18"/>
      <c r="B41" s="19"/>
      <c r="C41" s="13" t="str">
        <f>IF(Tableau13456789[[#This Row],[Repère]]="","",VLOOKUP(Tableau13456789[[#This Row],[Repère]],Tableau1[#All],3,FALSE))</f>
        <v/>
      </c>
      <c r="D41" s="13" t="str">
        <f>IF(Tableau13456789[[#This Row],[Repère]]="","",VLOOKUP(Tableau13456789[[#This Row],[Repère]],Tableau1[#All],4,FALSE))</f>
        <v/>
      </c>
      <c r="E41" s="13" t="str">
        <f>IF(Tableau13456789[[#This Row],[Repère]]="","",VLOOKUP(Tableau13456789[[#This Row],[Repère]],Tableau1[#All],5,FALSE))</f>
        <v/>
      </c>
      <c r="F41" s="13" t="str">
        <f>IF(Tableau13456789[[#This Row],[Repère]]="","",VLOOKUP(Tableau13456789[[#This Row],[Repère]],Tableau1[#All],6,FALSE))</f>
        <v/>
      </c>
      <c r="G41" s="13" t="str">
        <f>IF(Tableau13456789[[#This Row],[Repère]]="","",VLOOKUP(Tableau13456789[[#This Row],[Repère]],Tableau1[#All],7,FALSE))</f>
        <v/>
      </c>
      <c r="H41" s="13" t="str">
        <f>IF(Tableau13456789[[#This Row],[Repère]]="","",VLOOKUP(Tableau13456789[[#This Row],[Repère]],Tableau1[#All],8,FALSE))</f>
        <v/>
      </c>
      <c r="I41" s="13" t="str">
        <f>IF(Tableau13456789[[#This Row],[Repère]]="","",VLOOKUP(Tableau13456789[[#This Row],[Repère]],Tableau1[#All],9,FALSE))</f>
        <v/>
      </c>
      <c r="J41" s="13" t="str">
        <f>IF(Tableau13456789[[#This Row],[Repère]]="","",VLOOKUP(Tableau13456789[[#This Row],[Repère]],Tableau1[#All],10,FALSE))</f>
        <v/>
      </c>
      <c r="K41" s="13" t="str">
        <f>IF(Tableau13456789[[#This Row],[Repère]]="","",VLOOKUP(Tableau13456789[[#This Row],[Repère]],Tableau1[#All],11,FALSE))</f>
        <v/>
      </c>
      <c r="L41" s="14" t="str">
        <f>IF(Tableau13456789[[#This Row],[Repère]]="","",VLOOKUP(Tableau13456789[[#This Row],[Repère]],Tableau1[#All],12,FALSE))</f>
        <v/>
      </c>
    </row>
    <row r="42" spans="1:12" x14ac:dyDescent="0.3">
      <c r="A42" s="18"/>
      <c r="B42" s="19"/>
      <c r="C42" s="13" t="str">
        <f>IF(Tableau13456789[[#This Row],[Repère]]="","",VLOOKUP(Tableau13456789[[#This Row],[Repère]],Tableau1[#All],3,FALSE))</f>
        <v/>
      </c>
      <c r="D42" s="13" t="str">
        <f>IF(Tableau13456789[[#This Row],[Repère]]="","",VLOOKUP(Tableau13456789[[#This Row],[Repère]],Tableau1[#All],4,FALSE))</f>
        <v/>
      </c>
      <c r="E42" s="13" t="str">
        <f>IF(Tableau13456789[[#This Row],[Repère]]="","",VLOOKUP(Tableau13456789[[#This Row],[Repère]],Tableau1[#All],5,FALSE))</f>
        <v/>
      </c>
      <c r="F42" s="13" t="str">
        <f>IF(Tableau13456789[[#This Row],[Repère]]="","",VLOOKUP(Tableau13456789[[#This Row],[Repère]],Tableau1[#All],6,FALSE))</f>
        <v/>
      </c>
      <c r="G42" s="13" t="str">
        <f>IF(Tableau13456789[[#This Row],[Repère]]="","",VLOOKUP(Tableau13456789[[#This Row],[Repère]],Tableau1[#All],7,FALSE))</f>
        <v/>
      </c>
      <c r="H42" s="13" t="str">
        <f>IF(Tableau13456789[[#This Row],[Repère]]="","",VLOOKUP(Tableau13456789[[#This Row],[Repère]],Tableau1[#All],8,FALSE))</f>
        <v/>
      </c>
      <c r="I42" s="13" t="str">
        <f>IF(Tableau13456789[[#This Row],[Repère]]="","",VLOOKUP(Tableau13456789[[#This Row],[Repère]],Tableau1[#All],9,FALSE))</f>
        <v/>
      </c>
      <c r="J42" s="13" t="str">
        <f>IF(Tableau13456789[[#This Row],[Repère]]="","",VLOOKUP(Tableau13456789[[#This Row],[Repère]],Tableau1[#All],10,FALSE))</f>
        <v/>
      </c>
      <c r="K42" s="13" t="str">
        <f>IF(Tableau13456789[[#This Row],[Repère]]="","",VLOOKUP(Tableau13456789[[#This Row],[Repère]],Tableau1[#All],11,FALSE))</f>
        <v/>
      </c>
      <c r="L42" s="14" t="str">
        <f>IF(Tableau13456789[[#This Row],[Repère]]="","",VLOOKUP(Tableau13456789[[#This Row],[Repère]],Tableau1[#All],12,FALSE))</f>
        <v/>
      </c>
    </row>
    <row r="43" spans="1:12" x14ac:dyDescent="0.3">
      <c r="A43" s="18"/>
      <c r="B43" s="19"/>
      <c r="C43" s="13" t="str">
        <f>IF(Tableau13456789[[#This Row],[Repère]]="","",VLOOKUP(Tableau13456789[[#This Row],[Repère]],Tableau1[#All],3,FALSE))</f>
        <v/>
      </c>
      <c r="D43" s="13" t="str">
        <f>IF(Tableau13456789[[#This Row],[Repère]]="","",VLOOKUP(Tableau13456789[[#This Row],[Repère]],Tableau1[#All],4,FALSE))</f>
        <v/>
      </c>
      <c r="E43" s="13" t="str">
        <f>IF(Tableau13456789[[#This Row],[Repère]]="","",VLOOKUP(Tableau13456789[[#This Row],[Repère]],Tableau1[#All],5,FALSE))</f>
        <v/>
      </c>
      <c r="F43" s="13" t="str">
        <f>IF(Tableau13456789[[#This Row],[Repère]]="","",VLOOKUP(Tableau13456789[[#This Row],[Repère]],Tableau1[#All],6,FALSE))</f>
        <v/>
      </c>
      <c r="G43" s="13" t="str">
        <f>IF(Tableau13456789[[#This Row],[Repère]]="","",VLOOKUP(Tableau13456789[[#This Row],[Repère]],Tableau1[#All],7,FALSE))</f>
        <v/>
      </c>
      <c r="H43" s="13" t="str">
        <f>IF(Tableau13456789[[#This Row],[Repère]]="","",VLOOKUP(Tableau13456789[[#This Row],[Repère]],Tableau1[#All],8,FALSE))</f>
        <v/>
      </c>
      <c r="I43" s="13" t="str">
        <f>IF(Tableau13456789[[#This Row],[Repère]]="","",VLOOKUP(Tableau13456789[[#This Row],[Repère]],Tableau1[#All],9,FALSE))</f>
        <v/>
      </c>
      <c r="J43" s="13" t="str">
        <f>IF(Tableau13456789[[#This Row],[Repère]]="","",VLOOKUP(Tableau13456789[[#This Row],[Repère]],Tableau1[#All],10,FALSE))</f>
        <v/>
      </c>
      <c r="K43" s="13" t="str">
        <f>IF(Tableau13456789[[#This Row],[Repère]]="","",VLOOKUP(Tableau13456789[[#This Row],[Repère]],Tableau1[#All],11,FALSE))</f>
        <v/>
      </c>
      <c r="L43" s="14" t="str">
        <f>IF(Tableau13456789[[#This Row],[Repère]]="","",VLOOKUP(Tableau13456789[[#This Row],[Repère]],Tableau1[#All],12,FALSE))</f>
        <v/>
      </c>
    </row>
    <row r="44" spans="1:12" x14ac:dyDescent="0.3">
      <c r="A44" s="18"/>
      <c r="B44" s="19"/>
      <c r="C44" s="13" t="str">
        <f>IF(Tableau13456789[[#This Row],[Repère]]="","",VLOOKUP(Tableau13456789[[#This Row],[Repère]],Tableau1[#All],3,FALSE))</f>
        <v/>
      </c>
      <c r="D44" s="13" t="str">
        <f>IF(Tableau13456789[[#This Row],[Repère]]="","",VLOOKUP(Tableau13456789[[#This Row],[Repère]],Tableau1[#All],4,FALSE))</f>
        <v/>
      </c>
      <c r="E44" s="13" t="str">
        <f>IF(Tableau13456789[[#This Row],[Repère]]="","",VLOOKUP(Tableau13456789[[#This Row],[Repère]],Tableau1[#All],5,FALSE))</f>
        <v/>
      </c>
      <c r="F44" s="13" t="str">
        <f>IF(Tableau13456789[[#This Row],[Repère]]="","",VLOOKUP(Tableau13456789[[#This Row],[Repère]],Tableau1[#All],6,FALSE))</f>
        <v/>
      </c>
      <c r="G44" s="13" t="str">
        <f>IF(Tableau13456789[[#This Row],[Repère]]="","",VLOOKUP(Tableau13456789[[#This Row],[Repère]],Tableau1[#All],7,FALSE))</f>
        <v/>
      </c>
      <c r="H44" s="13" t="str">
        <f>IF(Tableau13456789[[#This Row],[Repère]]="","",VLOOKUP(Tableau13456789[[#This Row],[Repère]],Tableau1[#All],8,FALSE))</f>
        <v/>
      </c>
      <c r="I44" s="13" t="str">
        <f>IF(Tableau13456789[[#This Row],[Repère]]="","",VLOOKUP(Tableau13456789[[#This Row],[Repère]],Tableau1[#All],9,FALSE))</f>
        <v/>
      </c>
      <c r="J44" s="13" t="str">
        <f>IF(Tableau13456789[[#This Row],[Repère]]="","",VLOOKUP(Tableau13456789[[#This Row],[Repère]],Tableau1[#All],10,FALSE))</f>
        <v/>
      </c>
      <c r="K44" s="13" t="str">
        <f>IF(Tableau13456789[[#This Row],[Repère]]="","",VLOOKUP(Tableau13456789[[#This Row],[Repère]],Tableau1[#All],11,FALSE))</f>
        <v/>
      </c>
      <c r="L44" s="14" t="str">
        <f>IF(Tableau13456789[[#This Row],[Repère]]="","",VLOOKUP(Tableau13456789[[#This Row],[Repère]],Tableau1[#All],12,FALSE))</f>
        <v/>
      </c>
    </row>
    <row r="45" spans="1:12" x14ac:dyDescent="0.3">
      <c r="A45" s="18"/>
      <c r="B45" s="19"/>
      <c r="C45" s="13" t="str">
        <f>IF(Tableau13456789[[#This Row],[Repère]]="","",VLOOKUP(Tableau13456789[[#This Row],[Repère]],Tableau1[#All],3,FALSE))</f>
        <v/>
      </c>
      <c r="D45" s="13" t="str">
        <f>IF(Tableau13456789[[#This Row],[Repère]]="","",VLOOKUP(Tableau13456789[[#This Row],[Repère]],Tableau1[#All],4,FALSE))</f>
        <v/>
      </c>
      <c r="E45" s="13" t="str">
        <f>IF(Tableau13456789[[#This Row],[Repère]]="","",VLOOKUP(Tableau13456789[[#This Row],[Repère]],Tableau1[#All],5,FALSE))</f>
        <v/>
      </c>
      <c r="F45" s="13" t="str">
        <f>IF(Tableau13456789[[#This Row],[Repère]]="","",VLOOKUP(Tableau13456789[[#This Row],[Repère]],Tableau1[#All],6,FALSE))</f>
        <v/>
      </c>
      <c r="G45" s="13" t="str">
        <f>IF(Tableau13456789[[#This Row],[Repère]]="","",VLOOKUP(Tableau13456789[[#This Row],[Repère]],Tableau1[#All],7,FALSE))</f>
        <v/>
      </c>
      <c r="H45" s="13" t="str">
        <f>IF(Tableau13456789[[#This Row],[Repère]]="","",VLOOKUP(Tableau13456789[[#This Row],[Repère]],Tableau1[#All],8,FALSE))</f>
        <v/>
      </c>
      <c r="I45" s="13" t="str">
        <f>IF(Tableau13456789[[#This Row],[Repère]]="","",VLOOKUP(Tableau13456789[[#This Row],[Repère]],Tableau1[#All],9,FALSE))</f>
        <v/>
      </c>
      <c r="J45" s="13" t="str">
        <f>IF(Tableau13456789[[#This Row],[Repère]]="","",VLOOKUP(Tableau13456789[[#This Row],[Repère]],Tableau1[#All],10,FALSE))</f>
        <v/>
      </c>
      <c r="K45" s="13" t="str">
        <f>IF(Tableau13456789[[#This Row],[Repère]]="","",VLOOKUP(Tableau13456789[[#This Row],[Repère]],Tableau1[#All],11,FALSE))</f>
        <v/>
      </c>
      <c r="L45" s="14" t="str">
        <f>IF(Tableau13456789[[#This Row],[Repère]]="","",VLOOKUP(Tableau13456789[[#This Row],[Repère]],Tableau1[#All],12,FALSE))</f>
        <v/>
      </c>
    </row>
    <row r="46" spans="1:12" x14ac:dyDescent="0.3">
      <c r="A46" s="18"/>
      <c r="B46" s="19"/>
      <c r="C46" s="13" t="str">
        <f>IF(Tableau13456789[[#This Row],[Repère]]="","",VLOOKUP(Tableau13456789[[#This Row],[Repère]],Tableau1[#All],3,FALSE))</f>
        <v/>
      </c>
      <c r="D46" s="13" t="str">
        <f>IF(Tableau13456789[[#This Row],[Repère]]="","",VLOOKUP(Tableau13456789[[#This Row],[Repère]],Tableau1[#All],4,FALSE))</f>
        <v/>
      </c>
      <c r="E46" s="13" t="str">
        <f>IF(Tableau13456789[[#This Row],[Repère]]="","",VLOOKUP(Tableau13456789[[#This Row],[Repère]],Tableau1[#All],5,FALSE))</f>
        <v/>
      </c>
      <c r="F46" s="13" t="str">
        <f>IF(Tableau13456789[[#This Row],[Repère]]="","",VLOOKUP(Tableau13456789[[#This Row],[Repère]],Tableau1[#All],6,FALSE))</f>
        <v/>
      </c>
      <c r="G46" s="13" t="str">
        <f>IF(Tableau13456789[[#This Row],[Repère]]="","",VLOOKUP(Tableau13456789[[#This Row],[Repère]],Tableau1[#All],7,FALSE))</f>
        <v/>
      </c>
      <c r="H46" s="13" t="str">
        <f>IF(Tableau13456789[[#This Row],[Repère]]="","",VLOOKUP(Tableau13456789[[#This Row],[Repère]],Tableau1[#All],8,FALSE))</f>
        <v/>
      </c>
      <c r="I46" s="13" t="str">
        <f>IF(Tableau13456789[[#This Row],[Repère]]="","",VLOOKUP(Tableau13456789[[#This Row],[Repère]],Tableau1[#All],9,FALSE))</f>
        <v/>
      </c>
      <c r="J46" s="13" t="str">
        <f>IF(Tableau13456789[[#This Row],[Repère]]="","",VLOOKUP(Tableau13456789[[#This Row],[Repère]],Tableau1[#All],10,FALSE))</f>
        <v/>
      </c>
      <c r="K46" s="13" t="str">
        <f>IF(Tableau13456789[[#This Row],[Repère]]="","",VLOOKUP(Tableau13456789[[#This Row],[Repère]],Tableau1[#All],11,FALSE))</f>
        <v/>
      </c>
      <c r="L46" s="14" t="str">
        <f>IF(Tableau13456789[[#This Row],[Repère]]="","",VLOOKUP(Tableau13456789[[#This Row],[Repère]],Tableau1[#All],12,FALSE))</f>
        <v/>
      </c>
    </row>
    <row r="47" spans="1:12" x14ac:dyDescent="0.3">
      <c r="A47" s="18"/>
      <c r="B47" s="19"/>
      <c r="C47" s="13" t="str">
        <f>IF(Tableau13456789[[#This Row],[Repère]]="","",VLOOKUP(Tableau13456789[[#This Row],[Repère]],Tableau1[#All],3,FALSE))</f>
        <v/>
      </c>
      <c r="D47" s="13" t="str">
        <f>IF(Tableau13456789[[#This Row],[Repère]]="","",VLOOKUP(Tableau13456789[[#This Row],[Repère]],Tableau1[#All],4,FALSE))</f>
        <v/>
      </c>
      <c r="E47" s="13" t="str">
        <f>IF(Tableau13456789[[#This Row],[Repère]]="","",VLOOKUP(Tableau13456789[[#This Row],[Repère]],Tableau1[#All],5,FALSE))</f>
        <v/>
      </c>
      <c r="F47" s="13" t="str">
        <f>IF(Tableau13456789[[#This Row],[Repère]]="","",VLOOKUP(Tableau13456789[[#This Row],[Repère]],Tableau1[#All],6,FALSE))</f>
        <v/>
      </c>
      <c r="G47" s="13" t="str">
        <f>IF(Tableau13456789[[#This Row],[Repère]]="","",VLOOKUP(Tableau13456789[[#This Row],[Repère]],Tableau1[#All],7,FALSE))</f>
        <v/>
      </c>
      <c r="H47" s="13" t="str">
        <f>IF(Tableau13456789[[#This Row],[Repère]]="","",VLOOKUP(Tableau13456789[[#This Row],[Repère]],Tableau1[#All],8,FALSE))</f>
        <v/>
      </c>
      <c r="I47" s="13" t="str">
        <f>IF(Tableau13456789[[#This Row],[Repère]]="","",VLOOKUP(Tableau13456789[[#This Row],[Repère]],Tableau1[#All],9,FALSE))</f>
        <v/>
      </c>
      <c r="J47" s="13" t="str">
        <f>IF(Tableau13456789[[#This Row],[Repère]]="","",VLOOKUP(Tableau13456789[[#This Row],[Repère]],Tableau1[#All],10,FALSE))</f>
        <v/>
      </c>
      <c r="K47" s="13" t="str">
        <f>IF(Tableau13456789[[#This Row],[Repère]]="","",VLOOKUP(Tableau13456789[[#This Row],[Repère]],Tableau1[#All],11,FALSE))</f>
        <v/>
      </c>
      <c r="L47" s="14" t="str">
        <f>IF(Tableau13456789[[#This Row],[Repère]]="","",VLOOKUP(Tableau13456789[[#This Row],[Repère]],Tableau1[#All],12,FALSE))</f>
        <v/>
      </c>
    </row>
    <row r="48" spans="1:12" x14ac:dyDescent="0.3">
      <c r="A48" s="18"/>
      <c r="B48" s="19"/>
      <c r="C48" s="13" t="str">
        <f>IF(Tableau13456789[[#This Row],[Repère]]="","",VLOOKUP(Tableau13456789[[#This Row],[Repère]],Tableau1[#All],3,FALSE))</f>
        <v/>
      </c>
      <c r="D48" s="13" t="str">
        <f>IF(Tableau13456789[[#This Row],[Repère]]="","",VLOOKUP(Tableau13456789[[#This Row],[Repère]],Tableau1[#All],4,FALSE))</f>
        <v/>
      </c>
      <c r="E48" s="13" t="str">
        <f>IF(Tableau13456789[[#This Row],[Repère]]="","",VLOOKUP(Tableau13456789[[#This Row],[Repère]],Tableau1[#All],5,FALSE))</f>
        <v/>
      </c>
      <c r="F48" s="13" t="str">
        <f>IF(Tableau13456789[[#This Row],[Repère]]="","",VLOOKUP(Tableau13456789[[#This Row],[Repère]],Tableau1[#All],6,FALSE))</f>
        <v/>
      </c>
      <c r="G48" s="13" t="str">
        <f>IF(Tableau13456789[[#This Row],[Repère]]="","",VLOOKUP(Tableau13456789[[#This Row],[Repère]],Tableau1[#All],7,FALSE))</f>
        <v/>
      </c>
      <c r="H48" s="13" t="str">
        <f>IF(Tableau13456789[[#This Row],[Repère]]="","",VLOOKUP(Tableau13456789[[#This Row],[Repère]],Tableau1[#All],8,FALSE))</f>
        <v/>
      </c>
      <c r="I48" s="13" t="str">
        <f>IF(Tableau13456789[[#This Row],[Repère]]="","",VLOOKUP(Tableau13456789[[#This Row],[Repère]],Tableau1[#All],9,FALSE))</f>
        <v/>
      </c>
      <c r="J48" s="13" t="str">
        <f>IF(Tableau13456789[[#This Row],[Repère]]="","",VLOOKUP(Tableau13456789[[#This Row],[Repère]],Tableau1[#All],10,FALSE))</f>
        <v/>
      </c>
      <c r="K48" s="13" t="str">
        <f>IF(Tableau13456789[[#This Row],[Repère]]="","",VLOOKUP(Tableau13456789[[#This Row],[Repère]],Tableau1[#All],11,FALSE))</f>
        <v/>
      </c>
      <c r="L48" s="14" t="str">
        <f>IF(Tableau13456789[[#This Row],[Repère]]="","",VLOOKUP(Tableau13456789[[#This Row],[Repère]],Tableau1[#All],12,FALSE))</f>
        <v/>
      </c>
    </row>
    <row r="49" spans="1:12" x14ac:dyDescent="0.3">
      <c r="A49" s="18"/>
      <c r="B49" s="19"/>
      <c r="C49" s="13" t="str">
        <f>IF(Tableau13456789[[#This Row],[Repère]]="","",VLOOKUP(Tableau13456789[[#This Row],[Repère]],Tableau1[#All],3,FALSE))</f>
        <v/>
      </c>
      <c r="D49" s="13" t="str">
        <f>IF(Tableau13456789[[#This Row],[Repère]]="","",VLOOKUP(Tableau13456789[[#This Row],[Repère]],Tableau1[#All],4,FALSE))</f>
        <v/>
      </c>
      <c r="E49" s="13" t="str">
        <f>IF(Tableau13456789[[#This Row],[Repère]]="","",VLOOKUP(Tableau13456789[[#This Row],[Repère]],Tableau1[#All],5,FALSE))</f>
        <v/>
      </c>
      <c r="F49" s="13" t="str">
        <f>IF(Tableau13456789[[#This Row],[Repère]]="","",VLOOKUP(Tableau13456789[[#This Row],[Repère]],Tableau1[#All],6,FALSE))</f>
        <v/>
      </c>
      <c r="G49" s="13" t="str">
        <f>IF(Tableau13456789[[#This Row],[Repère]]="","",VLOOKUP(Tableau13456789[[#This Row],[Repère]],Tableau1[#All],7,FALSE))</f>
        <v/>
      </c>
      <c r="H49" s="13" t="str">
        <f>IF(Tableau13456789[[#This Row],[Repère]]="","",VLOOKUP(Tableau13456789[[#This Row],[Repère]],Tableau1[#All],8,FALSE))</f>
        <v/>
      </c>
      <c r="I49" s="13" t="str">
        <f>IF(Tableau13456789[[#This Row],[Repère]]="","",VLOOKUP(Tableau13456789[[#This Row],[Repère]],Tableau1[#All],9,FALSE))</f>
        <v/>
      </c>
      <c r="J49" s="13" t="str">
        <f>IF(Tableau13456789[[#This Row],[Repère]]="","",VLOOKUP(Tableau13456789[[#This Row],[Repère]],Tableau1[#All],10,FALSE))</f>
        <v/>
      </c>
      <c r="K49" s="13" t="str">
        <f>IF(Tableau13456789[[#This Row],[Repère]]="","",VLOOKUP(Tableau13456789[[#This Row],[Repère]],Tableau1[#All],11,FALSE))</f>
        <v/>
      </c>
      <c r="L49" s="14" t="str">
        <f>IF(Tableau13456789[[#This Row],[Repère]]="","",VLOOKUP(Tableau13456789[[#This Row],[Repère]],Tableau1[#All],12,FALSE))</f>
        <v/>
      </c>
    </row>
    <row r="50" spans="1:12" x14ac:dyDescent="0.3">
      <c r="A50" s="18"/>
      <c r="B50" s="19"/>
      <c r="C50" s="13" t="str">
        <f>IF(Tableau13456789[[#This Row],[Repère]]="","",VLOOKUP(Tableau13456789[[#This Row],[Repère]],Tableau1[#All],3,FALSE))</f>
        <v/>
      </c>
      <c r="D50" s="13" t="str">
        <f>IF(Tableau13456789[[#This Row],[Repère]]="","",VLOOKUP(Tableau13456789[[#This Row],[Repère]],Tableau1[#All],4,FALSE))</f>
        <v/>
      </c>
      <c r="E50" s="13" t="str">
        <f>IF(Tableau13456789[[#This Row],[Repère]]="","",VLOOKUP(Tableau13456789[[#This Row],[Repère]],Tableau1[#All],5,FALSE))</f>
        <v/>
      </c>
      <c r="F50" s="13" t="str">
        <f>IF(Tableau13456789[[#This Row],[Repère]]="","",VLOOKUP(Tableau13456789[[#This Row],[Repère]],Tableau1[#All],6,FALSE))</f>
        <v/>
      </c>
      <c r="G50" s="13" t="str">
        <f>IF(Tableau13456789[[#This Row],[Repère]]="","",VLOOKUP(Tableau13456789[[#This Row],[Repère]],Tableau1[#All],7,FALSE))</f>
        <v/>
      </c>
      <c r="H50" s="13" t="str">
        <f>IF(Tableau13456789[[#This Row],[Repère]]="","",VLOOKUP(Tableau13456789[[#This Row],[Repère]],Tableau1[#All],8,FALSE))</f>
        <v/>
      </c>
      <c r="I50" s="13" t="str">
        <f>IF(Tableau13456789[[#This Row],[Repère]]="","",VLOOKUP(Tableau13456789[[#This Row],[Repère]],Tableau1[#All],9,FALSE))</f>
        <v/>
      </c>
      <c r="J50" s="13" t="str">
        <f>IF(Tableau13456789[[#This Row],[Repère]]="","",VLOOKUP(Tableau13456789[[#This Row],[Repère]],Tableau1[#All],10,FALSE))</f>
        <v/>
      </c>
      <c r="K50" s="13" t="str">
        <f>IF(Tableau13456789[[#This Row],[Repère]]="","",VLOOKUP(Tableau13456789[[#This Row],[Repère]],Tableau1[#All],11,FALSE))</f>
        <v/>
      </c>
      <c r="L50" s="14" t="str">
        <f>IF(Tableau13456789[[#This Row],[Repère]]="","",VLOOKUP(Tableau13456789[[#This Row],[Repère]],Tableau1[#All],12,FALSE))</f>
        <v/>
      </c>
    </row>
    <row r="51" spans="1:12" x14ac:dyDescent="0.3">
      <c r="A51" s="18"/>
      <c r="B51" s="19"/>
      <c r="C51" s="13" t="str">
        <f>IF(Tableau13456789[[#This Row],[Repère]]="","",VLOOKUP(Tableau13456789[[#This Row],[Repère]],Tableau1[#All],3,FALSE))</f>
        <v/>
      </c>
      <c r="D51" s="13" t="str">
        <f>IF(Tableau13456789[[#This Row],[Repère]]="","",VLOOKUP(Tableau13456789[[#This Row],[Repère]],Tableau1[#All],4,FALSE))</f>
        <v/>
      </c>
      <c r="E51" s="13" t="str">
        <f>IF(Tableau13456789[[#This Row],[Repère]]="","",VLOOKUP(Tableau13456789[[#This Row],[Repère]],Tableau1[#All],5,FALSE))</f>
        <v/>
      </c>
      <c r="F51" s="13" t="str">
        <f>IF(Tableau13456789[[#This Row],[Repère]]="","",VLOOKUP(Tableau13456789[[#This Row],[Repère]],Tableau1[#All],6,FALSE))</f>
        <v/>
      </c>
      <c r="G51" s="13" t="str">
        <f>IF(Tableau13456789[[#This Row],[Repère]]="","",VLOOKUP(Tableau13456789[[#This Row],[Repère]],Tableau1[#All],7,FALSE))</f>
        <v/>
      </c>
      <c r="H51" s="13" t="str">
        <f>IF(Tableau13456789[[#This Row],[Repère]]="","",VLOOKUP(Tableau13456789[[#This Row],[Repère]],Tableau1[#All],8,FALSE))</f>
        <v/>
      </c>
      <c r="I51" s="13" t="str">
        <f>IF(Tableau13456789[[#This Row],[Repère]]="","",VLOOKUP(Tableau13456789[[#This Row],[Repère]],Tableau1[#All],9,FALSE))</f>
        <v/>
      </c>
      <c r="J51" s="13" t="str">
        <f>IF(Tableau13456789[[#This Row],[Repère]]="","",VLOOKUP(Tableau13456789[[#This Row],[Repère]],Tableau1[#All],10,FALSE))</f>
        <v/>
      </c>
      <c r="K51" s="13" t="str">
        <f>IF(Tableau13456789[[#This Row],[Repère]]="","",VLOOKUP(Tableau13456789[[#This Row],[Repère]],Tableau1[#All],11,FALSE))</f>
        <v/>
      </c>
      <c r="L51" s="14" t="str">
        <f>IF(Tableau13456789[[#This Row],[Repère]]="","",VLOOKUP(Tableau13456789[[#This Row],[Repère]],Tableau1[#All],12,FALSE))</f>
        <v/>
      </c>
    </row>
    <row r="52" spans="1:12" x14ac:dyDescent="0.3">
      <c r="A52" s="18"/>
      <c r="B52" s="19"/>
      <c r="C52" s="13" t="str">
        <f>IF(Tableau13456789[[#This Row],[Repère]]="","",VLOOKUP(Tableau13456789[[#This Row],[Repère]],Tableau1[#All],3,FALSE))</f>
        <v/>
      </c>
      <c r="D52" s="13" t="str">
        <f>IF(Tableau13456789[[#This Row],[Repère]]="","",VLOOKUP(Tableau13456789[[#This Row],[Repère]],Tableau1[#All],4,FALSE))</f>
        <v/>
      </c>
      <c r="E52" s="13" t="str">
        <f>IF(Tableau13456789[[#This Row],[Repère]]="","",VLOOKUP(Tableau13456789[[#This Row],[Repère]],Tableau1[#All],5,FALSE))</f>
        <v/>
      </c>
      <c r="F52" s="13" t="str">
        <f>IF(Tableau13456789[[#This Row],[Repère]]="","",VLOOKUP(Tableau13456789[[#This Row],[Repère]],Tableau1[#All],6,FALSE))</f>
        <v/>
      </c>
      <c r="G52" s="13" t="str">
        <f>IF(Tableau13456789[[#This Row],[Repère]]="","",VLOOKUP(Tableau13456789[[#This Row],[Repère]],Tableau1[#All],7,FALSE))</f>
        <v/>
      </c>
      <c r="H52" s="13" t="str">
        <f>IF(Tableau13456789[[#This Row],[Repère]]="","",VLOOKUP(Tableau13456789[[#This Row],[Repère]],Tableau1[#All],8,FALSE))</f>
        <v/>
      </c>
      <c r="I52" s="13" t="str">
        <f>IF(Tableau13456789[[#This Row],[Repère]]="","",VLOOKUP(Tableau13456789[[#This Row],[Repère]],Tableau1[#All],9,FALSE))</f>
        <v/>
      </c>
      <c r="J52" s="13" t="str">
        <f>IF(Tableau13456789[[#This Row],[Repère]]="","",VLOOKUP(Tableau13456789[[#This Row],[Repère]],Tableau1[#All],10,FALSE))</f>
        <v/>
      </c>
      <c r="K52" s="13" t="str">
        <f>IF(Tableau13456789[[#This Row],[Repère]]="","",VLOOKUP(Tableau13456789[[#This Row],[Repère]],Tableau1[#All],11,FALSE))</f>
        <v/>
      </c>
      <c r="L52" s="14" t="str">
        <f>IF(Tableau13456789[[#This Row],[Repère]]="","",VLOOKUP(Tableau13456789[[#This Row],[Repère]],Tableau1[#All],12,FALSE))</f>
        <v/>
      </c>
    </row>
    <row r="53" spans="1:12" x14ac:dyDescent="0.3">
      <c r="A53" s="18"/>
      <c r="B53" s="19"/>
      <c r="C53" s="13" t="str">
        <f>IF(Tableau13456789[[#This Row],[Repère]]="","",VLOOKUP(Tableau13456789[[#This Row],[Repère]],Tableau1[#All],3,FALSE))</f>
        <v/>
      </c>
      <c r="D53" s="13" t="str">
        <f>IF(Tableau13456789[[#This Row],[Repère]]="","",VLOOKUP(Tableau13456789[[#This Row],[Repère]],Tableau1[#All],4,FALSE))</f>
        <v/>
      </c>
      <c r="E53" s="13" t="str">
        <f>IF(Tableau13456789[[#This Row],[Repère]]="","",VLOOKUP(Tableau13456789[[#This Row],[Repère]],Tableau1[#All],5,FALSE))</f>
        <v/>
      </c>
      <c r="F53" s="13" t="str">
        <f>IF(Tableau13456789[[#This Row],[Repère]]="","",VLOOKUP(Tableau13456789[[#This Row],[Repère]],Tableau1[#All],6,FALSE))</f>
        <v/>
      </c>
      <c r="G53" s="13" t="str">
        <f>IF(Tableau13456789[[#This Row],[Repère]]="","",VLOOKUP(Tableau13456789[[#This Row],[Repère]],Tableau1[#All],7,FALSE))</f>
        <v/>
      </c>
      <c r="H53" s="13" t="str">
        <f>IF(Tableau13456789[[#This Row],[Repère]]="","",VLOOKUP(Tableau13456789[[#This Row],[Repère]],Tableau1[#All],8,FALSE))</f>
        <v/>
      </c>
      <c r="I53" s="13" t="str">
        <f>IF(Tableau13456789[[#This Row],[Repère]]="","",VLOOKUP(Tableau13456789[[#This Row],[Repère]],Tableau1[#All],9,FALSE))</f>
        <v/>
      </c>
      <c r="J53" s="13" t="str">
        <f>IF(Tableau13456789[[#This Row],[Repère]]="","",VLOOKUP(Tableau13456789[[#This Row],[Repère]],Tableau1[#All],10,FALSE))</f>
        <v/>
      </c>
      <c r="K53" s="13" t="str">
        <f>IF(Tableau13456789[[#This Row],[Repère]]="","",VLOOKUP(Tableau13456789[[#This Row],[Repère]],Tableau1[#All],11,FALSE))</f>
        <v/>
      </c>
      <c r="L53" s="14" t="str">
        <f>IF(Tableau13456789[[#This Row],[Repère]]="","",VLOOKUP(Tableau13456789[[#This Row],[Repère]],Tableau1[#All],12,FALSE))</f>
        <v/>
      </c>
    </row>
    <row r="54" spans="1:12" x14ac:dyDescent="0.3">
      <c r="A54" s="18"/>
      <c r="B54" s="19"/>
      <c r="C54" s="13" t="str">
        <f>IF(Tableau13456789[[#This Row],[Repère]]="","",VLOOKUP(Tableau13456789[[#This Row],[Repère]],Tableau1[#All],3,FALSE))</f>
        <v/>
      </c>
      <c r="D54" s="13" t="str">
        <f>IF(Tableau13456789[[#This Row],[Repère]]="","",VLOOKUP(Tableau13456789[[#This Row],[Repère]],Tableau1[#All],4,FALSE))</f>
        <v/>
      </c>
      <c r="E54" s="13" t="str">
        <f>IF(Tableau13456789[[#This Row],[Repère]]="","",VLOOKUP(Tableau13456789[[#This Row],[Repère]],Tableau1[#All],5,FALSE))</f>
        <v/>
      </c>
      <c r="F54" s="13" t="str">
        <f>IF(Tableau13456789[[#This Row],[Repère]]="","",VLOOKUP(Tableau13456789[[#This Row],[Repère]],Tableau1[#All],6,FALSE))</f>
        <v/>
      </c>
      <c r="G54" s="13" t="str">
        <f>IF(Tableau13456789[[#This Row],[Repère]]="","",VLOOKUP(Tableau13456789[[#This Row],[Repère]],Tableau1[#All],7,FALSE))</f>
        <v/>
      </c>
      <c r="H54" s="13" t="str">
        <f>IF(Tableau13456789[[#This Row],[Repère]]="","",VLOOKUP(Tableau13456789[[#This Row],[Repère]],Tableau1[#All],8,FALSE))</f>
        <v/>
      </c>
      <c r="I54" s="13" t="str">
        <f>IF(Tableau13456789[[#This Row],[Repère]]="","",VLOOKUP(Tableau13456789[[#This Row],[Repère]],Tableau1[#All],9,FALSE))</f>
        <v/>
      </c>
      <c r="J54" s="13" t="str">
        <f>IF(Tableau13456789[[#This Row],[Repère]]="","",VLOOKUP(Tableau13456789[[#This Row],[Repère]],Tableau1[#All],10,FALSE))</f>
        <v/>
      </c>
      <c r="K54" s="13" t="str">
        <f>IF(Tableau13456789[[#This Row],[Repère]]="","",VLOOKUP(Tableau13456789[[#This Row],[Repère]],Tableau1[#All],11,FALSE))</f>
        <v/>
      </c>
      <c r="L54" s="14" t="str">
        <f>IF(Tableau13456789[[#This Row],[Repère]]="","",VLOOKUP(Tableau13456789[[#This Row],[Repère]],Tableau1[#All],12,FALSE))</f>
        <v/>
      </c>
    </row>
    <row r="55" spans="1:12" x14ac:dyDescent="0.3">
      <c r="A55" s="18"/>
      <c r="B55" s="19"/>
      <c r="C55" s="13" t="str">
        <f>IF(Tableau13456789[[#This Row],[Repère]]="","",VLOOKUP(Tableau13456789[[#This Row],[Repère]],Tableau1[#All],3,FALSE))</f>
        <v/>
      </c>
      <c r="D55" s="13" t="str">
        <f>IF(Tableau13456789[[#This Row],[Repère]]="","",VLOOKUP(Tableau13456789[[#This Row],[Repère]],Tableau1[#All],4,FALSE))</f>
        <v/>
      </c>
      <c r="E55" s="13" t="str">
        <f>IF(Tableau13456789[[#This Row],[Repère]]="","",VLOOKUP(Tableau13456789[[#This Row],[Repère]],Tableau1[#All],5,FALSE))</f>
        <v/>
      </c>
      <c r="F55" s="13" t="str">
        <f>IF(Tableau13456789[[#This Row],[Repère]]="","",VLOOKUP(Tableau13456789[[#This Row],[Repère]],Tableau1[#All],6,FALSE))</f>
        <v/>
      </c>
      <c r="G55" s="13" t="str">
        <f>IF(Tableau13456789[[#This Row],[Repère]]="","",VLOOKUP(Tableau13456789[[#This Row],[Repère]],Tableau1[#All],7,FALSE))</f>
        <v/>
      </c>
      <c r="H55" s="13" t="str">
        <f>IF(Tableau13456789[[#This Row],[Repère]]="","",VLOOKUP(Tableau13456789[[#This Row],[Repère]],Tableau1[#All],8,FALSE))</f>
        <v/>
      </c>
      <c r="I55" s="13" t="str">
        <f>IF(Tableau13456789[[#This Row],[Repère]]="","",VLOOKUP(Tableau13456789[[#This Row],[Repère]],Tableau1[#All],9,FALSE))</f>
        <v/>
      </c>
      <c r="J55" s="13" t="str">
        <f>IF(Tableau13456789[[#This Row],[Repère]]="","",VLOOKUP(Tableau13456789[[#This Row],[Repère]],Tableau1[#All],10,FALSE))</f>
        <v/>
      </c>
      <c r="K55" s="13" t="str">
        <f>IF(Tableau13456789[[#This Row],[Repère]]="","",VLOOKUP(Tableau13456789[[#This Row],[Repère]],Tableau1[#All],11,FALSE))</f>
        <v/>
      </c>
      <c r="L55" s="14" t="str">
        <f>IF(Tableau13456789[[#This Row],[Repère]]="","",VLOOKUP(Tableau13456789[[#This Row],[Repère]],Tableau1[#All],12,FALSE))</f>
        <v/>
      </c>
    </row>
    <row r="56" spans="1:12" x14ac:dyDescent="0.3">
      <c r="A56" s="18"/>
      <c r="B56" s="19"/>
      <c r="C56" s="13" t="str">
        <f>IF(Tableau13456789[[#This Row],[Repère]]="","",VLOOKUP(Tableau13456789[[#This Row],[Repère]],Tableau1[#All],3,FALSE))</f>
        <v/>
      </c>
      <c r="D56" s="13" t="str">
        <f>IF(Tableau13456789[[#This Row],[Repère]]="","",VLOOKUP(Tableau13456789[[#This Row],[Repère]],Tableau1[#All],4,FALSE))</f>
        <v/>
      </c>
      <c r="E56" s="13" t="str">
        <f>IF(Tableau13456789[[#This Row],[Repère]]="","",VLOOKUP(Tableau13456789[[#This Row],[Repère]],Tableau1[#All],5,FALSE))</f>
        <v/>
      </c>
      <c r="F56" s="13" t="str">
        <f>IF(Tableau13456789[[#This Row],[Repère]]="","",VLOOKUP(Tableau13456789[[#This Row],[Repère]],Tableau1[#All],6,FALSE))</f>
        <v/>
      </c>
      <c r="G56" s="13" t="str">
        <f>IF(Tableau13456789[[#This Row],[Repère]]="","",VLOOKUP(Tableau13456789[[#This Row],[Repère]],Tableau1[#All],7,FALSE))</f>
        <v/>
      </c>
      <c r="H56" s="13" t="str">
        <f>IF(Tableau13456789[[#This Row],[Repère]]="","",VLOOKUP(Tableau13456789[[#This Row],[Repère]],Tableau1[#All],8,FALSE))</f>
        <v/>
      </c>
      <c r="I56" s="13" t="str">
        <f>IF(Tableau13456789[[#This Row],[Repère]]="","",VLOOKUP(Tableau13456789[[#This Row],[Repère]],Tableau1[#All],9,FALSE))</f>
        <v/>
      </c>
      <c r="J56" s="13" t="str">
        <f>IF(Tableau13456789[[#This Row],[Repère]]="","",VLOOKUP(Tableau13456789[[#This Row],[Repère]],Tableau1[#All],10,FALSE))</f>
        <v/>
      </c>
      <c r="K56" s="13" t="str">
        <f>IF(Tableau13456789[[#This Row],[Repère]]="","",VLOOKUP(Tableau13456789[[#This Row],[Repère]],Tableau1[#All],11,FALSE))</f>
        <v/>
      </c>
      <c r="L56" s="14" t="str">
        <f>IF(Tableau13456789[[#This Row],[Repère]]="","",VLOOKUP(Tableau13456789[[#This Row],[Repère]],Tableau1[#All],12,FALSE))</f>
        <v/>
      </c>
    </row>
    <row r="57" spans="1:12" x14ac:dyDescent="0.3">
      <c r="A57" s="18"/>
      <c r="B57" s="19"/>
      <c r="C57" s="13" t="str">
        <f>IF(Tableau13456789[[#This Row],[Repère]]="","",VLOOKUP(Tableau13456789[[#This Row],[Repère]],Tableau1[#All],3,FALSE))</f>
        <v/>
      </c>
      <c r="D57" s="13" t="str">
        <f>IF(Tableau13456789[[#This Row],[Repère]]="","",VLOOKUP(Tableau13456789[[#This Row],[Repère]],Tableau1[#All],4,FALSE))</f>
        <v/>
      </c>
      <c r="E57" s="13" t="str">
        <f>IF(Tableau13456789[[#This Row],[Repère]]="","",VLOOKUP(Tableau13456789[[#This Row],[Repère]],Tableau1[#All],5,FALSE))</f>
        <v/>
      </c>
      <c r="F57" s="13" t="str">
        <f>IF(Tableau13456789[[#This Row],[Repère]]="","",VLOOKUP(Tableau13456789[[#This Row],[Repère]],Tableau1[#All],6,FALSE))</f>
        <v/>
      </c>
      <c r="G57" s="13" t="str">
        <f>IF(Tableau13456789[[#This Row],[Repère]]="","",VLOOKUP(Tableau13456789[[#This Row],[Repère]],Tableau1[#All],7,FALSE))</f>
        <v/>
      </c>
      <c r="H57" s="13" t="str">
        <f>IF(Tableau13456789[[#This Row],[Repère]]="","",VLOOKUP(Tableau13456789[[#This Row],[Repère]],Tableau1[#All],8,FALSE))</f>
        <v/>
      </c>
      <c r="I57" s="13" t="str">
        <f>IF(Tableau13456789[[#This Row],[Repère]]="","",VLOOKUP(Tableau13456789[[#This Row],[Repère]],Tableau1[#All],9,FALSE))</f>
        <v/>
      </c>
      <c r="J57" s="13" t="str">
        <f>IF(Tableau13456789[[#This Row],[Repère]]="","",VLOOKUP(Tableau13456789[[#This Row],[Repère]],Tableau1[#All],10,FALSE))</f>
        <v/>
      </c>
      <c r="K57" s="13" t="str">
        <f>IF(Tableau13456789[[#This Row],[Repère]]="","",VLOOKUP(Tableau13456789[[#This Row],[Repère]],Tableau1[#All],11,FALSE))</f>
        <v/>
      </c>
      <c r="L57" s="14" t="str">
        <f>IF(Tableau13456789[[#This Row],[Repère]]="","",VLOOKUP(Tableau13456789[[#This Row],[Repère]],Tableau1[#All],12,FALSE))</f>
        <v/>
      </c>
    </row>
    <row r="58" spans="1:12" x14ac:dyDescent="0.3">
      <c r="A58" s="18"/>
      <c r="B58" s="19"/>
      <c r="C58" s="13" t="str">
        <f>IF(Tableau13456789[[#This Row],[Repère]]="","",VLOOKUP(Tableau13456789[[#This Row],[Repère]],Tableau1[#All],3,FALSE))</f>
        <v/>
      </c>
      <c r="D58" s="13" t="str">
        <f>IF(Tableau13456789[[#This Row],[Repère]]="","",VLOOKUP(Tableau13456789[[#This Row],[Repère]],Tableau1[#All],4,FALSE))</f>
        <v/>
      </c>
      <c r="E58" s="13" t="str">
        <f>IF(Tableau13456789[[#This Row],[Repère]]="","",VLOOKUP(Tableau13456789[[#This Row],[Repère]],Tableau1[#All],5,FALSE))</f>
        <v/>
      </c>
      <c r="F58" s="13" t="str">
        <f>IF(Tableau13456789[[#This Row],[Repère]]="","",VLOOKUP(Tableau13456789[[#This Row],[Repère]],Tableau1[#All],6,FALSE))</f>
        <v/>
      </c>
      <c r="G58" s="13" t="str">
        <f>IF(Tableau13456789[[#This Row],[Repère]]="","",VLOOKUP(Tableau13456789[[#This Row],[Repère]],Tableau1[#All],7,FALSE))</f>
        <v/>
      </c>
      <c r="H58" s="13" t="str">
        <f>IF(Tableau13456789[[#This Row],[Repère]]="","",VLOOKUP(Tableau13456789[[#This Row],[Repère]],Tableau1[#All],8,FALSE))</f>
        <v/>
      </c>
      <c r="I58" s="13" t="str">
        <f>IF(Tableau13456789[[#This Row],[Repère]]="","",VLOOKUP(Tableau13456789[[#This Row],[Repère]],Tableau1[#All],9,FALSE))</f>
        <v/>
      </c>
      <c r="J58" s="13" t="str">
        <f>IF(Tableau13456789[[#This Row],[Repère]]="","",VLOOKUP(Tableau13456789[[#This Row],[Repère]],Tableau1[#All],10,FALSE))</f>
        <v/>
      </c>
      <c r="K58" s="13" t="str">
        <f>IF(Tableau13456789[[#This Row],[Repère]]="","",VLOOKUP(Tableau13456789[[#This Row],[Repère]],Tableau1[#All],11,FALSE))</f>
        <v/>
      </c>
      <c r="L58" s="14" t="str">
        <f>IF(Tableau13456789[[#This Row],[Repère]]="","",VLOOKUP(Tableau13456789[[#This Row],[Repère]],Tableau1[#All],12,FALSE))</f>
        <v/>
      </c>
    </row>
    <row r="59" spans="1:12" x14ac:dyDescent="0.3">
      <c r="A59" s="18"/>
      <c r="B59" s="19"/>
      <c r="C59" s="13" t="str">
        <f>IF(Tableau13456789[[#This Row],[Repère]]="","",VLOOKUP(Tableau13456789[[#This Row],[Repère]],Tableau1[#All],3,FALSE))</f>
        <v/>
      </c>
      <c r="D59" s="13" t="str">
        <f>IF(Tableau13456789[[#This Row],[Repère]]="","",VLOOKUP(Tableau13456789[[#This Row],[Repère]],Tableau1[#All],4,FALSE))</f>
        <v/>
      </c>
      <c r="E59" s="13" t="str">
        <f>IF(Tableau13456789[[#This Row],[Repère]]="","",VLOOKUP(Tableau13456789[[#This Row],[Repère]],Tableau1[#All],5,FALSE))</f>
        <v/>
      </c>
      <c r="F59" s="13" t="str">
        <f>IF(Tableau13456789[[#This Row],[Repère]]="","",VLOOKUP(Tableau13456789[[#This Row],[Repère]],Tableau1[#All],6,FALSE))</f>
        <v/>
      </c>
      <c r="G59" s="13" t="str">
        <f>IF(Tableau13456789[[#This Row],[Repère]]="","",VLOOKUP(Tableau13456789[[#This Row],[Repère]],Tableau1[#All],7,FALSE))</f>
        <v/>
      </c>
      <c r="H59" s="13" t="str">
        <f>IF(Tableau13456789[[#This Row],[Repère]]="","",VLOOKUP(Tableau13456789[[#This Row],[Repère]],Tableau1[#All],8,FALSE))</f>
        <v/>
      </c>
      <c r="I59" s="13" t="str">
        <f>IF(Tableau13456789[[#This Row],[Repère]]="","",VLOOKUP(Tableau13456789[[#This Row],[Repère]],Tableau1[#All],9,FALSE))</f>
        <v/>
      </c>
      <c r="J59" s="13" t="str">
        <f>IF(Tableau13456789[[#This Row],[Repère]]="","",VLOOKUP(Tableau13456789[[#This Row],[Repère]],Tableau1[#All],10,FALSE))</f>
        <v/>
      </c>
      <c r="K59" s="13" t="str">
        <f>IF(Tableau13456789[[#This Row],[Repère]]="","",VLOOKUP(Tableau13456789[[#This Row],[Repère]],Tableau1[#All],11,FALSE))</f>
        <v/>
      </c>
      <c r="L59" s="14" t="str">
        <f>IF(Tableau13456789[[#This Row],[Repère]]="","",VLOOKUP(Tableau13456789[[#This Row],[Repère]],Tableau1[#All],12,FALSE))</f>
        <v/>
      </c>
    </row>
    <row r="60" spans="1:12" x14ac:dyDescent="0.3">
      <c r="A60" s="18"/>
      <c r="B60" s="19"/>
      <c r="C60" s="13" t="str">
        <f>IF(Tableau13456789[[#This Row],[Repère]]="","",VLOOKUP(Tableau13456789[[#This Row],[Repère]],Tableau1[#All],3,FALSE))</f>
        <v/>
      </c>
      <c r="D60" s="13" t="str">
        <f>IF(Tableau13456789[[#This Row],[Repère]]="","",VLOOKUP(Tableau13456789[[#This Row],[Repère]],Tableau1[#All],4,FALSE))</f>
        <v/>
      </c>
      <c r="E60" s="13" t="str">
        <f>IF(Tableau13456789[[#This Row],[Repère]]="","",VLOOKUP(Tableau13456789[[#This Row],[Repère]],Tableau1[#All],5,FALSE))</f>
        <v/>
      </c>
      <c r="F60" s="13" t="str">
        <f>IF(Tableau13456789[[#This Row],[Repère]]="","",VLOOKUP(Tableau13456789[[#This Row],[Repère]],Tableau1[#All],6,FALSE))</f>
        <v/>
      </c>
      <c r="G60" s="13" t="str">
        <f>IF(Tableau13456789[[#This Row],[Repère]]="","",VLOOKUP(Tableau13456789[[#This Row],[Repère]],Tableau1[#All],7,FALSE))</f>
        <v/>
      </c>
      <c r="H60" s="13" t="str">
        <f>IF(Tableau13456789[[#This Row],[Repère]]="","",VLOOKUP(Tableau13456789[[#This Row],[Repère]],Tableau1[#All],8,FALSE))</f>
        <v/>
      </c>
      <c r="I60" s="13" t="str">
        <f>IF(Tableau13456789[[#This Row],[Repère]]="","",VLOOKUP(Tableau13456789[[#This Row],[Repère]],Tableau1[#All],9,FALSE))</f>
        <v/>
      </c>
      <c r="J60" s="13" t="str">
        <f>IF(Tableau13456789[[#This Row],[Repère]]="","",VLOOKUP(Tableau13456789[[#This Row],[Repère]],Tableau1[#All],10,FALSE))</f>
        <v/>
      </c>
      <c r="K60" s="13" t="str">
        <f>IF(Tableau13456789[[#This Row],[Repère]]="","",VLOOKUP(Tableau13456789[[#This Row],[Repère]],Tableau1[#All],11,FALSE))</f>
        <v/>
      </c>
      <c r="L60" s="14" t="str">
        <f>IF(Tableau13456789[[#This Row],[Repère]]="","",VLOOKUP(Tableau13456789[[#This Row],[Repère]],Tableau1[#All],12,FALSE))</f>
        <v/>
      </c>
    </row>
    <row r="61" spans="1:12" x14ac:dyDescent="0.3">
      <c r="A61" s="18"/>
      <c r="B61" s="19"/>
      <c r="C61" s="13" t="str">
        <f>IF(Tableau13456789[[#This Row],[Repère]]="","",VLOOKUP(Tableau13456789[[#This Row],[Repère]],Tableau1[#All],3,FALSE))</f>
        <v/>
      </c>
      <c r="D61" s="13" t="str">
        <f>IF(Tableau13456789[[#This Row],[Repère]]="","",VLOOKUP(Tableau13456789[[#This Row],[Repère]],Tableau1[#All],4,FALSE))</f>
        <v/>
      </c>
      <c r="E61" s="13" t="str">
        <f>IF(Tableau13456789[[#This Row],[Repère]]="","",VLOOKUP(Tableau13456789[[#This Row],[Repère]],Tableau1[#All],5,FALSE))</f>
        <v/>
      </c>
      <c r="F61" s="13" t="str">
        <f>IF(Tableau13456789[[#This Row],[Repère]]="","",VLOOKUP(Tableau13456789[[#This Row],[Repère]],Tableau1[#All],6,FALSE))</f>
        <v/>
      </c>
      <c r="G61" s="13" t="str">
        <f>IF(Tableau13456789[[#This Row],[Repère]]="","",VLOOKUP(Tableau13456789[[#This Row],[Repère]],Tableau1[#All],7,FALSE))</f>
        <v/>
      </c>
      <c r="H61" s="13" t="str">
        <f>IF(Tableau13456789[[#This Row],[Repère]]="","",VLOOKUP(Tableau13456789[[#This Row],[Repère]],Tableau1[#All],8,FALSE))</f>
        <v/>
      </c>
      <c r="I61" s="13" t="str">
        <f>IF(Tableau13456789[[#This Row],[Repère]]="","",VLOOKUP(Tableau13456789[[#This Row],[Repère]],Tableau1[#All],9,FALSE))</f>
        <v/>
      </c>
      <c r="J61" s="13" t="str">
        <f>IF(Tableau13456789[[#This Row],[Repère]]="","",VLOOKUP(Tableau13456789[[#This Row],[Repère]],Tableau1[#All],10,FALSE))</f>
        <v/>
      </c>
      <c r="K61" s="13" t="str">
        <f>IF(Tableau13456789[[#This Row],[Repère]]="","",VLOOKUP(Tableau13456789[[#This Row],[Repère]],Tableau1[#All],11,FALSE))</f>
        <v/>
      </c>
      <c r="L61" s="14" t="str">
        <f>IF(Tableau13456789[[#This Row],[Repère]]="","",VLOOKUP(Tableau13456789[[#This Row],[Repère]],Tableau1[#All],12,FALSE))</f>
        <v/>
      </c>
    </row>
    <row r="62" spans="1:12" x14ac:dyDescent="0.3">
      <c r="A62" s="18"/>
      <c r="B62" s="19"/>
      <c r="C62" s="13" t="str">
        <f>IF(Tableau13456789[[#This Row],[Repère]]="","",VLOOKUP(Tableau13456789[[#This Row],[Repère]],Tableau1[#All],3,FALSE))</f>
        <v/>
      </c>
      <c r="D62" s="13" t="str">
        <f>IF(Tableau13456789[[#This Row],[Repère]]="","",VLOOKUP(Tableau13456789[[#This Row],[Repère]],Tableau1[#All],4,FALSE))</f>
        <v/>
      </c>
      <c r="E62" s="13" t="str">
        <f>IF(Tableau13456789[[#This Row],[Repère]]="","",VLOOKUP(Tableau13456789[[#This Row],[Repère]],Tableau1[#All],5,FALSE))</f>
        <v/>
      </c>
      <c r="F62" s="13" t="str">
        <f>IF(Tableau13456789[[#This Row],[Repère]]="","",VLOOKUP(Tableau13456789[[#This Row],[Repère]],Tableau1[#All],6,FALSE))</f>
        <v/>
      </c>
      <c r="G62" s="13" t="str">
        <f>IF(Tableau13456789[[#This Row],[Repère]]="","",VLOOKUP(Tableau13456789[[#This Row],[Repère]],Tableau1[#All],7,FALSE))</f>
        <v/>
      </c>
      <c r="H62" s="13" t="str">
        <f>IF(Tableau13456789[[#This Row],[Repère]]="","",VLOOKUP(Tableau13456789[[#This Row],[Repère]],Tableau1[#All],8,FALSE))</f>
        <v/>
      </c>
      <c r="I62" s="13" t="str">
        <f>IF(Tableau13456789[[#This Row],[Repère]]="","",VLOOKUP(Tableau13456789[[#This Row],[Repère]],Tableau1[#All],9,FALSE))</f>
        <v/>
      </c>
      <c r="J62" s="13" t="str">
        <f>IF(Tableau13456789[[#This Row],[Repère]]="","",VLOOKUP(Tableau13456789[[#This Row],[Repère]],Tableau1[#All],10,FALSE))</f>
        <v/>
      </c>
      <c r="K62" s="13" t="str">
        <f>IF(Tableau13456789[[#This Row],[Repère]]="","",VLOOKUP(Tableau13456789[[#This Row],[Repère]],Tableau1[#All],11,FALSE))</f>
        <v/>
      </c>
      <c r="L62" s="14" t="str">
        <f>IF(Tableau13456789[[#This Row],[Repère]]="","",VLOOKUP(Tableau13456789[[#This Row],[Repère]],Tableau1[#All],12,FALSE))</f>
        <v/>
      </c>
    </row>
    <row r="63" spans="1:12" x14ac:dyDescent="0.3">
      <c r="A63" s="18"/>
      <c r="B63" s="19"/>
      <c r="C63" s="13" t="str">
        <f>IF(Tableau13456789[[#This Row],[Repère]]="","",VLOOKUP(Tableau13456789[[#This Row],[Repère]],Tableau1[#All],3,FALSE))</f>
        <v/>
      </c>
      <c r="D63" s="13" t="str">
        <f>IF(Tableau13456789[[#This Row],[Repère]]="","",VLOOKUP(Tableau13456789[[#This Row],[Repère]],Tableau1[#All],4,FALSE))</f>
        <v/>
      </c>
      <c r="E63" s="13" t="str">
        <f>IF(Tableau13456789[[#This Row],[Repère]]="","",VLOOKUP(Tableau13456789[[#This Row],[Repère]],Tableau1[#All],5,FALSE))</f>
        <v/>
      </c>
      <c r="F63" s="13" t="str">
        <f>IF(Tableau13456789[[#This Row],[Repère]]="","",VLOOKUP(Tableau13456789[[#This Row],[Repère]],Tableau1[#All],6,FALSE))</f>
        <v/>
      </c>
      <c r="G63" s="13" t="str">
        <f>IF(Tableau13456789[[#This Row],[Repère]]="","",VLOOKUP(Tableau13456789[[#This Row],[Repère]],Tableau1[#All],7,FALSE))</f>
        <v/>
      </c>
      <c r="H63" s="13" t="str">
        <f>IF(Tableau13456789[[#This Row],[Repère]]="","",VLOOKUP(Tableau13456789[[#This Row],[Repère]],Tableau1[#All],8,FALSE))</f>
        <v/>
      </c>
      <c r="I63" s="13" t="str">
        <f>IF(Tableau13456789[[#This Row],[Repère]]="","",VLOOKUP(Tableau13456789[[#This Row],[Repère]],Tableau1[#All],9,FALSE))</f>
        <v/>
      </c>
      <c r="J63" s="13" t="str">
        <f>IF(Tableau13456789[[#This Row],[Repère]]="","",VLOOKUP(Tableau13456789[[#This Row],[Repère]],Tableau1[#All],10,FALSE))</f>
        <v/>
      </c>
      <c r="K63" s="13" t="str">
        <f>IF(Tableau13456789[[#This Row],[Repère]]="","",VLOOKUP(Tableau13456789[[#This Row],[Repère]],Tableau1[#All],11,FALSE))</f>
        <v/>
      </c>
      <c r="L63" s="14" t="str">
        <f>IF(Tableau13456789[[#This Row],[Repère]]="","",VLOOKUP(Tableau13456789[[#This Row],[Repère]],Tableau1[#All],12,FALSE))</f>
        <v/>
      </c>
    </row>
    <row r="64" spans="1:12" x14ac:dyDescent="0.3">
      <c r="A64" s="18"/>
      <c r="B64" s="19"/>
      <c r="C64" s="13" t="str">
        <f>IF(Tableau13456789[[#This Row],[Repère]]="","",VLOOKUP(Tableau13456789[[#This Row],[Repère]],Tableau1[#All],3,FALSE))</f>
        <v/>
      </c>
      <c r="D64" s="13" t="str">
        <f>IF(Tableau13456789[[#This Row],[Repère]]="","",VLOOKUP(Tableau13456789[[#This Row],[Repère]],Tableau1[#All],4,FALSE))</f>
        <v/>
      </c>
      <c r="E64" s="13" t="str">
        <f>IF(Tableau13456789[[#This Row],[Repère]]="","",VLOOKUP(Tableau13456789[[#This Row],[Repère]],Tableau1[#All],5,FALSE))</f>
        <v/>
      </c>
      <c r="F64" s="13" t="str">
        <f>IF(Tableau13456789[[#This Row],[Repère]]="","",VLOOKUP(Tableau13456789[[#This Row],[Repère]],Tableau1[#All],6,FALSE))</f>
        <v/>
      </c>
      <c r="G64" s="13" t="str">
        <f>IF(Tableau13456789[[#This Row],[Repère]]="","",VLOOKUP(Tableau13456789[[#This Row],[Repère]],Tableau1[#All],7,FALSE))</f>
        <v/>
      </c>
      <c r="H64" s="13" t="str">
        <f>IF(Tableau13456789[[#This Row],[Repère]]="","",VLOOKUP(Tableau13456789[[#This Row],[Repère]],Tableau1[#All],8,FALSE))</f>
        <v/>
      </c>
      <c r="I64" s="13" t="str">
        <f>IF(Tableau13456789[[#This Row],[Repère]]="","",VLOOKUP(Tableau13456789[[#This Row],[Repère]],Tableau1[#All],9,FALSE))</f>
        <v/>
      </c>
      <c r="J64" s="13" t="str">
        <f>IF(Tableau13456789[[#This Row],[Repère]]="","",VLOOKUP(Tableau13456789[[#This Row],[Repère]],Tableau1[#All],10,FALSE))</f>
        <v/>
      </c>
      <c r="K64" s="13" t="str">
        <f>IF(Tableau13456789[[#This Row],[Repère]]="","",VLOOKUP(Tableau13456789[[#This Row],[Repère]],Tableau1[#All],11,FALSE))</f>
        <v/>
      </c>
      <c r="L64" s="14" t="str">
        <f>IF(Tableau13456789[[#This Row],[Repère]]="","",VLOOKUP(Tableau13456789[[#This Row],[Repère]],Tableau1[#All],12,FALSE))</f>
        <v/>
      </c>
    </row>
    <row r="65" spans="1:12" x14ac:dyDescent="0.3">
      <c r="A65" s="18"/>
      <c r="B65" s="19"/>
      <c r="C65" s="13" t="str">
        <f>IF(Tableau13456789[[#This Row],[Repère]]="","",VLOOKUP(Tableau13456789[[#This Row],[Repère]],Tableau1[#All],3,FALSE))</f>
        <v/>
      </c>
      <c r="D65" s="13" t="str">
        <f>IF(Tableau13456789[[#This Row],[Repère]]="","",VLOOKUP(Tableau13456789[[#This Row],[Repère]],Tableau1[#All],4,FALSE))</f>
        <v/>
      </c>
      <c r="E65" s="13" t="str">
        <f>IF(Tableau13456789[[#This Row],[Repère]]="","",VLOOKUP(Tableau13456789[[#This Row],[Repère]],Tableau1[#All],5,FALSE))</f>
        <v/>
      </c>
      <c r="F65" s="13" t="str">
        <f>IF(Tableau13456789[[#This Row],[Repère]]="","",VLOOKUP(Tableau13456789[[#This Row],[Repère]],Tableau1[#All],6,FALSE))</f>
        <v/>
      </c>
      <c r="G65" s="13" t="str">
        <f>IF(Tableau13456789[[#This Row],[Repère]]="","",VLOOKUP(Tableau13456789[[#This Row],[Repère]],Tableau1[#All],7,FALSE))</f>
        <v/>
      </c>
      <c r="H65" s="13" t="str">
        <f>IF(Tableau13456789[[#This Row],[Repère]]="","",VLOOKUP(Tableau13456789[[#This Row],[Repère]],Tableau1[#All],8,FALSE))</f>
        <v/>
      </c>
      <c r="I65" s="13" t="str">
        <f>IF(Tableau13456789[[#This Row],[Repère]]="","",VLOOKUP(Tableau13456789[[#This Row],[Repère]],Tableau1[#All],9,FALSE))</f>
        <v/>
      </c>
      <c r="J65" s="13" t="str">
        <f>IF(Tableau13456789[[#This Row],[Repère]]="","",VLOOKUP(Tableau13456789[[#This Row],[Repère]],Tableau1[#All],10,FALSE))</f>
        <v/>
      </c>
      <c r="K65" s="13" t="str">
        <f>IF(Tableau13456789[[#This Row],[Repère]]="","",VLOOKUP(Tableau13456789[[#This Row],[Repère]],Tableau1[#All],11,FALSE))</f>
        <v/>
      </c>
      <c r="L65" s="14" t="str">
        <f>IF(Tableau13456789[[#This Row],[Repère]]="","",VLOOKUP(Tableau13456789[[#This Row],[Repère]],Tableau1[#All],12,FALSE))</f>
        <v/>
      </c>
    </row>
    <row r="66" spans="1:12" x14ac:dyDescent="0.3">
      <c r="A66" s="18"/>
      <c r="B66" s="19"/>
      <c r="C66" s="13" t="str">
        <f>IF(Tableau13456789[[#This Row],[Repère]]="","",VLOOKUP(Tableau13456789[[#This Row],[Repère]],Tableau1[#All],3,FALSE))</f>
        <v/>
      </c>
      <c r="D66" s="13" t="str">
        <f>IF(Tableau13456789[[#This Row],[Repère]]="","",VLOOKUP(Tableau13456789[[#This Row],[Repère]],Tableau1[#All],4,FALSE))</f>
        <v/>
      </c>
      <c r="E66" s="13" t="str">
        <f>IF(Tableau13456789[[#This Row],[Repère]]="","",VLOOKUP(Tableau13456789[[#This Row],[Repère]],Tableau1[#All],5,FALSE))</f>
        <v/>
      </c>
      <c r="F66" s="13" t="str">
        <f>IF(Tableau13456789[[#This Row],[Repère]]="","",VLOOKUP(Tableau13456789[[#This Row],[Repère]],Tableau1[#All],6,FALSE))</f>
        <v/>
      </c>
      <c r="G66" s="13" t="str">
        <f>IF(Tableau13456789[[#This Row],[Repère]]="","",VLOOKUP(Tableau13456789[[#This Row],[Repère]],Tableau1[#All],7,FALSE))</f>
        <v/>
      </c>
      <c r="H66" s="13" t="str">
        <f>IF(Tableau13456789[[#This Row],[Repère]]="","",VLOOKUP(Tableau13456789[[#This Row],[Repère]],Tableau1[#All],8,FALSE))</f>
        <v/>
      </c>
      <c r="I66" s="13" t="str">
        <f>IF(Tableau13456789[[#This Row],[Repère]]="","",VLOOKUP(Tableau13456789[[#This Row],[Repère]],Tableau1[#All],9,FALSE))</f>
        <v/>
      </c>
      <c r="J66" s="13" t="str">
        <f>IF(Tableau13456789[[#This Row],[Repère]]="","",VLOOKUP(Tableau13456789[[#This Row],[Repère]],Tableau1[#All],10,FALSE))</f>
        <v/>
      </c>
      <c r="K66" s="13" t="str">
        <f>IF(Tableau13456789[[#This Row],[Repère]]="","",VLOOKUP(Tableau13456789[[#This Row],[Repère]],Tableau1[#All],11,FALSE))</f>
        <v/>
      </c>
      <c r="L66" s="14" t="str">
        <f>IF(Tableau13456789[[#This Row],[Repère]]="","",VLOOKUP(Tableau13456789[[#This Row],[Repère]],Tableau1[#All],12,FALSE))</f>
        <v/>
      </c>
    </row>
    <row r="67" spans="1:12" x14ac:dyDescent="0.3">
      <c r="A67" s="18"/>
      <c r="B67" s="19"/>
      <c r="C67" s="13" t="str">
        <f>IF(Tableau13456789[[#This Row],[Repère]]="","",VLOOKUP(Tableau13456789[[#This Row],[Repère]],Tableau1[#All],3,FALSE))</f>
        <v/>
      </c>
      <c r="D67" s="13" t="str">
        <f>IF(Tableau13456789[[#This Row],[Repère]]="","",VLOOKUP(Tableau13456789[[#This Row],[Repère]],Tableau1[#All],4,FALSE))</f>
        <v/>
      </c>
      <c r="E67" s="13" t="str">
        <f>IF(Tableau13456789[[#This Row],[Repère]]="","",VLOOKUP(Tableau13456789[[#This Row],[Repère]],Tableau1[#All],5,FALSE))</f>
        <v/>
      </c>
      <c r="F67" s="13" t="str">
        <f>IF(Tableau13456789[[#This Row],[Repère]]="","",VLOOKUP(Tableau13456789[[#This Row],[Repère]],Tableau1[#All],6,FALSE))</f>
        <v/>
      </c>
      <c r="G67" s="13" t="str">
        <f>IF(Tableau13456789[[#This Row],[Repère]]="","",VLOOKUP(Tableau13456789[[#This Row],[Repère]],Tableau1[#All],7,FALSE))</f>
        <v/>
      </c>
      <c r="H67" s="13" t="str">
        <f>IF(Tableau13456789[[#This Row],[Repère]]="","",VLOOKUP(Tableau13456789[[#This Row],[Repère]],Tableau1[#All],8,FALSE))</f>
        <v/>
      </c>
      <c r="I67" s="13" t="str">
        <f>IF(Tableau13456789[[#This Row],[Repère]]="","",VLOOKUP(Tableau13456789[[#This Row],[Repère]],Tableau1[#All],9,FALSE))</f>
        <v/>
      </c>
      <c r="J67" s="13" t="str">
        <f>IF(Tableau13456789[[#This Row],[Repère]]="","",VLOOKUP(Tableau13456789[[#This Row],[Repère]],Tableau1[#All],10,FALSE))</f>
        <v/>
      </c>
      <c r="K67" s="13" t="str">
        <f>IF(Tableau13456789[[#This Row],[Repère]]="","",VLOOKUP(Tableau13456789[[#This Row],[Repère]],Tableau1[#All],11,FALSE))</f>
        <v/>
      </c>
      <c r="L67" s="14" t="str">
        <f>IF(Tableau13456789[[#This Row],[Repère]]="","",VLOOKUP(Tableau13456789[[#This Row],[Repère]],Tableau1[#All],12,FALSE))</f>
        <v/>
      </c>
    </row>
    <row r="68" spans="1:12" x14ac:dyDescent="0.3">
      <c r="A68" s="18"/>
      <c r="B68" s="19"/>
      <c r="C68" s="13" t="str">
        <f>IF(Tableau13456789[[#This Row],[Repère]]="","",VLOOKUP(Tableau13456789[[#This Row],[Repère]],Tableau1[#All],3,FALSE))</f>
        <v/>
      </c>
      <c r="D68" s="13" t="str">
        <f>IF(Tableau13456789[[#This Row],[Repère]]="","",VLOOKUP(Tableau13456789[[#This Row],[Repère]],Tableau1[#All],4,FALSE))</f>
        <v/>
      </c>
      <c r="E68" s="13" t="str">
        <f>IF(Tableau13456789[[#This Row],[Repère]]="","",VLOOKUP(Tableau13456789[[#This Row],[Repère]],Tableau1[#All],5,FALSE))</f>
        <v/>
      </c>
      <c r="F68" s="13" t="str">
        <f>IF(Tableau13456789[[#This Row],[Repère]]="","",VLOOKUP(Tableau13456789[[#This Row],[Repère]],Tableau1[#All],6,FALSE))</f>
        <v/>
      </c>
      <c r="G68" s="13" t="str">
        <f>IF(Tableau13456789[[#This Row],[Repère]]="","",VLOOKUP(Tableau13456789[[#This Row],[Repère]],Tableau1[#All],7,FALSE))</f>
        <v/>
      </c>
      <c r="H68" s="13" t="str">
        <f>IF(Tableau13456789[[#This Row],[Repère]]="","",VLOOKUP(Tableau13456789[[#This Row],[Repère]],Tableau1[#All],8,FALSE))</f>
        <v/>
      </c>
      <c r="I68" s="13" t="str">
        <f>IF(Tableau13456789[[#This Row],[Repère]]="","",VLOOKUP(Tableau13456789[[#This Row],[Repère]],Tableau1[#All],9,FALSE))</f>
        <v/>
      </c>
      <c r="J68" s="13" t="str">
        <f>IF(Tableau13456789[[#This Row],[Repère]]="","",VLOOKUP(Tableau13456789[[#This Row],[Repère]],Tableau1[#All],10,FALSE))</f>
        <v/>
      </c>
      <c r="K68" s="13" t="str">
        <f>IF(Tableau13456789[[#This Row],[Repère]]="","",VLOOKUP(Tableau13456789[[#This Row],[Repère]],Tableau1[#All],11,FALSE))</f>
        <v/>
      </c>
      <c r="L68" s="14" t="str">
        <f>IF(Tableau13456789[[#This Row],[Repère]]="","",VLOOKUP(Tableau13456789[[#This Row],[Repère]],Tableau1[#All],12,FALSE))</f>
        <v/>
      </c>
    </row>
    <row r="69" spans="1:12" x14ac:dyDescent="0.3">
      <c r="A69" s="18"/>
      <c r="B69" s="19"/>
      <c r="C69" s="13" t="str">
        <f>IF(Tableau13456789[[#This Row],[Repère]]="","",VLOOKUP(Tableau13456789[[#This Row],[Repère]],Tableau1[#All],3,FALSE))</f>
        <v/>
      </c>
      <c r="D69" s="13" t="str">
        <f>IF(Tableau13456789[[#This Row],[Repère]]="","",VLOOKUP(Tableau13456789[[#This Row],[Repère]],Tableau1[#All],4,FALSE))</f>
        <v/>
      </c>
      <c r="E69" s="13" t="str">
        <f>IF(Tableau13456789[[#This Row],[Repère]]="","",VLOOKUP(Tableau13456789[[#This Row],[Repère]],Tableau1[#All],5,FALSE))</f>
        <v/>
      </c>
      <c r="F69" s="13" t="str">
        <f>IF(Tableau13456789[[#This Row],[Repère]]="","",VLOOKUP(Tableau13456789[[#This Row],[Repère]],Tableau1[#All],6,FALSE))</f>
        <v/>
      </c>
      <c r="G69" s="13" t="str">
        <f>IF(Tableau13456789[[#This Row],[Repère]]="","",VLOOKUP(Tableau13456789[[#This Row],[Repère]],Tableau1[#All],7,FALSE))</f>
        <v/>
      </c>
      <c r="H69" s="13" t="str">
        <f>IF(Tableau13456789[[#This Row],[Repère]]="","",VLOOKUP(Tableau13456789[[#This Row],[Repère]],Tableau1[#All],8,FALSE))</f>
        <v/>
      </c>
      <c r="I69" s="13" t="str">
        <f>IF(Tableau13456789[[#This Row],[Repère]]="","",VLOOKUP(Tableau13456789[[#This Row],[Repère]],Tableau1[#All],9,FALSE))</f>
        <v/>
      </c>
      <c r="J69" s="13" t="str">
        <f>IF(Tableau13456789[[#This Row],[Repère]]="","",VLOOKUP(Tableau13456789[[#This Row],[Repère]],Tableau1[#All],10,FALSE))</f>
        <v/>
      </c>
      <c r="K69" s="13" t="str">
        <f>IF(Tableau13456789[[#This Row],[Repère]]="","",VLOOKUP(Tableau13456789[[#This Row],[Repère]],Tableau1[#All],11,FALSE))</f>
        <v/>
      </c>
      <c r="L69" s="14" t="str">
        <f>IF(Tableau13456789[[#This Row],[Repère]]="","",VLOOKUP(Tableau13456789[[#This Row],[Repère]],Tableau1[#All],12,FALSE))</f>
        <v/>
      </c>
    </row>
    <row r="70" spans="1:12" x14ac:dyDescent="0.3">
      <c r="A70" s="18"/>
      <c r="B70" s="19"/>
      <c r="C70" s="13" t="str">
        <f>IF(Tableau13456789[[#This Row],[Repère]]="","",VLOOKUP(Tableau13456789[[#This Row],[Repère]],Tableau1[#All],3,FALSE))</f>
        <v/>
      </c>
      <c r="D70" s="13" t="str">
        <f>IF(Tableau13456789[[#This Row],[Repère]]="","",VLOOKUP(Tableau13456789[[#This Row],[Repère]],Tableau1[#All],4,FALSE))</f>
        <v/>
      </c>
      <c r="E70" s="13" t="str">
        <f>IF(Tableau13456789[[#This Row],[Repère]]="","",VLOOKUP(Tableau13456789[[#This Row],[Repère]],Tableau1[#All],5,FALSE))</f>
        <v/>
      </c>
      <c r="F70" s="13" t="str">
        <f>IF(Tableau13456789[[#This Row],[Repère]]="","",VLOOKUP(Tableau13456789[[#This Row],[Repère]],Tableau1[#All],6,FALSE))</f>
        <v/>
      </c>
      <c r="G70" s="13" t="str">
        <f>IF(Tableau13456789[[#This Row],[Repère]]="","",VLOOKUP(Tableau13456789[[#This Row],[Repère]],Tableau1[#All],7,FALSE))</f>
        <v/>
      </c>
      <c r="H70" s="13" t="str">
        <f>IF(Tableau13456789[[#This Row],[Repère]]="","",VLOOKUP(Tableau13456789[[#This Row],[Repère]],Tableau1[#All],8,FALSE))</f>
        <v/>
      </c>
      <c r="I70" s="13" t="str">
        <f>IF(Tableau13456789[[#This Row],[Repère]]="","",VLOOKUP(Tableau13456789[[#This Row],[Repère]],Tableau1[#All],9,FALSE))</f>
        <v/>
      </c>
      <c r="J70" s="13" t="str">
        <f>IF(Tableau13456789[[#This Row],[Repère]]="","",VLOOKUP(Tableau13456789[[#This Row],[Repère]],Tableau1[#All],10,FALSE))</f>
        <v/>
      </c>
      <c r="K70" s="13" t="str">
        <f>IF(Tableau13456789[[#This Row],[Repère]]="","",VLOOKUP(Tableau13456789[[#This Row],[Repère]],Tableau1[#All],11,FALSE))</f>
        <v/>
      </c>
      <c r="L70" s="14" t="str">
        <f>IF(Tableau13456789[[#This Row],[Repère]]="","",VLOOKUP(Tableau13456789[[#This Row],[Repère]],Tableau1[#All],12,FALSE))</f>
        <v/>
      </c>
    </row>
    <row r="71" spans="1:12" x14ac:dyDescent="0.3">
      <c r="A71" s="18"/>
      <c r="B71" s="19"/>
      <c r="C71" s="13" t="str">
        <f>IF(Tableau13456789[[#This Row],[Repère]]="","",VLOOKUP(Tableau13456789[[#This Row],[Repère]],Tableau1[#All],3,FALSE))</f>
        <v/>
      </c>
      <c r="D71" s="13" t="str">
        <f>IF(Tableau13456789[[#This Row],[Repère]]="","",VLOOKUP(Tableau13456789[[#This Row],[Repère]],Tableau1[#All],4,FALSE))</f>
        <v/>
      </c>
      <c r="E71" s="13" t="str">
        <f>IF(Tableau13456789[[#This Row],[Repère]]="","",VLOOKUP(Tableau13456789[[#This Row],[Repère]],Tableau1[#All],5,FALSE))</f>
        <v/>
      </c>
      <c r="F71" s="13" t="str">
        <f>IF(Tableau13456789[[#This Row],[Repère]]="","",VLOOKUP(Tableau13456789[[#This Row],[Repère]],Tableau1[#All],6,FALSE))</f>
        <v/>
      </c>
      <c r="G71" s="13" t="str">
        <f>IF(Tableau13456789[[#This Row],[Repère]]="","",VLOOKUP(Tableau13456789[[#This Row],[Repère]],Tableau1[#All],7,FALSE))</f>
        <v/>
      </c>
      <c r="H71" s="13" t="str">
        <f>IF(Tableau13456789[[#This Row],[Repère]]="","",VLOOKUP(Tableau13456789[[#This Row],[Repère]],Tableau1[#All],8,FALSE))</f>
        <v/>
      </c>
      <c r="I71" s="13" t="str">
        <f>IF(Tableau13456789[[#This Row],[Repère]]="","",VLOOKUP(Tableau13456789[[#This Row],[Repère]],Tableau1[#All],9,FALSE))</f>
        <v/>
      </c>
      <c r="J71" s="13" t="str">
        <f>IF(Tableau13456789[[#This Row],[Repère]]="","",VLOOKUP(Tableau13456789[[#This Row],[Repère]],Tableau1[#All],10,FALSE))</f>
        <v/>
      </c>
      <c r="K71" s="13" t="str">
        <f>IF(Tableau13456789[[#This Row],[Repère]]="","",VLOOKUP(Tableau13456789[[#This Row],[Repère]],Tableau1[#All],11,FALSE))</f>
        <v/>
      </c>
      <c r="L71" s="14" t="str">
        <f>IF(Tableau13456789[[#This Row],[Repère]]="","",VLOOKUP(Tableau13456789[[#This Row],[Repère]],Tableau1[#All],12,FALSE))</f>
        <v/>
      </c>
    </row>
    <row r="72" spans="1:12" x14ac:dyDescent="0.3">
      <c r="A72" s="18"/>
      <c r="B72" s="19"/>
      <c r="C72" s="13" t="str">
        <f>IF(Tableau13456789[[#This Row],[Repère]]="","",VLOOKUP(Tableau13456789[[#This Row],[Repère]],Tableau1[#All],3,FALSE))</f>
        <v/>
      </c>
      <c r="D72" s="13" t="str">
        <f>IF(Tableau13456789[[#This Row],[Repère]]="","",VLOOKUP(Tableau13456789[[#This Row],[Repère]],Tableau1[#All],4,FALSE))</f>
        <v/>
      </c>
      <c r="E72" s="13" t="str">
        <f>IF(Tableau13456789[[#This Row],[Repère]]="","",VLOOKUP(Tableau13456789[[#This Row],[Repère]],Tableau1[#All],5,FALSE))</f>
        <v/>
      </c>
      <c r="F72" s="13" t="str">
        <f>IF(Tableau13456789[[#This Row],[Repère]]="","",VLOOKUP(Tableau13456789[[#This Row],[Repère]],Tableau1[#All],6,FALSE))</f>
        <v/>
      </c>
      <c r="G72" s="13" t="str">
        <f>IF(Tableau13456789[[#This Row],[Repère]]="","",VLOOKUP(Tableau13456789[[#This Row],[Repère]],Tableau1[#All],7,FALSE))</f>
        <v/>
      </c>
      <c r="H72" s="13" t="str">
        <f>IF(Tableau13456789[[#This Row],[Repère]]="","",VLOOKUP(Tableau13456789[[#This Row],[Repère]],Tableau1[#All],8,FALSE))</f>
        <v/>
      </c>
      <c r="I72" s="13" t="str">
        <f>IF(Tableau13456789[[#This Row],[Repère]]="","",VLOOKUP(Tableau13456789[[#This Row],[Repère]],Tableau1[#All],9,FALSE))</f>
        <v/>
      </c>
      <c r="J72" s="13" t="str">
        <f>IF(Tableau13456789[[#This Row],[Repère]]="","",VLOOKUP(Tableau13456789[[#This Row],[Repère]],Tableau1[#All],10,FALSE))</f>
        <v/>
      </c>
      <c r="K72" s="13" t="str">
        <f>IF(Tableau13456789[[#This Row],[Repère]]="","",VLOOKUP(Tableau13456789[[#This Row],[Repère]],Tableau1[#All],11,FALSE))</f>
        <v/>
      </c>
      <c r="L72" s="14" t="str">
        <f>IF(Tableau13456789[[#This Row],[Repère]]="","",VLOOKUP(Tableau13456789[[#This Row],[Repère]],Tableau1[#All],12,FALSE))</f>
        <v/>
      </c>
    </row>
    <row r="73" spans="1:12" x14ac:dyDescent="0.3">
      <c r="A73" s="18"/>
      <c r="B73" s="19"/>
      <c r="C73" s="13" t="str">
        <f>IF(Tableau13456789[[#This Row],[Repère]]="","",VLOOKUP(Tableau13456789[[#This Row],[Repère]],Tableau1[#All],3,FALSE))</f>
        <v/>
      </c>
      <c r="D73" s="13" t="str">
        <f>IF(Tableau13456789[[#This Row],[Repère]]="","",VLOOKUP(Tableau13456789[[#This Row],[Repère]],Tableau1[#All],4,FALSE))</f>
        <v/>
      </c>
      <c r="E73" s="13" t="str">
        <f>IF(Tableau13456789[[#This Row],[Repère]]="","",VLOOKUP(Tableau13456789[[#This Row],[Repère]],Tableau1[#All],5,FALSE))</f>
        <v/>
      </c>
      <c r="F73" s="13" t="str">
        <f>IF(Tableau13456789[[#This Row],[Repère]]="","",VLOOKUP(Tableau13456789[[#This Row],[Repère]],Tableau1[#All],6,FALSE))</f>
        <v/>
      </c>
      <c r="G73" s="13" t="str">
        <f>IF(Tableau13456789[[#This Row],[Repère]]="","",VLOOKUP(Tableau13456789[[#This Row],[Repère]],Tableau1[#All],7,FALSE))</f>
        <v/>
      </c>
      <c r="H73" s="13" t="str">
        <f>IF(Tableau13456789[[#This Row],[Repère]]="","",VLOOKUP(Tableau13456789[[#This Row],[Repère]],Tableau1[#All],8,FALSE))</f>
        <v/>
      </c>
      <c r="I73" s="13" t="str">
        <f>IF(Tableau13456789[[#This Row],[Repère]]="","",VLOOKUP(Tableau13456789[[#This Row],[Repère]],Tableau1[#All],9,FALSE))</f>
        <v/>
      </c>
      <c r="J73" s="13" t="str">
        <f>IF(Tableau13456789[[#This Row],[Repère]]="","",VLOOKUP(Tableau13456789[[#This Row],[Repère]],Tableau1[#All],10,FALSE))</f>
        <v/>
      </c>
      <c r="K73" s="13" t="str">
        <f>IF(Tableau13456789[[#This Row],[Repère]]="","",VLOOKUP(Tableau13456789[[#This Row],[Repère]],Tableau1[#All],11,FALSE))</f>
        <v/>
      </c>
      <c r="L73" s="14" t="str">
        <f>IF(Tableau13456789[[#This Row],[Repère]]="","",VLOOKUP(Tableau13456789[[#This Row],[Repère]],Tableau1[#All],12,FALSE))</f>
        <v/>
      </c>
    </row>
    <row r="74" spans="1:12" x14ac:dyDescent="0.3">
      <c r="A74" s="18"/>
      <c r="B74" s="19"/>
      <c r="C74" s="13" t="str">
        <f>IF(Tableau13456789[[#This Row],[Repère]]="","",VLOOKUP(Tableau13456789[[#This Row],[Repère]],Tableau1[#All],3,FALSE))</f>
        <v/>
      </c>
      <c r="D74" s="13" t="str">
        <f>IF(Tableau13456789[[#This Row],[Repère]]="","",VLOOKUP(Tableau13456789[[#This Row],[Repère]],Tableau1[#All],4,FALSE))</f>
        <v/>
      </c>
      <c r="E74" s="13" t="str">
        <f>IF(Tableau13456789[[#This Row],[Repère]]="","",VLOOKUP(Tableau13456789[[#This Row],[Repère]],Tableau1[#All],5,FALSE))</f>
        <v/>
      </c>
      <c r="F74" s="13" t="str">
        <f>IF(Tableau13456789[[#This Row],[Repère]]="","",VLOOKUP(Tableau13456789[[#This Row],[Repère]],Tableau1[#All],6,FALSE))</f>
        <v/>
      </c>
      <c r="G74" s="13" t="str">
        <f>IF(Tableau13456789[[#This Row],[Repère]]="","",VLOOKUP(Tableau13456789[[#This Row],[Repère]],Tableau1[#All],7,FALSE))</f>
        <v/>
      </c>
      <c r="H74" s="13" t="str">
        <f>IF(Tableau13456789[[#This Row],[Repère]]="","",VLOOKUP(Tableau13456789[[#This Row],[Repère]],Tableau1[#All],8,FALSE))</f>
        <v/>
      </c>
      <c r="I74" s="13" t="str">
        <f>IF(Tableau13456789[[#This Row],[Repère]]="","",VLOOKUP(Tableau13456789[[#This Row],[Repère]],Tableau1[#All],9,FALSE))</f>
        <v/>
      </c>
      <c r="J74" s="13" t="str">
        <f>IF(Tableau13456789[[#This Row],[Repère]]="","",VLOOKUP(Tableau13456789[[#This Row],[Repère]],Tableau1[#All],10,FALSE))</f>
        <v/>
      </c>
      <c r="K74" s="13" t="str">
        <f>IF(Tableau13456789[[#This Row],[Repère]]="","",VLOOKUP(Tableau13456789[[#This Row],[Repère]],Tableau1[#All],11,FALSE))</f>
        <v/>
      </c>
      <c r="L74" s="14" t="str">
        <f>IF(Tableau13456789[[#This Row],[Repère]]="","",VLOOKUP(Tableau13456789[[#This Row],[Repère]],Tableau1[#All],12,FALSE))</f>
        <v/>
      </c>
    </row>
    <row r="75" spans="1:12" x14ac:dyDescent="0.3">
      <c r="A75" s="18"/>
      <c r="B75" s="19"/>
      <c r="C75" s="13" t="str">
        <f>IF(Tableau13456789[[#This Row],[Repère]]="","",VLOOKUP(Tableau13456789[[#This Row],[Repère]],Tableau1[#All],3,FALSE))</f>
        <v/>
      </c>
      <c r="D75" s="13" t="str">
        <f>IF(Tableau13456789[[#This Row],[Repère]]="","",VLOOKUP(Tableau13456789[[#This Row],[Repère]],Tableau1[#All],4,FALSE))</f>
        <v/>
      </c>
      <c r="E75" s="13" t="str">
        <f>IF(Tableau13456789[[#This Row],[Repère]]="","",VLOOKUP(Tableau13456789[[#This Row],[Repère]],Tableau1[#All],5,FALSE))</f>
        <v/>
      </c>
      <c r="F75" s="13" t="str">
        <f>IF(Tableau13456789[[#This Row],[Repère]]="","",VLOOKUP(Tableau13456789[[#This Row],[Repère]],Tableau1[#All],6,FALSE))</f>
        <v/>
      </c>
      <c r="G75" s="13" t="str">
        <f>IF(Tableau13456789[[#This Row],[Repère]]="","",VLOOKUP(Tableau13456789[[#This Row],[Repère]],Tableau1[#All],7,FALSE))</f>
        <v/>
      </c>
      <c r="H75" s="13" t="str">
        <f>IF(Tableau13456789[[#This Row],[Repère]]="","",VLOOKUP(Tableau13456789[[#This Row],[Repère]],Tableau1[#All],8,FALSE))</f>
        <v/>
      </c>
      <c r="I75" s="13" t="str">
        <f>IF(Tableau13456789[[#This Row],[Repère]]="","",VLOOKUP(Tableau13456789[[#This Row],[Repère]],Tableau1[#All],9,FALSE))</f>
        <v/>
      </c>
      <c r="J75" s="13" t="str">
        <f>IF(Tableau13456789[[#This Row],[Repère]]="","",VLOOKUP(Tableau13456789[[#This Row],[Repère]],Tableau1[#All],10,FALSE))</f>
        <v/>
      </c>
      <c r="K75" s="13" t="str">
        <f>IF(Tableau13456789[[#This Row],[Repère]]="","",VLOOKUP(Tableau13456789[[#This Row],[Repère]],Tableau1[#All],11,FALSE))</f>
        <v/>
      </c>
      <c r="L75" s="14" t="str">
        <f>IF(Tableau13456789[[#This Row],[Repère]]="","",VLOOKUP(Tableau13456789[[#This Row],[Repère]],Tableau1[#All],12,FALSE))</f>
        <v/>
      </c>
    </row>
    <row r="76" spans="1:12" x14ac:dyDescent="0.3">
      <c r="A76" s="18"/>
      <c r="B76" s="19"/>
      <c r="C76" s="13" t="str">
        <f>IF(Tableau13456789[[#This Row],[Repère]]="","",VLOOKUP(Tableau13456789[[#This Row],[Repère]],Tableau1[#All],3,FALSE))</f>
        <v/>
      </c>
      <c r="D76" s="13" t="str">
        <f>IF(Tableau13456789[[#This Row],[Repère]]="","",VLOOKUP(Tableau13456789[[#This Row],[Repère]],Tableau1[#All],4,FALSE))</f>
        <v/>
      </c>
      <c r="E76" s="13" t="str">
        <f>IF(Tableau13456789[[#This Row],[Repère]]="","",VLOOKUP(Tableau13456789[[#This Row],[Repère]],Tableau1[#All],5,FALSE))</f>
        <v/>
      </c>
      <c r="F76" s="13" t="str">
        <f>IF(Tableau13456789[[#This Row],[Repère]]="","",VLOOKUP(Tableau13456789[[#This Row],[Repère]],Tableau1[#All],6,FALSE))</f>
        <v/>
      </c>
      <c r="G76" s="13" t="str">
        <f>IF(Tableau13456789[[#This Row],[Repère]]="","",VLOOKUP(Tableau13456789[[#This Row],[Repère]],Tableau1[#All],7,FALSE))</f>
        <v/>
      </c>
      <c r="H76" s="13" t="str">
        <f>IF(Tableau13456789[[#This Row],[Repère]]="","",VLOOKUP(Tableau13456789[[#This Row],[Repère]],Tableau1[#All],8,FALSE))</f>
        <v/>
      </c>
      <c r="I76" s="13" t="str">
        <f>IF(Tableau13456789[[#This Row],[Repère]]="","",VLOOKUP(Tableau13456789[[#This Row],[Repère]],Tableau1[#All],9,FALSE))</f>
        <v/>
      </c>
      <c r="J76" s="13" t="str">
        <f>IF(Tableau13456789[[#This Row],[Repère]]="","",VLOOKUP(Tableau13456789[[#This Row],[Repère]],Tableau1[#All],10,FALSE))</f>
        <v/>
      </c>
      <c r="K76" s="13" t="str">
        <f>IF(Tableau13456789[[#This Row],[Repère]]="","",VLOOKUP(Tableau13456789[[#This Row],[Repère]],Tableau1[#All],11,FALSE))</f>
        <v/>
      </c>
      <c r="L76" s="14" t="str">
        <f>IF(Tableau13456789[[#This Row],[Repère]]="","",VLOOKUP(Tableau13456789[[#This Row],[Repère]],Tableau1[#All],12,FALSE))</f>
        <v/>
      </c>
    </row>
    <row r="77" spans="1:12" x14ac:dyDescent="0.3">
      <c r="A77" s="18"/>
      <c r="B77" s="19"/>
      <c r="C77" s="13" t="str">
        <f>IF(Tableau13456789[[#This Row],[Repère]]="","",VLOOKUP(Tableau13456789[[#This Row],[Repère]],Tableau1[#All],3,FALSE))</f>
        <v/>
      </c>
      <c r="D77" s="13" t="str">
        <f>IF(Tableau13456789[[#This Row],[Repère]]="","",VLOOKUP(Tableau13456789[[#This Row],[Repère]],Tableau1[#All],4,FALSE))</f>
        <v/>
      </c>
      <c r="E77" s="13" t="str">
        <f>IF(Tableau13456789[[#This Row],[Repère]]="","",VLOOKUP(Tableau13456789[[#This Row],[Repère]],Tableau1[#All],5,FALSE))</f>
        <v/>
      </c>
      <c r="F77" s="13" t="str">
        <f>IF(Tableau13456789[[#This Row],[Repère]]="","",VLOOKUP(Tableau13456789[[#This Row],[Repère]],Tableau1[#All],6,FALSE))</f>
        <v/>
      </c>
      <c r="G77" s="13" t="str">
        <f>IF(Tableau13456789[[#This Row],[Repère]]="","",VLOOKUP(Tableau13456789[[#This Row],[Repère]],Tableau1[#All],7,FALSE))</f>
        <v/>
      </c>
      <c r="H77" s="13" t="str">
        <f>IF(Tableau13456789[[#This Row],[Repère]]="","",VLOOKUP(Tableau13456789[[#This Row],[Repère]],Tableau1[#All],8,FALSE))</f>
        <v/>
      </c>
      <c r="I77" s="13" t="str">
        <f>IF(Tableau13456789[[#This Row],[Repère]]="","",VLOOKUP(Tableau13456789[[#This Row],[Repère]],Tableau1[#All],9,FALSE))</f>
        <v/>
      </c>
      <c r="J77" s="13" t="str">
        <f>IF(Tableau13456789[[#This Row],[Repère]]="","",VLOOKUP(Tableau13456789[[#This Row],[Repère]],Tableau1[#All],10,FALSE))</f>
        <v/>
      </c>
      <c r="K77" s="13" t="str">
        <f>IF(Tableau13456789[[#This Row],[Repère]]="","",VLOOKUP(Tableau13456789[[#This Row],[Repère]],Tableau1[#All],11,FALSE))</f>
        <v/>
      </c>
      <c r="L77" s="14" t="str">
        <f>IF(Tableau13456789[[#This Row],[Repère]]="","",VLOOKUP(Tableau13456789[[#This Row],[Repère]],Tableau1[#All],12,FALSE))</f>
        <v/>
      </c>
    </row>
    <row r="78" spans="1:12" x14ac:dyDescent="0.3">
      <c r="A78" s="18"/>
      <c r="B78" s="19"/>
      <c r="C78" s="13" t="str">
        <f>IF(Tableau13456789[[#This Row],[Repère]]="","",VLOOKUP(Tableau13456789[[#This Row],[Repère]],Tableau1[#All],3,FALSE))</f>
        <v/>
      </c>
      <c r="D78" s="13" t="str">
        <f>IF(Tableau13456789[[#This Row],[Repère]]="","",VLOOKUP(Tableau13456789[[#This Row],[Repère]],Tableau1[#All],4,FALSE))</f>
        <v/>
      </c>
      <c r="E78" s="13" t="str">
        <f>IF(Tableau13456789[[#This Row],[Repère]]="","",VLOOKUP(Tableau13456789[[#This Row],[Repère]],Tableau1[#All],5,FALSE))</f>
        <v/>
      </c>
      <c r="F78" s="13" t="str">
        <f>IF(Tableau13456789[[#This Row],[Repère]]="","",VLOOKUP(Tableau13456789[[#This Row],[Repère]],Tableau1[#All],6,FALSE))</f>
        <v/>
      </c>
      <c r="G78" s="13" t="str">
        <f>IF(Tableau13456789[[#This Row],[Repère]]="","",VLOOKUP(Tableau13456789[[#This Row],[Repère]],Tableau1[#All],7,FALSE))</f>
        <v/>
      </c>
      <c r="H78" s="13" t="str">
        <f>IF(Tableau13456789[[#This Row],[Repère]]="","",VLOOKUP(Tableau13456789[[#This Row],[Repère]],Tableau1[#All],8,FALSE))</f>
        <v/>
      </c>
      <c r="I78" s="13" t="str">
        <f>IF(Tableau13456789[[#This Row],[Repère]]="","",VLOOKUP(Tableau13456789[[#This Row],[Repère]],Tableau1[#All],9,FALSE))</f>
        <v/>
      </c>
      <c r="J78" s="13" t="str">
        <f>IF(Tableau13456789[[#This Row],[Repère]]="","",VLOOKUP(Tableau13456789[[#This Row],[Repère]],Tableau1[#All],10,FALSE))</f>
        <v/>
      </c>
      <c r="K78" s="13" t="str">
        <f>IF(Tableau13456789[[#This Row],[Repère]]="","",VLOOKUP(Tableau13456789[[#This Row],[Repère]],Tableau1[#All],11,FALSE))</f>
        <v/>
      </c>
      <c r="L78" s="14" t="str">
        <f>IF(Tableau13456789[[#This Row],[Repère]]="","",VLOOKUP(Tableau13456789[[#This Row],[Repère]],Tableau1[#All],12,FALSE))</f>
        <v/>
      </c>
    </row>
    <row r="79" spans="1:12" x14ac:dyDescent="0.3">
      <c r="A79" s="18"/>
      <c r="B79" s="19"/>
      <c r="C79" s="13" t="str">
        <f>IF(Tableau13456789[[#This Row],[Repère]]="","",VLOOKUP(Tableau13456789[[#This Row],[Repère]],Tableau1[#All],3,FALSE))</f>
        <v/>
      </c>
      <c r="D79" s="13" t="str">
        <f>IF(Tableau13456789[[#This Row],[Repère]]="","",VLOOKUP(Tableau13456789[[#This Row],[Repère]],Tableau1[#All],4,FALSE))</f>
        <v/>
      </c>
      <c r="E79" s="13" t="str">
        <f>IF(Tableau13456789[[#This Row],[Repère]]="","",VLOOKUP(Tableau13456789[[#This Row],[Repère]],Tableau1[#All],5,FALSE))</f>
        <v/>
      </c>
      <c r="F79" s="13" t="str">
        <f>IF(Tableau13456789[[#This Row],[Repère]]="","",VLOOKUP(Tableau13456789[[#This Row],[Repère]],Tableau1[#All],6,FALSE))</f>
        <v/>
      </c>
      <c r="G79" s="13" t="str">
        <f>IF(Tableau13456789[[#This Row],[Repère]]="","",VLOOKUP(Tableau13456789[[#This Row],[Repère]],Tableau1[#All],7,FALSE))</f>
        <v/>
      </c>
      <c r="H79" s="13" t="str">
        <f>IF(Tableau13456789[[#This Row],[Repère]]="","",VLOOKUP(Tableau13456789[[#This Row],[Repère]],Tableau1[#All],8,FALSE))</f>
        <v/>
      </c>
      <c r="I79" s="13" t="str">
        <f>IF(Tableau13456789[[#This Row],[Repère]]="","",VLOOKUP(Tableau13456789[[#This Row],[Repère]],Tableau1[#All],9,FALSE))</f>
        <v/>
      </c>
      <c r="J79" s="13" t="str">
        <f>IF(Tableau13456789[[#This Row],[Repère]]="","",VLOOKUP(Tableau13456789[[#This Row],[Repère]],Tableau1[#All],10,FALSE))</f>
        <v/>
      </c>
      <c r="K79" s="13" t="str">
        <f>IF(Tableau13456789[[#This Row],[Repère]]="","",VLOOKUP(Tableau13456789[[#This Row],[Repère]],Tableau1[#All],11,FALSE))</f>
        <v/>
      </c>
      <c r="L79" s="14" t="str">
        <f>IF(Tableau13456789[[#This Row],[Repère]]="","",VLOOKUP(Tableau13456789[[#This Row],[Repère]],Tableau1[#All],12,FALSE))</f>
        <v/>
      </c>
    </row>
    <row r="80" spans="1:12" x14ac:dyDescent="0.3">
      <c r="A80" s="18"/>
      <c r="B80" s="19"/>
      <c r="C80" s="13" t="str">
        <f>IF(Tableau13456789[[#This Row],[Repère]]="","",VLOOKUP(Tableau13456789[[#This Row],[Repère]],Tableau1[#All],3,FALSE))</f>
        <v/>
      </c>
      <c r="D80" s="13" t="str">
        <f>IF(Tableau13456789[[#This Row],[Repère]]="","",VLOOKUP(Tableau13456789[[#This Row],[Repère]],Tableau1[#All],4,FALSE))</f>
        <v/>
      </c>
      <c r="E80" s="13" t="str">
        <f>IF(Tableau13456789[[#This Row],[Repère]]="","",VLOOKUP(Tableau13456789[[#This Row],[Repère]],Tableau1[#All],5,FALSE))</f>
        <v/>
      </c>
      <c r="F80" s="13" t="str">
        <f>IF(Tableau13456789[[#This Row],[Repère]]="","",VLOOKUP(Tableau13456789[[#This Row],[Repère]],Tableau1[#All],6,FALSE))</f>
        <v/>
      </c>
      <c r="G80" s="13" t="str">
        <f>IF(Tableau13456789[[#This Row],[Repère]]="","",VLOOKUP(Tableau13456789[[#This Row],[Repère]],Tableau1[#All],7,FALSE))</f>
        <v/>
      </c>
      <c r="H80" s="13" t="str">
        <f>IF(Tableau13456789[[#This Row],[Repère]]="","",VLOOKUP(Tableau13456789[[#This Row],[Repère]],Tableau1[#All],8,FALSE))</f>
        <v/>
      </c>
      <c r="I80" s="13" t="str">
        <f>IF(Tableau13456789[[#This Row],[Repère]]="","",VLOOKUP(Tableau13456789[[#This Row],[Repère]],Tableau1[#All],9,FALSE))</f>
        <v/>
      </c>
      <c r="J80" s="13" t="str">
        <f>IF(Tableau13456789[[#This Row],[Repère]]="","",VLOOKUP(Tableau13456789[[#This Row],[Repère]],Tableau1[#All],10,FALSE))</f>
        <v/>
      </c>
      <c r="K80" s="13" t="str">
        <f>IF(Tableau13456789[[#This Row],[Repère]]="","",VLOOKUP(Tableau13456789[[#This Row],[Repère]],Tableau1[#All],11,FALSE))</f>
        <v/>
      </c>
      <c r="L80" s="14" t="str">
        <f>IF(Tableau13456789[[#This Row],[Repère]]="","",VLOOKUP(Tableau13456789[[#This Row],[Repère]],Tableau1[#All],12,FALSE))</f>
        <v/>
      </c>
    </row>
    <row r="81" spans="1:12" x14ac:dyDescent="0.3">
      <c r="A81" s="18"/>
      <c r="B81" s="19"/>
      <c r="C81" s="13" t="str">
        <f>IF(Tableau13456789[[#This Row],[Repère]]="","",VLOOKUP(Tableau13456789[[#This Row],[Repère]],Tableau1[#All],3,FALSE))</f>
        <v/>
      </c>
      <c r="D81" s="13" t="str">
        <f>IF(Tableau13456789[[#This Row],[Repère]]="","",VLOOKUP(Tableau13456789[[#This Row],[Repère]],Tableau1[#All],4,FALSE))</f>
        <v/>
      </c>
      <c r="E81" s="13" t="str">
        <f>IF(Tableau13456789[[#This Row],[Repère]]="","",VLOOKUP(Tableau13456789[[#This Row],[Repère]],Tableau1[#All],5,FALSE))</f>
        <v/>
      </c>
      <c r="F81" s="13" t="str">
        <f>IF(Tableau13456789[[#This Row],[Repère]]="","",VLOOKUP(Tableau13456789[[#This Row],[Repère]],Tableau1[#All],6,FALSE))</f>
        <v/>
      </c>
      <c r="G81" s="13" t="str">
        <f>IF(Tableau13456789[[#This Row],[Repère]]="","",VLOOKUP(Tableau13456789[[#This Row],[Repère]],Tableau1[#All],7,FALSE))</f>
        <v/>
      </c>
      <c r="H81" s="13" t="str">
        <f>IF(Tableau13456789[[#This Row],[Repère]]="","",VLOOKUP(Tableau13456789[[#This Row],[Repère]],Tableau1[#All],8,FALSE))</f>
        <v/>
      </c>
      <c r="I81" s="13" t="str">
        <f>IF(Tableau13456789[[#This Row],[Repère]]="","",VLOOKUP(Tableau13456789[[#This Row],[Repère]],Tableau1[#All],9,FALSE))</f>
        <v/>
      </c>
      <c r="J81" s="13" t="str">
        <f>IF(Tableau13456789[[#This Row],[Repère]]="","",VLOOKUP(Tableau13456789[[#This Row],[Repère]],Tableau1[#All],10,FALSE))</f>
        <v/>
      </c>
      <c r="K81" s="13" t="str">
        <f>IF(Tableau13456789[[#This Row],[Repère]]="","",VLOOKUP(Tableau13456789[[#This Row],[Repère]],Tableau1[#All],11,FALSE))</f>
        <v/>
      </c>
      <c r="L81" s="14" t="str">
        <f>IF(Tableau13456789[[#This Row],[Repère]]="","",VLOOKUP(Tableau13456789[[#This Row],[Repère]],Tableau1[#All],12,FALSE))</f>
        <v/>
      </c>
    </row>
    <row r="82" spans="1:12" x14ac:dyDescent="0.3">
      <c r="A82" s="18"/>
      <c r="B82" s="19"/>
      <c r="C82" s="13" t="str">
        <f>IF(Tableau13456789[[#This Row],[Repère]]="","",VLOOKUP(Tableau13456789[[#This Row],[Repère]],Tableau1[#All],3,FALSE))</f>
        <v/>
      </c>
      <c r="D82" s="13" t="str">
        <f>IF(Tableau13456789[[#This Row],[Repère]]="","",VLOOKUP(Tableau13456789[[#This Row],[Repère]],Tableau1[#All],4,FALSE))</f>
        <v/>
      </c>
      <c r="E82" s="13" t="str">
        <f>IF(Tableau13456789[[#This Row],[Repère]]="","",VLOOKUP(Tableau13456789[[#This Row],[Repère]],Tableau1[#All],5,FALSE))</f>
        <v/>
      </c>
      <c r="F82" s="13" t="str">
        <f>IF(Tableau13456789[[#This Row],[Repère]]="","",VLOOKUP(Tableau13456789[[#This Row],[Repère]],Tableau1[#All],6,FALSE))</f>
        <v/>
      </c>
      <c r="G82" s="13" t="str">
        <f>IF(Tableau13456789[[#This Row],[Repère]]="","",VLOOKUP(Tableau13456789[[#This Row],[Repère]],Tableau1[#All],7,FALSE))</f>
        <v/>
      </c>
      <c r="H82" s="13" t="str">
        <f>IF(Tableau13456789[[#This Row],[Repère]]="","",VLOOKUP(Tableau13456789[[#This Row],[Repère]],Tableau1[#All],8,FALSE))</f>
        <v/>
      </c>
      <c r="I82" s="13" t="str">
        <f>IF(Tableau13456789[[#This Row],[Repère]]="","",VLOOKUP(Tableau13456789[[#This Row],[Repère]],Tableau1[#All],9,FALSE))</f>
        <v/>
      </c>
      <c r="J82" s="13" t="str">
        <f>IF(Tableau13456789[[#This Row],[Repère]]="","",VLOOKUP(Tableau13456789[[#This Row],[Repère]],Tableau1[#All],10,FALSE))</f>
        <v/>
      </c>
      <c r="K82" s="13" t="str">
        <f>IF(Tableau13456789[[#This Row],[Repère]]="","",VLOOKUP(Tableau13456789[[#This Row],[Repère]],Tableau1[#All],11,FALSE))</f>
        <v/>
      </c>
      <c r="L82" s="14" t="str">
        <f>IF(Tableau13456789[[#This Row],[Repère]]="","",VLOOKUP(Tableau13456789[[#This Row],[Repère]],Tableau1[#All],12,FALSE))</f>
        <v/>
      </c>
    </row>
    <row r="83" spans="1:12" x14ac:dyDescent="0.3">
      <c r="A83" s="18"/>
      <c r="B83" s="19"/>
      <c r="C83" s="13" t="str">
        <f>IF(Tableau13456789[[#This Row],[Repère]]="","",VLOOKUP(Tableau13456789[[#This Row],[Repère]],Tableau1[#All],3,FALSE))</f>
        <v/>
      </c>
      <c r="D83" s="13" t="str">
        <f>IF(Tableau13456789[[#This Row],[Repère]]="","",VLOOKUP(Tableau13456789[[#This Row],[Repère]],Tableau1[#All],4,FALSE))</f>
        <v/>
      </c>
      <c r="E83" s="13" t="str">
        <f>IF(Tableau13456789[[#This Row],[Repère]]="","",VLOOKUP(Tableau13456789[[#This Row],[Repère]],Tableau1[#All],5,FALSE))</f>
        <v/>
      </c>
      <c r="F83" s="13" t="str">
        <f>IF(Tableau13456789[[#This Row],[Repère]]="","",VLOOKUP(Tableau13456789[[#This Row],[Repère]],Tableau1[#All],6,FALSE))</f>
        <v/>
      </c>
      <c r="G83" s="13" t="str">
        <f>IF(Tableau13456789[[#This Row],[Repère]]="","",VLOOKUP(Tableau13456789[[#This Row],[Repère]],Tableau1[#All],7,FALSE))</f>
        <v/>
      </c>
      <c r="H83" s="13" t="str">
        <f>IF(Tableau13456789[[#This Row],[Repère]]="","",VLOOKUP(Tableau13456789[[#This Row],[Repère]],Tableau1[#All],8,FALSE))</f>
        <v/>
      </c>
      <c r="I83" s="13" t="str">
        <f>IF(Tableau13456789[[#This Row],[Repère]]="","",VLOOKUP(Tableau13456789[[#This Row],[Repère]],Tableau1[#All],9,FALSE))</f>
        <v/>
      </c>
      <c r="J83" s="13" t="str">
        <f>IF(Tableau13456789[[#This Row],[Repère]]="","",VLOOKUP(Tableau13456789[[#This Row],[Repère]],Tableau1[#All],10,FALSE))</f>
        <v/>
      </c>
      <c r="K83" s="13" t="str">
        <f>IF(Tableau13456789[[#This Row],[Repère]]="","",VLOOKUP(Tableau13456789[[#This Row],[Repère]],Tableau1[#All],11,FALSE))</f>
        <v/>
      </c>
      <c r="L83" s="14" t="str">
        <f>IF(Tableau13456789[[#This Row],[Repère]]="","",VLOOKUP(Tableau13456789[[#This Row],[Repère]],Tableau1[#All],12,FALSE))</f>
        <v/>
      </c>
    </row>
    <row r="84" spans="1:12" x14ac:dyDescent="0.3">
      <c r="A84" s="18"/>
      <c r="B84" s="19"/>
      <c r="C84" s="13" t="str">
        <f>IF(Tableau13456789[[#This Row],[Repère]]="","",VLOOKUP(Tableau13456789[[#This Row],[Repère]],Tableau1[#All],3,FALSE))</f>
        <v/>
      </c>
      <c r="D84" s="13" t="str">
        <f>IF(Tableau13456789[[#This Row],[Repère]]="","",VLOOKUP(Tableau13456789[[#This Row],[Repère]],Tableau1[#All],4,FALSE))</f>
        <v/>
      </c>
      <c r="E84" s="13" t="str">
        <f>IF(Tableau13456789[[#This Row],[Repère]]="","",VLOOKUP(Tableau13456789[[#This Row],[Repère]],Tableau1[#All],5,FALSE))</f>
        <v/>
      </c>
      <c r="F84" s="13" t="str">
        <f>IF(Tableau13456789[[#This Row],[Repère]]="","",VLOOKUP(Tableau13456789[[#This Row],[Repère]],Tableau1[#All],6,FALSE))</f>
        <v/>
      </c>
      <c r="G84" s="13" t="str">
        <f>IF(Tableau13456789[[#This Row],[Repère]]="","",VLOOKUP(Tableau13456789[[#This Row],[Repère]],Tableau1[#All],7,FALSE))</f>
        <v/>
      </c>
      <c r="H84" s="13" t="str">
        <f>IF(Tableau13456789[[#This Row],[Repère]]="","",VLOOKUP(Tableau13456789[[#This Row],[Repère]],Tableau1[#All],8,FALSE))</f>
        <v/>
      </c>
      <c r="I84" s="13" t="str">
        <f>IF(Tableau13456789[[#This Row],[Repère]]="","",VLOOKUP(Tableau13456789[[#This Row],[Repère]],Tableau1[#All],9,FALSE))</f>
        <v/>
      </c>
      <c r="J84" s="13" t="str">
        <f>IF(Tableau13456789[[#This Row],[Repère]]="","",VLOOKUP(Tableau13456789[[#This Row],[Repère]],Tableau1[#All],10,FALSE))</f>
        <v/>
      </c>
      <c r="K84" s="13" t="str">
        <f>IF(Tableau13456789[[#This Row],[Repère]]="","",VLOOKUP(Tableau13456789[[#This Row],[Repère]],Tableau1[#All],11,FALSE))</f>
        <v/>
      </c>
      <c r="L84" s="14" t="str">
        <f>IF(Tableau13456789[[#This Row],[Repère]]="","",VLOOKUP(Tableau13456789[[#This Row],[Repère]],Tableau1[#All],12,FALSE))</f>
        <v/>
      </c>
    </row>
    <row r="85" spans="1:12" x14ac:dyDescent="0.3">
      <c r="A85" s="18"/>
      <c r="B85" s="19"/>
      <c r="C85" s="13" t="str">
        <f>IF(Tableau13456789[[#This Row],[Repère]]="","",VLOOKUP(Tableau13456789[[#This Row],[Repère]],Tableau1[#All],3,FALSE))</f>
        <v/>
      </c>
      <c r="D85" s="13" t="str">
        <f>IF(Tableau13456789[[#This Row],[Repère]]="","",VLOOKUP(Tableau13456789[[#This Row],[Repère]],Tableau1[#All],4,FALSE))</f>
        <v/>
      </c>
      <c r="E85" s="13" t="str">
        <f>IF(Tableau13456789[[#This Row],[Repère]]="","",VLOOKUP(Tableau13456789[[#This Row],[Repère]],Tableau1[#All],5,FALSE))</f>
        <v/>
      </c>
      <c r="F85" s="13" t="str">
        <f>IF(Tableau13456789[[#This Row],[Repère]]="","",VLOOKUP(Tableau13456789[[#This Row],[Repère]],Tableau1[#All],6,FALSE))</f>
        <v/>
      </c>
      <c r="G85" s="13" t="str">
        <f>IF(Tableau13456789[[#This Row],[Repère]]="","",VLOOKUP(Tableau13456789[[#This Row],[Repère]],Tableau1[#All],7,FALSE))</f>
        <v/>
      </c>
      <c r="H85" s="13" t="str">
        <f>IF(Tableau13456789[[#This Row],[Repère]]="","",VLOOKUP(Tableau13456789[[#This Row],[Repère]],Tableau1[#All],8,FALSE))</f>
        <v/>
      </c>
      <c r="I85" s="13" t="str">
        <f>IF(Tableau13456789[[#This Row],[Repère]]="","",VLOOKUP(Tableau13456789[[#This Row],[Repère]],Tableau1[#All],9,FALSE))</f>
        <v/>
      </c>
      <c r="J85" s="13" t="str">
        <f>IF(Tableau13456789[[#This Row],[Repère]]="","",VLOOKUP(Tableau13456789[[#This Row],[Repère]],Tableau1[#All],10,FALSE))</f>
        <v/>
      </c>
      <c r="K85" s="13" t="str">
        <f>IF(Tableau13456789[[#This Row],[Repère]]="","",VLOOKUP(Tableau13456789[[#This Row],[Repère]],Tableau1[#All],11,FALSE))</f>
        <v/>
      </c>
      <c r="L85" s="14" t="str">
        <f>IF(Tableau13456789[[#This Row],[Repère]]="","",VLOOKUP(Tableau13456789[[#This Row],[Repère]],Tableau1[#All],12,FALSE))</f>
        <v/>
      </c>
    </row>
    <row r="86" spans="1:12" x14ac:dyDescent="0.3">
      <c r="A86" s="18"/>
      <c r="B86" s="19"/>
      <c r="C86" s="13" t="str">
        <f>IF(Tableau13456789[[#This Row],[Repère]]="","",VLOOKUP(Tableau13456789[[#This Row],[Repère]],Tableau1[#All],3,FALSE))</f>
        <v/>
      </c>
      <c r="D86" s="13" t="str">
        <f>IF(Tableau13456789[[#This Row],[Repère]]="","",VLOOKUP(Tableau13456789[[#This Row],[Repère]],Tableau1[#All],4,FALSE))</f>
        <v/>
      </c>
      <c r="E86" s="13" t="str">
        <f>IF(Tableau13456789[[#This Row],[Repère]]="","",VLOOKUP(Tableau13456789[[#This Row],[Repère]],Tableau1[#All],5,FALSE))</f>
        <v/>
      </c>
      <c r="F86" s="13" t="str">
        <f>IF(Tableau13456789[[#This Row],[Repère]]="","",VLOOKUP(Tableau13456789[[#This Row],[Repère]],Tableau1[#All],6,FALSE))</f>
        <v/>
      </c>
      <c r="G86" s="13" t="str">
        <f>IF(Tableau13456789[[#This Row],[Repère]]="","",VLOOKUP(Tableau13456789[[#This Row],[Repère]],Tableau1[#All],7,FALSE))</f>
        <v/>
      </c>
      <c r="H86" s="13" t="str">
        <f>IF(Tableau13456789[[#This Row],[Repère]]="","",VLOOKUP(Tableau13456789[[#This Row],[Repère]],Tableau1[#All],8,FALSE))</f>
        <v/>
      </c>
      <c r="I86" s="13" t="str">
        <f>IF(Tableau13456789[[#This Row],[Repère]]="","",VLOOKUP(Tableau13456789[[#This Row],[Repère]],Tableau1[#All],9,FALSE))</f>
        <v/>
      </c>
      <c r="J86" s="13" t="str">
        <f>IF(Tableau13456789[[#This Row],[Repère]]="","",VLOOKUP(Tableau13456789[[#This Row],[Repère]],Tableau1[#All],10,FALSE))</f>
        <v/>
      </c>
      <c r="K86" s="13" t="str">
        <f>IF(Tableau13456789[[#This Row],[Repère]]="","",VLOOKUP(Tableau13456789[[#This Row],[Repère]],Tableau1[#All],11,FALSE))</f>
        <v/>
      </c>
      <c r="L86" s="14" t="str">
        <f>IF(Tableau13456789[[#This Row],[Repère]]="","",VLOOKUP(Tableau13456789[[#This Row],[Repère]],Tableau1[#All],12,FALSE))</f>
        <v/>
      </c>
    </row>
    <row r="87" spans="1:12" x14ac:dyDescent="0.3">
      <c r="A87" s="18"/>
      <c r="B87" s="19"/>
      <c r="C87" s="13" t="str">
        <f>IF(Tableau13456789[[#This Row],[Repère]]="","",VLOOKUP(Tableau13456789[[#This Row],[Repère]],Tableau1[#All],3,FALSE))</f>
        <v/>
      </c>
      <c r="D87" s="13" t="str">
        <f>IF(Tableau13456789[[#This Row],[Repère]]="","",VLOOKUP(Tableau13456789[[#This Row],[Repère]],Tableau1[#All],4,FALSE))</f>
        <v/>
      </c>
      <c r="E87" s="13" t="str">
        <f>IF(Tableau13456789[[#This Row],[Repère]]="","",VLOOKUP(Tableau13456789[[#This Row],[Repère]],Tableau1[#All],5,FALSE))</f>
        <v/>
      </c>
      <c r="F87" s="13" t="str">
        <f>IF(Tableau13456789[[#This Row],[Repère]]="","",VLOOKUP(Tableau13456789[[#This Row],[Repère]],Tableau1[#All],6,FALSE))</f>
        <v/>
      </c>
      <c r="G87" s="13" t="str">
        <f>IF(Tableau13456789[[#This Row],[Repère]]="","",VLOOKUP(Tableau13456789[[#This Row],[Repère]],Tableau1[#All],7,FALSE))</f>
        <v/>
      </c>
      <c r="H87" s="13" t="str">
        <f>IF(Tableau13456789[[#This Row],[Repère]]="","",VLOOKUP(Tableau13456789[[#This Row],[Repère]],Tableau1[#All],8,FALSE))</f>
        <v/>
      </c>
      <c r="I87" s="13" t="str">
        <f>IF(Tableau13456789[[#This Row],[Repère]]="","",VLOOKUP(Tableau13456789[[#This Row],[Repère]],Tableau1[#All],9,FALSE))</f>
        <v/>
      </c>
      <c r="J87" s="13" t="str">
        <f>IF(Tableau13456789[[#This Row],[Repère]]="","",VLOOKUP(Tableau13456789[[#This Row],[Repère]],Tableau1[#All],10,FALSE))</f>
        <v/>
      </c>
      <c r="K87" s="13" t="str">
        <f>IF(Tableau13456789[[#This Row],[Repère]]="","",VLOOKUP(Tableau13456789[[#This Row],[Repère]],Tableau1[#All],11,FALSE))</f>
        <v/>
      </c>
      <c r="L87" s="14" t="str">
        <f>IF(Tableau13456789[[#This Row],[Repère]]="","",VLOOKUP(Tableau13456789[[#This Row],[Repère]],Tableau1[#All],12,FALSE))</f>
        <v/>
      </c>
    </row>
    <row r="88" spans="1:12" x14ac:dyDescent="0.3">
      <c r="A88" s="18"/>
      <c r="B88" s="19"/>
      <c r="C88" s="13" t="str">
        <f>IF(Tableau13456789[[#This Row],[Repère]]="","",VLOOKUP(Tableau13456789[[#This Row],[Repère]],Tableau1[#All],3,FALSE))</f>
        <v/>
      </c>
      <c r="D88" s="13" t="str">
        <f>IF(Tableau13456789[[#This Row],[Repère]]="","",VLOOKUP(Tableau13456789[[#This Row],[Repère]],Tableau1[#All],4,FALSE))</f>
        <v/>
      </c>
      <c r="E88" s="13" t="str">
        <f>IF(Tableau13456789[[#This Row],[Repère]]="","",VLOOKUP(Tableau13456789[[#This Row],[Repère]],Tableau1[#All],5,FALSE))</f>
        <v/>
      </c>
      <c r="F88" s="13" t="str">
        <f>IF(Tableau13456789[[#This Row],[Repère]]="","",VLOOKUP(Tableau13456789[[#This Row],[Repère]],Tableau1[#All],6,FALSE))</f>
        <v/>
      </c>
      <c r="G88" s="13" t="str">
        <f>IF(Tableau13456789[[#This Row],[Repère]]="","",VLOOKUP(Tableau13456789[[#This Row],[Repère]],Tableau1[#All],7,FALSE))</f>
        <v/>
      </c>
      <c r="H88" s="13" t="str">
        <f>IF(Tableau13456789[[#This Row],[Repère]]="","",VLOOKUP(Tableau13456789[[#This Row],[Repère]],Tableau1[#All],8,FALSE))</f>
        <v/>
      </c>
      <c r="I88" s="13" t="str">
        <f>IF(Tableau13456789[[#This Row],[Repère]]="","",VLOOKUP(Tableau13456789[[#This Row],[Repère]],Tableau1[#All],9,FALSE))</f>
        <v/>
      </c>
      <c r="J88" s="13" t="str">
        <f>IF(Tableau13456789[[#This Row],[Repère]]="","",VLOOKUP(Tableau13456789[[#This Row],[Repère]],Tableau1[#All],10,FALSE))</f>
        <v/>
      </c>
      <c r="K88" s="13" t="str">
        <f>IF(Tableau13456789[[#This Row],[Repère]]="","",VLOOKUP(Tableau13456789[[#This Row],[Repère]],Tableau1[#All],11,FALSE))</f>
        <v/>
      </c>
      <c r="L88" s="14" t="str">
        <f>IF(Tableau13456789[[#This Row],[Repère]]="","",VLOOKUP(Tableau13456789[[#This Row],[Repère]],Tableau1[#All],12,FALSE))</f>
        <v/>
      </c>
    </row>
    <row r="89" spans="1:12" x14ac:dyDescent="0.3">
      <c r="A89" s="18"/>
      <c r="B89" s="19"/>
      <c r="C89" s="13" t="str">
        <f>IF(Tableau13456789[[#This Row],[Repère]]="","",VLOOKUP(Tableau13456789[[#This Row],[Repère]],Tableau1[#All],3,FALSE))</f>
        <v/>
      </c>
      <c r="D89" s="13" t="str">
        <f>IF(Tableau13456789[[#This Row],[Repère]]="","",VLOOKUP(Tableau13456789[[#This Row],[Repère]],Tableau1[#All],4,FALSE))</f>
        <v/>
      </c>
      <c r="E89" s="13" t="str">
        <f>IF(Tableau13456789[[#This Row],[Repère]]="","",VLOOKUP(Tableau13456789[[#This Row],[Repère]],Tableau1[#All],5,FALSE))</f>
        <v/>
      </c>
      <c r="F89" s="13" t="str">
        <f>IF(Tableau13456789[[#This Row],[Repère]]="","",VLOOKUP(Tableau13456789[[#This Row],[Repère]],Tableau1[#All],6,FALSE))</f>
        <v/>
      </c>
      <c r="G89" s="13" t="str">
        <f>IF(Tableau13456789[[#This Row],[Repère]]="","",VLOOKUP(Tableau13456789[[#This Row],[Repère]],Tableau1[#All],7,FALSE))</f>
        <v/>
      </c>
      <c r="H89" s="13" t="str">
        <f>IF(Tableau13456789[[#This Row],[Repère]]="","",VLOOKUP(Tableau13456789[[#This Row],[Repère]],Tableau1[#All],8,FALSE))</f>
        <v/>
      </c>
      <c r="I89" s="13" t="str">
        <f>IF(Tableau13456789[[#This Row],[Repère]]="","",VLOOKUP(Tableau13456789[[#This Row],[Repère]],Tableau1[#All],9,FALSE))</f>
        <v/>
      </c>
      <c r="J89" s="13" t="str">
        <f>IF(Tableau13456789[[#This Row],[Repère]]="","",VLOOKUP(Tableau13456789[[#This Row],[Repère]],Tableau1[#All],10,FALSE))</f>
        <v/>
      </c>
      <c r="K89" s="13" t="str">
        <f>IF(Tableau13456789[[#This Row],[Repère]]="","",VLOOKUP(Tableau13456789[[#This Row],[Repère]],Tableau1[#All],11,FALSE))</f>
        <v/>
      </c>
      <c r="L89" s="14" t="str">
        <f>IF(Tableau13456789[[#This Row],[Repère]]="","",VLOOKUP(Tableau13456789[[#This Row],[Repère]],Tableau1[#All],12,FALSE))</f>
        <v/>
      </c>
    </row>
    <row r="90" spans="1:12" x14ac:dyDescent="0.3">
      <c r="A90" s="18"/>
      <c r="B90" s="19"/>
      <c r="C90" s="13" t="str">
        <f>IF(Tableau13456789[[#This Row],[Repère]]="","",VLOOKUP(Tableau13456789[[#This Row],[Repère]],Tableau1[#All],3,FALSE))</f>
        <v/>
      </c>
      <c r="D90" s="13" t="str">
        <f>IF(Tableau13456789[[#This Row],[Repère]]="","",VLOOKUP(Tableau13456789[[#This Row],[Repère]],Tableau1[#All],4,FALSE))</f>
        <v/>
      </c>
      <c r="E90" s="13" t="str">
        <f>IF(Tableau13456789[[#This Row],[Repère]]="","",VLOOKUP(Tableau13456789[[#This Row],[Repère]],Tableau1[#All],5,FALSE))</f>
        <v/>
      </c>
      <c r="F90" s="13" t="str">
        <f>IF(Tableau13456789[[#This Row],[Repère]]="","",VLOOKUP(Tableau13456789[[#This Row],[Repère]],Tableau1[#All],6,FALSE))</f>
        <v/>
      </c>
      <c r="G90" s="13" t="str">
        <f>IF(Tableau13456789[[#This Row],[Repère]]="","",VLOOKUP(Tableau13456789[[#This Row],[Repère]],Tableau1[#All],7,FALSE))</f>
        <v/>
      </c>
      <c r="H90" s="13" t="str">
        <f>IF(Tableau13456789[[#This Row],[Repère]]="","",VLOOKUP(Tableau13456789[[#This Row],[Repère]],Tableau1[#All],8,FALSE))</f>
        <v/>
      </c>
      <c r="I90" s="13" t="str">
        <f>IF(Tableau13456789[[#This Row],[Repère]]="","",VLOOKUP(Tableau13456789[[#This Row],[Repère]],Tableau1[#All],9,FALSE))</f>
        <v/>
      </c>
      <c r="J90" s="13" t="str">
        <f>IF(Tableau13456789[[#This Row],[Repère]]="","",VLOOKUP(Tableau13456789[[#This Row],[Repère]],Tableau1[#All],10,FALSE))</f>
        <v/>
      </c>
      <c r="K90" s="13" t="str">
        <f>IF(Tableau13456789[[#This Row],[Repère]]="","",VLOOKUP(Tableau13456789[[#This Row],[Repère]],Tableau1[#All],11,FALSE))</f>
        <v/>
      </c>
      <c r="L90" s="14" t="str">
        <f>IF(Tableau13456789[[#This Row],[Repère]]="","",VLOOKUP(Tableau13456789[[#This Row],[Repère]],Tableau1[#All],12,FALSE))</f>
        <v/>
      </c>
    </row>
    <row r="91" spans="1:12" x14ac:dyDescent="0.3">
      <c r="A91" s="18"/>
      <c r="B91" s="19"/>
      <c r="C91" s="13" t="str">
        <f>IF(Tableau13456789[[#This Row],[Repère]]="","",VLOOKUP(Tableau13456789[[#This Row],[Repère]],Tableau1[#All],3,FALSE))</f>
        <v/>
      </c>
      <c r="D91" s="13" t="str">
        <f>IF(Tableau13456789[[#This Row],[Repère]]="","",VLOOKUP(Tableau13456789[[#This Row],[Repère]],Tableau1[#All],4,FALSE))</f>
        <v/>
      </c>
      <c r="E91" s="13" t="str">
        <f>IF(Tableau13456789[[#This Row],[Repère]]="","",VLOOKUP(Tableau13456789[[#This Row],[Repère]],Tableau1[#All],5,FALSE))</f>
        <v/>
      </c>
      <c r="F91" s="13" t="str">
        <f>IF(Tableau13456789[[#This Row],[Repère]]="","",VLOOKUP(Tableau13456789[[#This Row],[Repère]],Tableau1[#All],6,FALSE))</f>
        <v/>
      </c>
      <c r="G91" s="13" t="str">
        <f>IF(Tableau13456789[[#This Row],[Repère]]="","",VLOOKUP(Tableau13456789[[#This Row],[Repère]],Tableau1[#All],7,FALSE))</f>
        <v/>
      </c>
      <c r="H91" s="13" t="str">
        <f>IF(Tableau13456789[[#This Row],[Repère]]="","",VLOOKUP(Tableau13456789[[#This Row],[Repère]],Tableau1[#All],8,FALSE))</f>
        <v/>
      </c>
      <c r="I91" s="13" t="str">
        <f>IF(Tableau13456789[[#This Row],[Repère]]="","",VLOOKUP(Tableau13456789[[#This Row],[Repère]],Tableau1[#All],9,FALSE))</f>
        <v/>
      </c>
      <c r="J91" s="13" t="str">
        <f>IF(Tableau13456789[[#This Row],[Repère]]="","",VLOOKUP(Tableau13456789[[#This Row],[Repère]],Tableau1[#All],10,FALSE))</f>
        <v/>
      </c>
      <c r="K91" s="13" t="str">
        <f>IF(Tableau13456789[[#This Row],[Repère]]="","",VLOOKUP(Tableau13456789[[#This Row],[Repère]],Tableau1[#All],11,FALSE))</f>
        <v/>
      </c>
      <c r="L91" s="14" t="str">
        <f>IF(Tableau13456789[[#This Row],[Repère]]="","",VLOOKUP(Tableau13456789[[#This Row],[Repère]],Tableau1[#All],12,FALSE))</f>
        <v/>
      </c>
    </row>
    <row r="92" spans="1:12" x14ac:dyDescent="0.3">
      <c r="A92" s="18"/>
      <c r="B92" s="19"/>
      <c r="C92" s="13" t="str">
        <f>IF(Tableau13456789[[#This Row],[Repère]]="","",VLOOKUP(Tableau13456789[[#This Row],[Repère]],Tableau1[#All],3,FALSE))</f>
        <v/>
      </c>
      <c r="D92" s="13" t="str">
        <f>IF(Tableau13456789[[#This Row],[Repère]]="","",VLOOKUP(Tableau13456789[[#This Row],[Repère]],Tableau1[#All],4,FALSE))</f>
        <v/>
      </c>
      <c r="E92" s="13" t="str">
        <f>IF(Tableau13456789[[#This Row],[Repère]]="","",VLOOKUP(Tableau13456789[[#This Row],[Repère]],Tableau1[#All],5,FALSE))</f>
        <v/>
      </c>
      <c r="F92" s="13" t="str">
        <f>IF(Tableau13456789[[#This Row],[Repère]]="","",VLOOKUP(Tableau13456789[[#This Row],[Repère]],Tableau1[#All],6,FALSE))</f>
        <v/>
      </c>
      <c r="G92" s="13" t="str">
        <f>IF(Tableau13456789[[#This Row],[Repère]]="","",VLOOKUP(Tableau13456789[[#This Row],[Repère]],Tableau1[#All],7,FALSE))</f>
        <v/>
      </c>
      <c r="H92" s="13" t="str">
        <f>IF(Tableau13456789[[#This Row],[Repère]]="","",VLOOKUP(Tableau13456789[[#This Row],[Repère]],Tableau1[#All],8,FALSE))</f>
        <v/>
      </c>
      <c r="I92" s="13" t="str">
        <f>IF(Tableau13456789[[#This Row],[Repère]]="","",VLOOKUP(Tableau13456789[[#This Row],[Repère]],Tableau1[#All],9,FALSE))</f>
        <v/>
      </c>
      <c r="J92" s="13" t="str">
        <f>IF(Tableau13456789[[#This Row],[Repère]]="","",VLOOKUP(Tableau13456789[[#This Row],[Repère]],Tableau1[#All],10,FALSE))</f>
        <v/>
      </c>
      <c r="K92" s="13" t="str">
        <f>IF(Tableau13456789[[#This Row],[Repère]]="","",VLOOKUP(Tableau13456789[[#This Row],[Repère]],Tableau1[#All],11,FALSE))</f>
        <v/>
      </c>
      <c r="L92" s="14" t="str">
        <f>IF(Tableau13456789[[#This Row],[Repère]]="","",VLOOKUP(Tableau13456789[[#This Row],[Repère]],Tableau1[#All],12,FALSE))</f>
        <v/>
      </c>
    </row>
    <row r="93" spans="1:12" x14ac:dyDescent="0.3">
      <c r="A93" s="18"/>
      <c r="B93" s="19"/>
      <c r="C93" s="13" t="str">
        <f>IF(Tableau13456789[[#This Row],[Repère]]="","",VLOOKUP(Tableau13456789[[#This Row],[Repère]],Tableau1[#All],3,FALSE))</f>
        <v/>
      </c>
      <c r="D93" s="13" t="str">
        <f>IF(Tableau13456789[[#This Row],[Repère]]="","",VLOOKUP(Tableau13456789[[#This Row],[Repère]],Tableau1[#All],4,FALSE))</f>
        <v/>
      </c>
      <c r="E93" s="13" t="str">
        <f>IF(Tableau13456789[[#This Row],[Repère]]="","",VLOOKUP(Tableau13456789[[#This Row],[Repère]],Tableau1[#All],5,FALSE))</f>
        <v/>
      </c>
      <c r="F93" s="13" t="str">
        <f>IF(Tableau13456789[[#This Row],[Repère]]="","",VLOOKUP(Tableau13456789[[#This Row],[Repère]],Tableau1[#All],6,FALSE))</f>
        <v/>
      </c>
      <c r="G93" s="13" t="str">
        <f>IF(Tableau13456789[[#This Row],[Repère]]="","",VLOOKUP(Tableau13456789[[#This Row],[Repère]],Tableau1[#All],7,FALSE))</f>
        <v/>
      </c>
      <c r="H93" s="13" t="str">
        <f>IF(Tableau13456789[[#This Row],[Repère]]="","",VLOOKUP(Tableau13456789[[#This Row],[Repère]],Tableau1[#All],8,FALSE))</f>
        <v/>
      </c>
      <c r="I93" s="13" t="str">
        <f>IF(Tableau13456789[[#This Row],[Repère]]="","",VLOOKUP(Tableau13456789[[#This Row],[Repère]],Tableau1[#All],9,FALSE))</f>
        <v/>
      </c>
      <c r="J93" s="13" t="str">
        <f>IF(Tableau13456789[[#This Row],[Repère]]="","",VLOOKUP(Tableau13456789[[#This Row],[Repère]],Tableau1[#All],10,FALSE))</f>
        <v/>
      </c>
      <c r="K93" s="13" t="str">
        <f>IF(Tableau13456789[[#This Row],[Repère]]="","",VLOOKUP(Tableau13456789[[#This Row],[Repère]],Tableau1[#All],11,FALSE))</f>
        <v/>
      </c>
      <c r="L93" s="14" t="str">
        <f>IF(Tableau13456789[[#This Row],[Repère]]="","",VLOOKUP(Tableau13456789[[#This Row],[Repère]],Tableau1[#All],12,FALSE))</f>
        <v/>
      </c>
    </row>
    <row r="94" spans="1:12" x14ac:dyDescent="0.3">
      <c r="A94" s="18"/>
      <c r="B94" s="19"/>
      <c r="C94" s="13" t="str">
        <f>IF(Tableau13456789[[#This Row],[Repère]]="","",VLOOKUP(Tableau13456789[[#This Row],[Repère]],Tableau1[#All],3,FALSE))</f>
        <v/>
      </c>
      <c r="D94" s="13" t="str">
        <f>IF(Tableau13456789[[#This Row],[Repère]]="","",VLOOKUP(Tableau13456789[[#This Row],[Repère]],Tableau1[#All],4,FALSE))</f>
        <v/>
      </c>
      <c r="E94" s="13" t="str">
        <f>IF(Tableau13456789[[#This Row],[Repère]]="","",VLOOKUP(Tableau13456789[[#This Row],[Repère]],Tableau1[#All],5,FALSE))</f>
        <v/>
      </c>
      <c r="F94" s="13" t="str">
        <f>IF(Tableau13456789[[#This Row],[Repère]]="","",VLOOKUP(Tableau13456789[[#This Row],[Repère]],Tableau1[#All],6,FALSE))</f>
        <v/>
      </c>
      <c r="G94" s="13" t="str">
        <f>IF(Tableau13456789[[#This Row],[Repère]]="","",VLOOKUP(Tableau13456789[[#This Row],[Repère]],Tableau1[#All],7,FALSE))</f>
        <v/>
      </c>
      <c r="H94" s="13" t="str">
        <f>IF(Tableau13456789[[#This Row],[Repère]]="","",VLOOKUP(Tableau13456789[[#This Row],[Repère]],Tableau1[#All],8,FALSE))</f>
        <v/>
      </c>
      <c r="I94" s="13" t="str">
        <f>IF(Tableau13456789[[#This Row],[Repère]]="","",VLOOKUP(Tableau13456789[[#This Row],[Repère]],Tableau1[#All],9,FALSE))</f>
        <v/>
      </c>
      <c r="J94" s="13" t="str">
        <f>IF(Tableau13456789[[#This Row],[Repère]]="","",VLOOKUP(Tableau13456789[[#This Row],[Repère]],Tableau1[#All],10,FALSE))</f>
        <v/>
      </c>
      <c r="K94" s="13" t="str">
        <f>IF(Tableau13456789[[#This Row],[Repère]]="","",VLOOKUP(Tableau13456789[[#This Row],[Repère]],Tableau1[#All],11,FALSE))</f>
        <v/>
      </c>
      <c r="L94" s="14" t="str">
        <f>IF(Tableau13456789[[#This Row],[Repère]]="","",VLOOKUP(Tableau13456789[[#This Row],[Repère]],Tableau1[#All],12,FALSE))</f>
        <v/>
      </c>
    </row>
    <row r="95" spans="1:12" x14ac:dyDescent="0.3">
      <c r="A95" s="18"/>
      <c r="B95" s="19"/>
      <c r="C95" s="13" t="str">
        <f>IF(Tableau13456789[[#This Row],[Repère]]="","",VLOOKUP(Tableau13456789[[#This Row],[Repère]],Tableau1[#All],3,FALSE))</f>
        <v/>
      </c>
      <c r="D95" s="13" t="str">
        <f>IF(Tableau13456789[[#This Row],[Repère]]="","",VLOOKUP(Tableau13456789[[#This Row],[Repère]],Tableau1[#All],4,FALSE))</f>
        <v/>
      </c>
      <c r="E95" s="13" t="str">
        <f>IF(Tableau13456789[[#This Row],[Repère]]="","",VLOOKUP(Tableau13456789[[#This Row],[Repère]],Tableau1[#All],5,FALSE))</f>
        <v/>
      </c>
      <c r="F95" s="13" t="str">
        <f>IF(Tableau13456789[[#This Row],[Repère]]="","",VLOOKUP(Tableau13456789[[#This Row],[Repère]],Tableau1[#All],6,FALSE))</f>
        <v/>
      </c>
      <c r="G95" s="13" t="str">
        <f>IF(Tableau13456789[[#This Row],[Repère]]="","",VLOOKUP(Tableau13456789[[#This Row],[Repère]],Tableau1[#All],7,FALSE))</f>
        <v/>
      </c>
      <c r="H95" s="13" t="str">
        <f>IF(Tableau13456789[[#This Row],[Repère]]="","",VLOOKUP(Tableau13456789[[#This Row],[Repère]],Tableau1[#All],8,FALSE))</f>
        <v/>
      </c>
      <c r="I95" s="13" t="str">
        <f>IF(Tableau13456789[[#This Row],[Repère]]="","",VLOOKUP(Tableau13456789[[#This Row],[Repère]],Tableau1[#All],9,FALSE))</f>
        <v/>
      </c>
      <c r="J95" s="13" t="str">
        <f>IF(Tableau13456789[[#This Row],[Repère]]="","",VLOOKUP(Tableau13456789[[#This Row],[Repère]],Tableau1[#All],10,FALSE))</f>
        <v/>
      </c>
      <c r="K95" s="13" t="str">
        <f>IF(Tableau13456789[[#This Row],[Repère]]="","",VLOOKUP(Tableau13456789[[#This Row],[Repère]],Tableau1[#All],11,FALSE))</f>
        <v/>
      </c>
      <c r="L95" s="14" t="str">
        <f>IF(Tableau13456789[[#This Row],[Repère]]="","",VLOOKUP(Tableau13456789[[#This Row],[Repère]],Tableau1[#All],12,FALSE))</f>
        <v/>
      </c>
    </row>
    <row r="96" spans="1:12" x14ac:dyDescent="0.3">
      <c r="A96" s="18"/>
      <c r="B96" s="19"/>
      <c r="C96" s="13" t="str">
        <f>IF(Tableau13456789[[#This Row],[Repère]]="","",VLOOKUP(Tableau13456789[[#This Row],[Repère]],Tableau1[#All],3,FALSE))</f>
        <v/>
      </c>
      <c r="D96" s="13" t="str">
        <f>IF(Tableau13456789[[#This Row],[Repère]]="","",VLOOKUP(Tableau13456789[[#This Row],[Repère]],Tableau1[#All],4,FALSE))</f>
        <v/>
      </c>
      <c r="E96" s="13" t="str">
        <f>IF(Tableau13456789[[#This Row],[Repère]]="","",VLOOKUP(Tableau13456789[[#This Row],[Repère]],Tableau1[#All],5,FALSE))</f>
        <v/>
      </c>
      <c r="F96" s="13" t="str">
        <f>IF(Tableau13456789[[#This Row],[Repère]]="","",VLOOKUP(Tableau13456789[[#This Row],[Repère]],Tableau1[#All],6,FALSE))</f>
        <v/>
      </c>
      <c r="G96" s="13" t="str">
        <f>IF(Tableau13456789[[#This Row],[Repère]]="","",VLOOKUP(Tableau13456789[[#This Row],[Repère]],Tableau1[#All],7,FALSE))</f>
        <v/>
      </c>
      <c r="H96" s="13" t="str">
        <f>IF(Tableau13456789[[#This Row],[Repère]]="","",VLOOKUP(Tableau13456789[[#This Row],[Repère]],Tableau1[#All],8,FALSE))</f>
        <v/>
      </c>
      <c r="I96" s="13" t="str">
        <f>IF(Tableau13456789[[#This Row],[Repère]]="","",VLOOKUP(Tableau13456789[[#This Row],[Repère]],Tableau1[#All],9,FALSE))</f>
        <v/>
      </c>
      <c r="J96" s="13" t="str">
        <f>IF(Tableau13456789[[#This Row],[Repère]]="","",VLOOKUP(Tableau13456789[[#This Row],[Repère]],Tableau1[#All],10,FALSE))</f>
        <v/>
      </c>
      <c r="K96" s="13" t="str">
        <f>IF(Tableau13456789[[#This Row],[Repère]]="","",VLOOKUP(Tableau13456789[[#This Row],[Repère]],Tableau1[#All],11,FALSE))</f>
        <v/>
      </c>
      <c r="L96" s="14" t="str">
        <f>IF(Tableau13456789[[#This Row],[Repère]]="","",VLOOKUP(Tableau13456789[[#This Row],[Repère]],Tableau1[#All],12,FALSE))</f>
        <v/>
      </c>
    </row>
    <row r="97" spans="1:12" x14ac:dyDescent="0.3">
      <c r="A97" s="18"/>
      <c r="B97" s="19"/>
      <c r="C97" s="13" t="str">
        <f>IF(Tableau13456789[[#This Row],[Repère]]="","",VLOOKUP(Tableau13456789[[#This Row],[Repère]],Tableau1[#All],3,FALSE))</f>
        <v/>
      </c>
      <c r="D97" s="13" t="str">
        <f>IF(Tableau13456789[[#This Row],[Repère]]="","",VLOOKUP(Tableau13456789[[#This Row],[Repère]],Tableau1[#All],4,FALSE))</f>
        <v/>
      </c>
      <c r="E97" s="13" t="str">
        <f>IF(Tableau13456789[[#This Row],[Repère]]="","",VLOOKUP(Tableau13456789[[#This Row],[Repère]],Tableau1[#All],5,FALSE))</f>
        <v/>
      </c>
      <c r="F97" s="13" t="str">
        <f>IF(Tableau13456789[[#This Row],[Repère]]="","",VLOOKUP(Tableau13456789[[#This Row],[Repère]],Tableau1[#All],6,FALSE))</f>
        <v/>
      </c>
      <c r="G97" s="13" t="str">
        <f>IF(Tableau13456789[[#This Row],[Repère]]="","",VLOOKUP(Tableau13456789[[#This Row],[Repère]],Tableau1[#All],7,FALSE))</f>
        <v/>
      </c>
      <c r="H97" s="13" t="str">
        <f>IF(Tableau13456789[[#This Row],[Repère]]="","",VLOOKUP(Tableau13456789[[#This Row],[Repère]],Tableau1[#All],8,FALSE))</f>
        <v/>
      </c>
      <c r="I97" s="13" t="str">
        <f>IF(Tableau13456789[[#This Row],[Repère]]="","",VLOOKUP(Tableau13456789[[#This Row],[Repère]],Tableau1[#All],9,FALSE))</f>
        <v/>
      </c>
      <c r="J97" s="13" t="str">
        <f>IF(Tableau13456789[[#This Row],[Repère]]="","",VLOOKUP(Tableau13456789[[#This Row],[Repère]],Tableau1[#All],10,FALSE))</f>
        <v/>
      </c>
      <c r="K97" s="13" t="str">
        <f>IF(Tableau13456789[[#This Row],[Repère]]="","",VLOOKUP(Tableau13456789[[#This Row],[Repère]],Tableau1[#All],11,FALSE))</f>
        <v/>
      </c>
      <c r="L97" s="14" t="str">
        <f>IF(Tableau13456789[[#This Row],[Repère]]="","",VLOOKUP(Tableau13456789[[#This Row],[Repère]],Tableau1[#All],12,FALSE))</f>
        <v/>
      </c>
    </row>
    <row r="98" spans="1:12" x14ac:dyDescent="0.3">
      <c r="A98" s="18"/>
      <c r="B98" s="19"/>
      <c r="C98" s="13" t="str">
        <f>IF(Tableau13456789[[#This Row],[Repère]]="","",VLOOKUP(Tableau13456789[[#This Row],[Repère]],Tableau1[#All],3,FALSE))</f>
        <v/>
      </c>
      <c r="D98" s="13" t="str">
        <f>IF(Tableau13456789[[#This Row],[Repère]]="","",VLOOKUP(Tableau13456789[[#This Row],[Repère]],Tableau1[#All],4,FALSE))</f>
        <v/>
      </c>
      <c r="E98" s="13" t="str">
        <f>IF(Tableau13456789[[#This Row],[Repère]]="","",VLOOKUP(Tableau13456789[[#This Row],[Repère]],Tableau1[#All],5,FALSE))</f>
        <v/>
      </c>
      <c r="F98" s="13" t="str">
        <f>IF(Tableau13456789[[#This Row],[Repère]]="","",VLOOKUP(Tableau13456789[[#This Row],[Repère]],Tableau1[#All],6,FALSE))</f>
        <v/>
      </c>
      <c r="G98" s="13" t="str">
        <f>IF(Tableau13456789[[#This Row],[Repère]]="","",VLOOKUP(Tableau13456789[[#This Row],[Repère]],Tableau1[#All],7,FALSE))</f>
        <v/>
      </c>
      <c r="H98" s="13" t="str">
        <f>IF(Tableau13456789[[#This Row],[Repère]]="","",VLOOKUP(Tableau13456789[[#This Row],[Repère]],Tableau1[#All],8,FALSE))</f>
        <v/>
      </c>
      <c r="I98" s="13" t="str">
        <f>IF(Tableau13456789[[#This Row],[Repère]]="","",VLOOKUP(Tableau13456789[[#This Row],[Repère]],Tableau1[#All],9,FALSE))</f>
        <v/>
      </c>
      <c r="J98" s="13" t="str">
        <f>IF(Tableau13456789[[#This Row],[Repère]]="","",VLOOKUP(Tableau13456789[[#This Row],[Repère]],Tableau1[#All],10,FALSE))</f>
        <v/>
      </c>
      <c r="K98" s="13" t="str">
        <f>IF(Tableau13456789[[#This Row],[Repère]]="","",VLOOKUP(Tableau13456789[[#This Row],[Repère]],Tableau1[#All],11,FALSE))</f>
        <v/>
      </c>
      <c r="L98" s="14" t="str">
        <f>IF(Tableau13456789[[#This Row],[Repère]]="","",VLOOKUP(Tableau13456789[[#This Row],[Repère]],Tableau1[#All],12,FALSE))</f>
        <v/>
      </c>
    </row>
    <row r="99" spans="1:12" x14ac:dyDescent="0.3">
      <c r="A99" s="18"/>
      <c r="B99" s="19"/>
      <c r="C99" s="13" t="str">
        <f>IF(Tableau13456789[[#This Row],[Repère]]="","",VLOOKUP(Tableau13456789[[#This Row],[Repère]],Tableau1[#All],3,FALSE))</f>
        <v/>
      </c>
      <c r="D99" s="13" t="str">
        <f>IF(Tableau13456789[[#This Row],[Repère]]="","",VLOOKUP(Tableau13456789[[#This Row],[Repère]],Tableau1[#All],4,FALSE))</f>
        <v/>
      </c>
      <c r="E99" s="13" t="str">
        <f>IF(Tableau13456789[[#This Row],[Repère]]="","",VLOOKUP(Tableau13456789[[#This Row],[Repère]],Tableau1[#All],5,FALSE))</f>
        <v/>
      </c>
      <c r="F99" s="13" t="str">
        <f>IF(Tableau13456789[[#This Row],[Repère]]="","",VLOOKUP(Tableau13456789[[#This Row],[Repère]],Tableau1[#All],6,FALSE))</f>
        <v/>
      </c>
      <c r="G99" s="13" t="str">
        <f>IF(Tableau13456789[[#This Row],[Repère]]="","",VLOOKUP(Tableau13456789[[#This Row],[Repère]],Tableau1[#All],7,FALSE))</f>
        <v/>
      </c>
      <c r="H99" s="13" t="str">
        <f>IF(Tableau13456789[[#This Row],[Repère]]="","",VLOOKUP(Tableau13456789[[#This Row],[Repère]],Tableau1[#All],8,FALSE))</f>
        <v/>
      </c>
      <c r="I99" s="13" t="str">
        <f>IF(Tableau13456789[[#This Row],[Repère]]="","",VLOOKUP(Tableau13456789[[#This Row],[Repère]],Tableau1[#All],9,FALSE))</f>
        <v/>
      </c>
      <c r="J99" s="13" t="str">
        <f>IF(Tableau13456789[[#This Row],[Repère]]="","",VLOOKUP(Tableau13456789[[#This Row],[Repère]],Tableau1[#All],10,FALSE))</f>
        <v/>
      </c>
      <c r="K99" s="13" t="str">
        <f>IF(Tableau13456789[[#This Row],[Repère]]="","",VLOOKUP(Tableau13456789[[#This Row],[Repère]],Tableau1[#All],11,FALSE))</f>
        <v/>
      </c>
      <c r="L99" s="14" t="str">
        <f>IF(Tableau13456789[[#This Row],[Repère]]="","",VLOOKUP(Tableau13456789[[#This Row],[Repère]],Tableau1[#All],12,FALSE))</f>
        <v/>
      </c>
    </row>
    <row r="100" spans="1:12" x14ac:dyDescent="0.3">
      <c r="A100" s="18"/>
      <c r="B100" s="19"/>
      <c r="C100" s="13" t="str">
        <f>IF(Tableau13456789[[#This Row],[Repère]]="","",VLOOKUP(Tableau13456789[[#This Row],[Repère]],Tableau1[#All],3,FALSE))</f>
        <v/>
      </c>
      <c r="D100" s="13" t="str">
        <f>IF(Tableau13456789[[#This Row],[Repère]]="","",VLOOKUP(Tableau13456789[[#This Row],[Repère]],Tableau1[#All],4,FALSE))</f>
        <v/>
      </c>
      <c r="E100" s="13" t="str">
        <f>IF(Tableau13456789[[#This Row],[Repère]]="","",VLOOKUP(Tableau13456789[[#This Row],[Repère]],Tableau1[#All],5,FALSE))</f>
        <v/>
      </c>
      <c r="F100" s="13" t="str">
        <f>IF(Tableau13456789[[#This Row],[Repère]]="","",VLOOKUP(Tableau13456789[[#This Row],[Repère]],Tableau1[#All],6,FALSE))</f>
        <v/>
      </c>
      <c r="G100" s="13" t="str">
        <f>IF(Tableau13456789[[#This Row],[Repère]]="","",VLOOKUP(Tableau13456789[[#This Row],[Repère]],Tableau1[#All],7,FALSE))</f>
        <v/>
      </c>
      <c r="H100" s="13" t="str">
        <f>IF(Tableau13456789[[#This Row],[Repère]]="","",VLOOKUP(Tableau13456789[[#This Row],[Repère]],Tableau1[#All],8,FALSE))</f>
        <v/>
      </c>
      <c r="I100" s="13" t="str">
        <f>IF(Tableau13456789[[#This Row],[Repère]]="","",VLOOKUP(Tableau13456789[[#This Row],[Repère]],Tableau1[#All],9,FALSE))</f>
        <v/>
      </c>
      <c r="J100" s="13" t="str">
        <f>IF(Tableau13456789[[#This Row],[Repère]]="","",VLOOKUP(Tableau13456789[[#This Row],[Repère]],Tableau1[#All],10,FALSE))</f>
        <v/>
      </c>
      <c r="K100" s="13" t="str">
        <f>IF(Tableau13456789[[#This Row],[Repère]]="","",VLOOKUP(Tableau13456789[[#This Row],[Repère]],Tableau1[#All],11,FALSE))</f>
        <v/>
      </c>
      <c r="L100" s="14" t="str">
        <f>IF(Tableau13456789[[#This Row],[Repère]]="","",VLOOKUP(Tableau13456789[[#This Row],[Repère]],Tableau1[#All],12,FALSE))</f>
        <v/>
      </c>
    </row>
    <row r="101" spans="1:12" x14ac:dyDescent="0.3">
      <c r="A101" s="18"/>
      <c r="B101" s="19"/>
      <c r="C101" s="13" t="str">
        <f>IF(Tableau13456789[[#This Row],[Repère]]="","",VLOOKUP(Tableau13456789[[#This Row],[Repère]],Tableau1[#All],3,FALSE))</f>
        <v/>
      </c>
      <c r="D101" s="13" t="str">
        <f>IF(Tableau13456789[[#This Row],[Repère]]="","",VLOOKUP(Tableau13456789[[#This Row],[Repère]],Tableau1[#All],4,FALSE))</f>
        <v/>
      </c>
      <c r="E101" s="13" t="str">
        <f>IF(Tableau13456789[[#This Row],[Repère]]="","",VLOOKUP(Tableau13456789[[#This Row],[Repère]],Tableau1[#All],5,FALSE))</f>
        <v/>
      </c>
      <c r="F101" s="13" t="str">
        <f>IF(Tableau13456789[[#This Row],[Repère]]="","",VLOOKUP(Tableau13456789[[#This Row],[Repère]],Tableau1[#All],6,FALSE))</f>
        <v/>
      </c>
      <c r="G101" s="13" t="str">
        <f>IF(Tableau13456789[[#This Row],[Repère]]="","",VLOOKUP(Tableau13456789[[#This Row],[Repère]],Tableau1[#All],7,FALSE))</f>
        <v/>
      </c>
      <c r="H101" s="13" t="str">
        <f>IF(Tableau13456789[[#This Row],[Repère]]="","",VLOOKUP(Tableau13456789[[#This Row],[Repère]],Tableau1[#All],8,FALSE))</f>
        <v/>
      </c>
      <c r="I101" s="13" t="str">
        <f>IF(Tableau13456789[[#This Row],[Repère]]="","",VLOOKUP(Tableau13456789[[#This Row],[Repère]],Tableau1[#All],9,FALSE))</f>
        <v/>
      </c>
      <c r="J101" s="13" t="str">
        <f>IF(Tableau13456789[[#This Row],[Repère]]="","",VLOOKUP(Tableau13456789[[#This Row],[Repère]],Tableau1[#All],10,FALSE))</f>
        <v/>
      </c>
      <c r="K101" s="13" t="str">
        <f>IF(Tableau13456789[[#This Row],[Repère]]="","",VLOOKUP(Tableau13456789[[#This Row],[Repère]],Tableau1[#All],11,FALSE))</f>
        <v/>
      </c>
      <c r="L101" s="14" t="str">
        <f>IF(Tableau13456789[[#This Row],[Repère]]="","",VLOOKUP(Tableau13456789[[#This Row],[Repère]],Tableau1[#All],12,FALSE))</f>
        <v/>
      </c>
    </row>
  </sheetData>
  <sheetProtection algorithmName="SHA-512" hashValue="gTpKN6aP4xoqW/1Mcf2WDZXIy709VaBLRhEAHcZJ+NFGkh2iC1e+dQes906IiEdT/54P3tnyDgJ30l5rsd6EPA==" saltValue="upkXJIJsfrZzSR/K+HVxkA==" spinCount="100000"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7C60-199A-4655-A18E-340BDE207B38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IF(Tableau1345678910[[#This Row],[Repère]]="","",VLOOKUP(Tableau1345678910[[#This Row],[Repère]],Tableau1[#All],3,FALSE))</f>
        <v/>
      </c>
      <c r="D2" s="13" t="str">
        <f>IF(Tableau1345678910[[#This Row],[Repère]]="","",VLOOKUP(Tableau1345678910[[#This Row],[Repère]],Tableau1[#All],4,FALSE))</f>
        <v/>
      </c>
      <c r="E2" s="13" t="str">
        <f>IF(Tableau1345678910[[#This Row],[Repère]]="","",VLOOKUP(Tableau1345678910[[#This Row],[Repère]],Tableau1[#All],5,FALSE))</f>
        <v/>
      </c>
      <c r="F2" s="13" t="str">
        <f>IF(Tableau1345678910[[#This Row],[Repère]]="","",VLOOKUP(Tableau1345678910[[#This Row],[Repère]],Tableau1[#All],6,FALSE))</f>
        <v/>
      </c>
      <c r="G2" s="13" t="str">
        <f>IF(Tableau1345678910[[#This Row],[Repère]]="","",VLOOKUP(Tableau1345678910[[#This Row],[Repère]],Tableau1[#All],7,FALSE))</f>
        <v/>
      </c>
      <c r="H2" s="13" t="str">
        <f>IF(Tableau1345678910[[#This Row],[Repère]]="","",VLOOKUP(Tableau1345678910[[#This Row],[Repère]],Tableau1[#All],8,FALSE))</f>
        <v/>
      </c>
      <c r="I2" s="13" t="str">
        <f>IF(Tableau1345678910[[#This Row],[Repère]]="","",VLOOKUP(Tableau1345678910[[#This Row],[Repère]],Tableau1[#All],9,FALSE))</f>
        <v/>
      </c>
      <c r="J2" s="13" t="str">
        <f>IF(Tableau1345678910[[#This Row],[Repère]]="","",VLOOKUP(Tableau1345678910[[#This Row],[Repère]],Tableau1[#All],10,FALSE))</f>
        <v/>
      </c>
      <c r="K2" s="13" t="str">
        <f>IF(Tableau1345678910[[#This Row],[Repère]]="","",VLOOKUP(Tableau1345678910[[#This Row],[Repère]],Tableau1[#All],11,FALSE))</f>
        <v/>
      </c>
      <c r="L2" s="13" t="str">
        <f>IF(Tableau1345678910[[#This Row],[Repère]]="","",VLOOKUP(Tableau1345678910[[#This Row],[Repère]],Tableau1[#All],12,FALSE))</f>
        <v/>
      </c>
    </row>
    <row r="3" spans="1:12" x14ac:dyDescent="0.3">
      <c r="A3" s="18"/>
      <c r="B3" s="19"/>
      <c r="C3" s="13" t="str">
        <f>IF(Tableau1345678910[[#This Row],[Repère]]="","",VLOOKUP(Tableau1345678910[[#This Row],[Repère]],Tableau1[#All],3,FALSE))</f>
        <v/>
      </c>
      <c r="D3" s="13" t="str">
        <f>IF(Tableau1345678910[[#This Row],[Repère]]="","",VLOOKUP(Tableau1345678910[[#This Row],[Repère]],Tableau1[#All],4,FALSE))</f>
        <v/>
      </c>
      <c r="E3" s="13" t="str">
        <f>IF(Tableau1345678910[[#This Row],[Repère]]="","",VLOOKUP(Tableau1345678910[[#This Row],[Repère]],Tableau1[#All],5,FALSE))</f>
        <v/>
      </c>
      <c r="F3" s="13" t="str">
        <f>IF(Tableau1345678910[[#This Row],[Repère]]="","",VLOOKUP(Tableau1345678910[[#This Row],[Repère]],Tableau1[#All],6,FALSE))</f>
        <v/>
      </c>
      <c r="G3" s="13" t="str">
        <f>IF(Tableau1345678910[[#This Row],[Repère]]="","",VLOOKUP(Tableau1345678910[[#This Row],[Repère]],Tableau1[#All],7,FALSE))</f>
        <v/>
      </c>
      <c r="H3" s="13" t="str">
        <f>IF(Tableau1345678910[[#This Row],[Repère]]="","",VLOOKUP(Tableau1345678910[[#This Row],[Repère]],Tableau1[#All],8,FALSE))</f>
        <v/>
      </c>
      <c r="I3" s="13" t="str">
        <f>IF(Tableau1345678910[[#This Row],[Repère]]="","",VLOOKUP(Tableau1345678910[[#This Row],[Repère]],Tableau1[#All],9,FALSE))</f>
        <v/>
      </c>
      <c r="J3" s="13" t="str">
        <f>IF(Tableau1345678910[[#This Row],[Repère]]="","",VLOOKUP(Tableau1345678910[[#This Row],[Repère]],Tableau1[#All],10,FALSE))</f>
        <v/>
      </c>
      <c r="K3" s="13" t="str">
        <f>IF(Tableau1345678910[[#This Row],[Repère]]="","",VLOOKUP(Tableau1345678910[[#This Row],[Repère]],Tableau1[#All],11,FALSE))</f>
        <v/>
      </c>
      <c r="L3" s="14" t="str">
        <f>IF(Tableau1345678910[[#This Row],[Repère]]="","",VLOOKUP(Tableau1345678910[[#This Row],[Repère]],Tableau1[#All],12,FALSE))</f>
        <v/>
      </c>
    </row>
    <row r="4" spans="1:12" x14ac:dyDescent="0.3">
      <c r="A4" s="18"/>
      <c r="B4" s="19"/>
      <c r="C4" s="13" t="str">
        <f>IF(Tableau1345678910[[#This Row],[Repère]]="","",VLOOKUP(Tableau1345678910[[#This Row],[Repère]],Tableau1[#All],3,FALSE))</f>
        <v/>
      </c>
      <c r="D4" s="13" t="str">
        <f>IF(Tableau1345678910[[#This Row],[Repère]]="","",VLOOKUP(Tableau1345678910[[#This Row],[Repère]],Tableau1[#All],4,FALSE))</f>
        <v/>
      </c>
      <c r="E4" s="13" t="str">
        <f>IF(Tableau1345678910[[#This Row],[Repère]]="","",VLOOKUP(Tableau1345678910[[#This Row],[Repère]],Tableau1[#All],5,FALSE))</f>
        <v/>
      </c>
      <c r="F4" s="13" t="str">
        <f>IF(Tableau1345678910[[#This Row],[Repère]]="","",VLOOKUP(Tableau1345678910[[#This Row],[Repère]],Tableau1[#All],6,FALSE))</f>
        <v/>
      </c>
      <c r="G4" s="13" t="str">
        <f>IF(Tableau1345678910[[#This Row],[Repère]]="","",VLOOKUP(Tableau1345678910[[#This Row],[Repère]],Tableau1[#All],7,FALSE))</f>
        <v/>
      </c>
      <c r="H4" s="13" t="str">
        <f>IF(Tableau1345678910[[#This Row],[Repère]]="","",VLOOKUP(Tableau1345678910[[#This Row],[Repère]],Tableau1[#All],8,FALSE))</f>
        <v/>
      </c>
      <c r="I4" s="13" t="str">
        <f>IF(Tableau1345678910[[#This Row],[Repère]]="","",VLOOKUP(Tableau1345678910[[#This Row],[Repère]],Tableau1[#All],9,FALSE))</f>
        <v/>
      </c>
      <c r="J4" s="13" t="str">
        <f>IF(Tableau1345678910[[#This Row],[Repère]]="","",VLOOKUP(Tableau1345678910[[#This Row],[Repère]],Tableau1[#All],10,FALSE))</f>
        <v/>
      </c>
      <c r="K4" s="13" t="str">
        <f>IF(Tableau1345678910[[#This Row],[Repère]]="","",VLOOKUP(Tableau1345678910[[#This Row],[Repère]],Tableau1[#All],11,FALSE))</f>
        <v/>
      </c>
      <c r="L4" s="14" t="str">
        <f>IF(Tableau1345678910[[#This Row],[Repère]]="","",VLOOKUP(Tableau1345678910[[#This Row],[Repère]],Tableau1[#All],12,FALSE))</f>
        <v/>
      </c>
    </row>
    <row r="5" spans="1:12" x14ac:dyDescent="0.3">
      <c r="A5" s="18"/>
      <c r="B5" s="19"/>
      <c r="C5" s="13" t="str">
        <f>IF(Tableau1345678910[[#This Row],[Repère]]="","",VLOOKUP(Tableau1345678910[[#This Row],[Repère]],Tableau1[#All],3,FALSE))</f>
        <v/>
      </c>
      <c r="D5" s="13" t="str">
        <f>IF(Tableau1345678910[[#This Row],[Repère]]="","",VLOOKUP(Tableau1345678910[[#This Row],[Repère]],Tableau1[#All],4,FALSE))</f>
        <v/>
      </c>
      <c r="E5" s="13" t="str">
        <f>IF(Tableau1345678910[[#This Row],[Repère]]="","",VLOOKUP(Tableau1345678910[[#This Row],[Repère]],Tableau1[#All],5,FALSE))</f>
        <v/>
      </c>
      <c r="F5" s="13" t="str">
        <f>IF(Tableau1345678910[[#This Row],[Repère]]="","",VLOOKUP(Tableau1345678910[[#This Row],[Repère]],Tableau1[#All],6,FALSE))</f>
        <v/>
      </c>
      <c r="G5" s="13" t="str">
        <f>IF(Tableau1345678910[[#This Row],[Repère]]="","",VLOOKUP(Tableau1345678910[[#This Row],[Repère]],Tableau1[#All],7,FALSE))</f>
        <v/>
      </c>
      <c r="H5" s="13" t="str">
        <f>IF(Tableau1345678910[[#This Row],[Repère]]="","",VLOOKUP(Tableau1345678910[[#This Row],[Repère]],Tableau1[#All],8,FALSE))</f>
        <v/>
      </c>
      <c r="I5" s="13" t="str">
        <f>IF(Tableau1345678910[[#This Row],[Repère]]="","",VLOOKUP(Tableau1345678910[[#This Row],[Repère]],Tableau1[#All],9,FALSE))</f>
        <v/>
      </c>
      <c r="J5" s="13" t="str">
        <f>IF(Tableau1345678910[[#This Row],[Repère]]="","",VLOOKUP(Tableau1345678910[[#This Row],[Repère]],Tableau1[#All],10,FALSE))</f>
        <v/>
      </c>
      <c r="K5" s="13" t="str">
        <f>IF(Tableau1345678910[[#This Row],[Repère]]="","",VLOOKUP(Tableau1345678910[[#This Row],[Repère]],Tableau1[#All],11,FALSE))</f>
        <v/>
      </c>
      <c r="L5" s="14" t="str">
        <f>IF(Tableau1345678910[[#This Row],[Repère]]="","",VLOOKUP(Tableau1345678910[[#This Row],[Repère]],Tableau1[#All],12,FALSE))</f>
        <v/>
      </c>
    </row>
    <row r="6" spans="1:12" x14ac:dyDescent="0.3">
      <c r="A6" s="18"/>
      <c r="B6" s="19"/>
      <c r="C6" s="13" t="str">
        <f>IF(Tableau1345678910[[#This Row],[Repère]]="","",VLOOKUP(Tableau1345678910[[#This Row],[Repère]],Tableau1[#All],3,FALSE))</f>
        <v/>
      </c>
      <c r="D6" s="13" t="str">
        <f>IF(Tableau1345678910[[#This Row],[Repère]]="","",VLOOKUP(Tableau1345678910[[#This Row],[Repère]],Tableau1[#All],4,FALSE))</f>
        <v/>
      </c>
      <c r="E6" s="13" t="str">
        <f>IF(Tableau1345678910[[#This Row],[Repère]]="","",VLOOKUP(Tableau1345678910[[#This Row],[Repère]],Tableau1[#All],5,FALSE))</f>
        <v/>
      </c>
      <c r="F6" s="13" t="str">
        <f>IF(Tableau1345678910[[#This Row],[Repère]]="","",VLOOKUP(Tableau1345678910[[#This Row],[Repère]],Tableau1[#All],6,FALSE))</f>
        <v/>
      </c>
      <c r="G6" s="13" t="str">
        <f>IF(Tableau1345678910[[#This Row],[Repère]]="","",VLOOKUP(Tableau1345678910[[#This Row],[Repère]],Tableau1[#All],7,FALSE))</f>
        <v/>
      </c>
      <c r="H6" s="13" t="str">
        <f>IF(Tableau1345678910[[#This Row],[Repère]]="","",VLOOKUP(Tableau1345678910[[#This Row],[Repère]],Tableau1[#All],8,FALSE))</f>
        <v/>
      </c>
      <c r="I6" s="13" t="str">
        <f>IF(Tableau1345678910[[#This Row],[Repère]]="","",VLOOKUP(Tableau1345678910[[#This Row],[Repère]],Tableau1[#All],9,FALSE))</f>
        <v/>
      </c>
      <c r="J6" s="13" t="str">
        <f>IF(Tableau1345678910[[#This Row],[Repère]]="","",VLOOKUP(Tableau1345678910[[#This Row],[Repère]],Tableau1[#All],10,FALSE))</f>
        <v/>
      </c>
      <c r="K6" s="13" t="str">
        <f>IF(Tableau1345678910[[#This Row],[Repère]]="","",VLOOKUP(Tableau1345678910[[#This Row],[Repère]],Tableau1[#All],11,FALSE))</f>
        <v/>
      </c>
      <c r="L6" s="14" t="str">
        <f>IF(Tableau1345678910[[#This Row],[Repère]]="","",VLOOKUP(Tableau1345678910[[#This Row],[Repère]],Tableau1[#All],12,FALSE))</f>
        <v/>
      </c>
    </row>
    <row r="7" spans="1:12" x14ac:dyDescent="0.3">
      <c r="A7" s="18"/>
      <c r="B7" s="19"/>
      <c r="C7" s="13" t="str">
        <f>IF(Tableau1345678910[[#This Row],[Repère]]="","",VLOOKUP(Tableau1345678910[[#This Row],[Repère]],Tableau1[#All],3,FALSE))</f>
        <v/>
      </c>
      <c r="D7" s="13" t="str">
        <f>IF(Tableau1345678910[[#This Row],[Repère]]="","",VLOOKUP(Tableau1345678910[[#This Row],[Repère]],Tableau1[#All],4,FALSE))</f>
        <v/>
      </c>
      <c r="E7" s="13" t="str">
        <f>IF(Tableau1345678910[[#This Row],[Repère]]="","",VLOOKUP(Tableau1345678910[[#This Row],[Repère]],Tableau1[#All],5,FALSE))</f>
        <v/>
      </c>
      <c r="F7" s="13" t="str">
        <f>IF(Tableau1345678910[[#This Row],[Repère]]="","",VLOOKUP(Tableau1345678910[[#This Row],[Repère]],Tableau1[#All],6,FALSE))</f>
        <v/>
      </c>
      <c r="G7" s="13" t="str">
        <f>IF(Tableau1345678910[[#This Row],[Repère]]="","",VLOOKUP(Tableau1345678910[[#This Row],[Repère]],Tableau1[#All],7,FALSE))</f>
        <v/>
      </c>
      <c r="H7" s="13" t="str">
        <f>IF(Tableau1345678910[[#This Row],[Repère]]="","",VLOOKUP(Tableau1345678910[[#This Row],[Repère]],Tableau1[#All],8,FALSE))</f>
        <v/>
      </c>
      <c r="I7" s="13" t="str">
        <f>IF(Tableau1345678910[[#This Row],[Repère]]="","",VLOOKUP(Tableau1345678910[[#This Row],[Repère]],Tableau1[#All],9,FALSE))</f>
        <v/>
      </c>
      <c r="J7" s="13" t="str">
        <f>IF(Tableau1345678910[[#This Row],[Repère]]="","",VLOOKUP(Tableau1345678910[[#This Row],[Repère]],Tableau1[#All],10,FALSE))</f>
        <v/>
      </c>
      <c r="K7" s="13" t="str">
        <f>IF(Tableau1345678910[[#This Row],[Repère]]="","",VLOOKUP(Tableau1345678910[[#This Row],[Repère]],Tableau1[#All],11,FALSE))</f>
        <v/>
      </c>
      <c r="L7" s="14" t="str">
        <f>IF(Tableau1345678910[[#This Row],[Repère]]="","",VLOOKUP(Tableau1345678910[[#This Row],[Repère]],Tableau1[#All],12,FALSE))</f>
        <v/>
      </c>
    </row>
    <row r="8" spans="1:12" x14ac:dyDescent="0.3">
      <c r="A8" s="18"/>
      <c r="B8" s="19"/>
      <c r="C8" s="13" t="str">
        <f>IF(Tableau1345678910[[#This Row],[Repère]]="","",VLOOKUP(Tableau1345678910[[#This Row],[Repère]],Tableau1[#All],3,FALSE))</f>
        <v/>
      </c>
      <c r="D8" s="13" t="str">
        <f>IF(Tableau1345678910[[#This Row],[Repère]]="","",VLOOKUP(Tableau1345678910[[#This Row],[Repère]],Tableau1[#All],4,FALSE))</f>
        <v/>
      </c>
      <c r="E8" s="13" t="str">
        <f>IF(Tableau1345678910[[#This Row],[Repère]]="","",VLOOKUP(Tableau1345678910[[#This Row],[Repère]],Tableau1[#All],5,FALSE))</f>
        <v/>
      </c>
      <c r="F8" s="13" t="str">
        <f>IF(Tableau1345678910[[#This Row],[Repère]]="","",VLOOKUP(Tableau1345678910[[#This Row],[Repère]],Tableau1[#All],6,FALSE))</f>
        <v/>
      </c>
      <c r="G8" s="13" t="str">
        <f>IF(Tableau1345678910[[#This Row],[Repère]]="","",VLOOKUP(Tableau1345678910[[#This Row],[Repère]],Tableau1[#All],7,FALSE))</f>
        <v/>
      </c>
      <c r="H8" s="13" t="str">
        <f>IF(Tableau1345678910[[#This Row],[Repère]]="","",VLOOKUP(Tableau1345678910[[#This Row],[Repère]],Tableau1[#All],8,FALSE))</f>
        <v/>
      </c>
      <c r="I8" s="13" t="str">
        <f>IF(Tableau1345678910[[#This Row],[Repère]]="","",VLOOKUP(Tableau1345678910[[#This Row],[Repère]],Tableau1[#All],9,FALSE))</f>
        <v/>
      </c>
      <c r="J8" s="13" t="str">
        <f>IF(Tableau1345678910[[#This Row],[Repère]]="","",VLOOKUP(Tableau1345678910[[#This Row],[Repère]],Tableau1[#All],10,FALSE))</f>
        <v/>
      </c>
      <c r="K8" s="13" t="str">
        <f>IF(Tableau1345678910[[#This Row],[Repère]]="","",VLOOKUP(Tableau1345678910[[#This Row],[Repère]],Tableau1[#All],11,FALSE))</f>
        <v/>
      </c>
      <c r="L8" s="14" t="str">
        <f>IF(Tableau1345678910[[#This Row],[Repère]]="","",VLOOKUP(Tableau1345678910[[#This Row],[Repère]],Tableau1[#All],12,FALSE))</f>
        <v/>
      </c>
    </row>
    <row r="9" spans="1:12" x14ac:dyDescent="0.3">
      <c r="A9" s="18"/>
      <c r="B9" s="19"/>
      <c r="C9" s="13" t="str">
        <f>IF(Tableau1345678910[[#This Row],[Repère]]="","",VLOOKUP(Tableau1345678910[[#This Row],[Repère]],Tableau1[#All],3,FALSE))</f>
        <v/>
      </c>
      <c r="D9" s="13" t="str">
        <f>IF(Tableau1345678910[[#This Row],[Repère]]="","",VLOOKUP(Tableau1345678910[[#This Row],[Repère]],Tableau1[#All],4,FALSE))</f>
        <v/>
      </c>
      <c r="E9" s="13" t="str">
        <f>IF(Tableau1345678910[[#This Row],[Repère]]="","",VLOOKUP(Tableau1345678910[[#This Row],[Repère]],Tableau1[#All],5,FALSE))</f>
        <v/>
      </c>
      <c r="F9" s="13" t="str">
        <f>IF(Tableau1345678910[[#This Row],[Repère]]="","",VLOOKUP(Tableau1345678910[[#This Row],[Repère]],Tableau1[#All],6,FALSE))</f>
        <v/>
      </c>
      <c r="G9" s="13" t="str">
        <f>IF(Tableau1345678910[[#This Row],[Repère]]="","",VLOOKUP(Tableau1345678910[[#This Row],[Repère]],Tableau1[#All],7,FALSE))</f>
        <v/>
      </c>
      <c r="H9" s="13" t="str">
        <f>IF(Tableau1345678910[[#This Row],[Repère]]="","",VLOOKUP(Tableau1345678910[[#This Row],[Repère]],Tableau1[#All],8,FALSE))</f>
        <v/>
      </c>
      <c r="I9" s="13" t="str">
        <f>IF(Tableau1345678910[[#This Row],[Repère]]="","",VLOOKUP(Tableau1345678910[[#This Row],[Repère]],Tableau1[#All],9,FALSE))</f>
        <v/>
      </c>
      <c r="J9" s="13" t="str">
        <f>IF(Tableau1345678910[[#This Row],[Repère]]="","",VLOOKUP(Tableau1345678910[[#This Row],[Repère]],Tableau1[#All],10,FALSE))</f>
        <v/>
      </c>
      <c r="K9" s="13" t="str">
        <f>IF(Tableau1345678910[[#This Row],[Repère]]="","",VLOOKUP(Tableau1345678910[[#This Row],[Repère]],Tableau1[#All],11,FALSE))</f>
        <v/>
      </c>
      <c r="L9" s="14" t="str">
        <f>IF(Tableau1345678910[[#This Row],[Repère]]="","",VLOOKUP(Tableau1345678910[[#This Row],[Repère]],Tableau1[#All],12,FALSE))</f>
        <v/>
      </c>
    </row>
    <row r="10" spans="1:12" x14ac:dyDescent="0.3">
      <c r="A10" s="18"/>
      <c r="B10" s="19"/>
      <c r="C10" s="13" t="str">
        <f>IF(Tableau1345678910[[#This Row],[Repère]]="","",VLOOKUP(Tableau1345678910[[#This Row],[Repère]],Tableau1[#All],3,FALSE))</f>
        <v/>
      </c>
      <c r="D10" s="13" t="str">
        <f>IF(Tableau1345678910[[#This Row],[Repère]]="","",VLOOKUP(Tableau1345678910[[#This Row],[Repère]],Tableau1[#All],4,FALSE))</f>
        <v/>
      </c>
      <c r="E10" s="13" t="str">
        <f>IF(Tableau1345678910[[#This Row],[Repère]]="","",VLOOKUP(Tableau1345678910[[#This Row],[Repère]],Tableau1[#All],5,FALSE))</f>
        <v/>
      </c>
      <c r="F10" s="13" t="str">
        <f>IF(Tableau1345678910[[#This Row],[Repère]]="","",VLOOKUP(Tableau1345678910[[#This Row],[Repère]],Tableau1[#All],6,FALSE))</f>
        <v/>
      </c>
      <c r="G10" s="13" t="str">
        <f>IF(Tableau1345678910[[#This Row],[Repère]]="","",VLOOKUP(Tableau1345678910[[#This Row],[Repère]],Tableau1[#All],7,FALSE))</f>
        <v/>
      </c>
      <c r="H10" s="13" t="str">
        <f>IF(Tableau1345678910[[#This Row],[Repère]]="","",VLOOKUP(Tableau1345678910[[#This Row],[Repère]],Tableau1[#All],8,FALSE))</f>
        <v/>
      </c>
      <c r="I10" s="13" t="str">
        <f>IF(Tableau1345678910[[#This Row],[Repère]]="","",VLOOKUP(Tableau1345678910[[#This Row],[Repère]],Tableau1[#All],9,FALSE))</f>
        <v/>
      </c>
      <c r="J10" s="13" t="str">
        <f>IF(Tableau1345678910[[#This Row],[Repère]]="","",VLOOKUP(Tableau1345678910[[#This Row],[Repère]],Tableau1[#All],10,FALSE))</f>
        <v/>
      </c>
      <c r="K10" s="13" t="str">
        <f>IF(Tableau1345678910[[#This Row],[Repère]]="","",VLOOKUP(Tableau1345678910[[#This Row],[Repère]],Tableau1[#All],11,FALSE))</f>
        <v/>
      </c>
      <c r="L10" s="14" t="str">
        <f>IF(Tableau1345678910[[#This Row],[Repère]]="","",VLOOKUP(Tableau1345678910[[#This Row],[Repère]],Tableau1[#All],12,FALSE))</f>
        <v/>
      </c>
    </row>
    <row r="11" spans="1:12" x14ac:dyDescent="0.3">
      <c r="A11" s="18"/>
      <c r="B11" s="19"/>
      <c r="C11" s="13" t="str">
        <f>IF(Tableau1345678910[[#This Row],[Repère]]="","",VLOOKUP(Tableau1345678910[[#This Row],[Repère]],Tableau1[#All],3,FALSE))</f>
        <v/>
      </c>
      <c r="D11" s="13" t="str">
        <f>IF(Tableau1345678910[[#This Row],[Repère]]="","",VLOOKUP(Tableau1345678910[[#This Row],[Repère]],Tableau1[#All],4,FALSE))</f>
        <v/>
      </c>
      <c r="E11" s="13" t="str">
        <f>IF(Tableau1345678910[[#This Row],[Repère]]="","",VLOOKUP(Tableau1345678910[[#This Row],[Repère]],Tableau1[#All],5,FALSE))</f>
        <v/>
      </c>
      <c r="F11" s="13" t="str">
        <f>IF(Tableau1345678910[[#This Row],[Repère]]="","",VLOOKUP(Tableau1345678910[[#This Row],[Repère]],Tableau1[#All],6,FALSE))</f>
        <v/>
      </c>
      <c r="G11" s="13" t="str">
        <f>IF(Tableau1345678910[[#This Row],[Repère]]="","",VLOOKUP(Tableau1345678910[[#This Row],[Repère]],Tableau1[#All],7,FALSE))</f>
        <v/>
      </c>
      <c r="H11" s="13" t="str">
        <f>IF(Tableau1345678910[[#This Row],[Repère]]="","",VLOOKUP(Tableau1345678910[[#This Row],[Repère]],Tableau1[#All],8,FALSE))</f>
        <v/>
      </c>
      <c r="I11" s="13" t="str">
        <f>IF(Tableau1345678910[[#This Row],[Repère]]="","",VLOOKUP(Tableau1345678910[[#This Row],[Repère]],Tableau1[#All],9,FALSE))</f>
        <v/>
      </c>
      <c r="J11" s="13" t="str">
        <f>IF(Tableau1345678910[[#This Row],[Repère]]="","",VLOOKUP(Tableau1345678910[[#This Row],[Repère]],Tableau1[#All],10,FALSE))</f>
        <v/>
      </c>
      <c r="K11" s="13" t="str">
        <f>IF(Tableau1345678910[[#This Row],[Repère]]="","",VLOOKUP(Tableau1345678910[[#This Row],[Repère]],Tableau1[#All],11,FALSE))</f>
        <v/>
      </c>
      <c r="L11" s="14" t="str">
        <f>IF(Tableau1345678910[[#This Row],[Repère]]="","",VLOOKUP(Tableau1345678910[[#This Row],[Repère]],Tableau1[#All],12,FALSE))</f>
        <v/>
      </c>
    </row>
    <row r="12" spans="1:12" x14ac:dyDescent="0.3">
      <c r="A12" s="18"/>
      <c r="B12" s="19"/>
      <c r="C12" s="13" t="str">
        <f>IF(Tableau1345678910[[#This Row],[Repère]]="","",VLOOKUP(Tableau1345678910[[#This Row],[Repère]],Tableau1[#All],3,FALSE))</f>
        <v/>
      </c>
      <c r="D12" s="13" t="str">
        <f>IF(Tableau1345678910[[#This Row],[Repère]]="","",VLOOKUP(Tableau1345678910[[#This Row],[Repère]],Tableau1[#All],4,FALSE))</f>
        <v/>
      </c>
      <c r="E12" s="13" t="str">
        <f>IF(Tableau1345678910[[#This Row],[Repère]]="","",VLOOKUP(Tableau1345678910[[#This Row],[Repère]],Tableau1[#All],5,FALSE))</f>
        <v/>
      </c>
      <c r="F12" s="13" t="str">
        <f>IF(Tableau1345678910[[#This Row],[Repère]]="","",VLOOKUP(Tableau1345678910[[#This Row],[Repère]],Tableau1[#All],6,FALSE))</f>
        <v/>
      </c>
      <c r="G12" s="13" t="str">
        <f>IF(Tableau1345678910[[#This Row],[Repère]]="","",VLOOKUP(Tableau1345678910[[#This Row],[Repère]],Tableau1[#All],7,FALSE))</f>
        <v/>
      </c>
      <c r="H12" s="13" t="str">
        <f>IF(Tableau1345678910[[#This Row],[Repère]]="","",VLOOKUP(Tableau1345678910[[#This Row],[Repère]],Tableau1[#All],8,FALSE))</f>
        <v/>
      </c>
      <c r="I12" s="13" t="str">
        <f>IF(Tableau1345678910[[#This Row],[Repère]]="","",VLOOKUP(Tableau1345678910[[#This Row],[Repère]],Tableau1[#All],9,FALSE))</f>
        <v/>
      </c>
      <c r="J12" s="13" t="str">
        <f>IF(Tableau1345678910[[#This Row],[Repère]]="","",VLOOKUP(Tableau1345678910[[#This Row],[Repère]],Tableau1[#All],10,FALSE))</f>
        <v/>
      </c>
      <c r="K12" s="13" t="str">
        <f>IF(Tableau1345678910[[#This Row],[Repère]]="","",VLOOKUP(Tableau1345678910[[#This Row],[Repère]],Tableau1[#All],11,FALSE))</f>
        <v/>
      </c>
      <c r="L12" s="14" t="str">
        <f>IF(Tableau1345678910[[#This Row],[Repère]]="","",VLOOKUP(Tableau1345678910[[#This Row],[Repère]],Tableau1[#All],12,FALSE))</f>
        <v/>
      </c>
    </row>
    <row r="13" spans="1:12" x14ac:dyDescent="0.3">
      <c r="A13" s="18"/>
      <c r="B13" s="19"/>
      <c r="C13" s="13" t="str">
        <f>IF(Tableau1345678910[[#This Row],[Repère]]="","",VLOOKUP(Tableau1345678910[[#This Row],[Repère]],Tableau1[#All],3,FALSE))</f>
        <v/>
      </c>
      <c r="D13" s="13" t="str">
        <f>IF(Tableau1345678910[[#This Row],[Repère]]="","",VLOOKUP(Tableau1345678910[[#This Row],[Repère]],Tableau1[#All],4,FALSE))</f>
        <v/>
      </c>
      <c r="E13" s="13" t="str">
        <f>IF(Tableau1345678910[[#This Row],[Repère]]="","",VLOOKUP(Tableau1345678910[[#This Row],[Repère]],Tableau1[#All],5,FALSE))</f>
        <v/>
      </c>
      <c r="F13" s="13" t="str">
        <f>IF(Tableau1345678910[[#This Row],[Repère]]="","",VLOOKUP(Tableau1345678910[[#This Row],[Repère]],Tableau1[#All],6,FALSE))</f>
        <v/>
      </c>
      <c r="G13" s="13" t="str">
        <f>IF(Tableau1345678910[[#This Row],[Repère]]="","",VLOOKUP(Tableau1345678910[[#This Row],[Repère]],Tableau1[#All],7,FALSE))</f>
        <v/>
      </c>
      <c r="H13" s="13" t="str">
        <f>IF(Tableau1345678910[[#This Row],[Repère]]="","",VLOOKUP(Tableau1345678910[[#This Row],[Repère]],Tableau1[#All],8,FALSE))</f>
        <v/>
      </c>
      <c r="I13" s="13" t="str">
        <f>IF(Tableau1345678910[[#This Row],[Repère]]="","",VLOOKUP(Tableau1345678910[[#This Row],[Repère]],Tableau1[#All],9,FALSE))</f>
        <v/>
      </c>
      <c r="J13" s="13" t="str">
        <f>IF(Tableau1345678910[[#This Row],[Repère]]="","",VLOOKUP(Tableau1345678910[[#This Row],[Repère]],Tableau1[#All],10,FALSE))</f>
        <v/>
      </c>
      <c r="K13" s="13" t="str">
        <f>IF(Tableau1345678910[[#This Row],[Repère]]="","",VLOOKUP(Tableau1345678910[[#This Row],[Repère]],Tableau1[#All],11,FALSE))</f>
        <v/>
      </c>
      <c r="L13" s="14" t="str">
        <f>IF(Tableau1345678910[[#This Row],[Repère]]="","",VLOOKUP(Tableau1345678910[[#This Row],[Repère]],Tableau1[#All],12,FALSE))</f>
        <v/>
      </c>
    </row>
    <row r="14" spans="1:12" x14ac:dyDescent="0.3">
      <c r="A14" s="18"/>
      <c r="B14" s="19"/>
      <c r="C14" s="13" t="str">
        <f>IF(Tableau1345678910[[#This Row],[Repère]]="","",VLOOKUP(Tableau1345678910[[#This Row],[Repère]],Tableau1[#All],3,FALSE))</f>
        <v/>
      </c>
      <c r="D14" s="13" t="str">
        <f>IF(Tableau1345678910[[#This Row],[Repère]]="","",VLOOKUP(Tableau1345678910[[#This Row],[Repère]],Tableau1[#All],4,FALSE))</f>
        <v/>
      </c>
      <c r="E14" s="13" t="str">
        <f>IF(Tableau1345678910[[#This Row],[Repère]]="","",VLOOKUP(Tableau1345678910[[#This Row],[Repère]],Tableau1[#All],5,FALSE))</f>
        <v/>
      </c>
      <c r="F14" s="13" t="str">
        <f>IF(Tableau1345678910[[#This Row],[Repère]]="","",VLOOKUP(Tableau1345678910[[#This Row],[Repère]],Tableau1[#All],6,FALSE))</f>
        <v/>
      </c>
      <c r="G14" s="13" t="str">
        <f>IF(Tableau1345678910[[#This Row],[Repère]]="","",VLOOKUP(Tableau1345678910[[#This Row],[Repère]],Tableau1[#All],7,FALSE))</f>
        <v/>
      </c>
      <c r="H14" s="13" t="str">
        <f>IF(Tableau1345678910[[#This Row],[Repère]]="","",VLOOKUP(Tableau1345678910[[#This Row],[Repère]],Tableau1[#All],8,FALSE))</f>
        <v/>
      </c>
      <c r="I14" s="13" t="str">
        <f>IF(Tableau1345678910[[#This Row],[Repère]]="","",VLOOKUP(Tableau1345678910[[#This Row],[Repère]],Tableau1[#All],9,FALSE))</f>
        <v/>
      </c>
      <c r="J14" s="13" t="str">
        <f>IF(Tableau1345678910[[#This Row],[Repère]]="","",VLOOKUP(Tableau1345678910[[#This Row],[Repère]],Tableau1[#All],10,FALSE))</f>
        <v/>
      </c>
      <c r="K14" s="13" t="str">
        <f>IF(Tableau1345678910[[#This Row],[Repère]]="","",VLOOKUP(Tableau1345678910[[#This Row],[Repère]],Tableau1[#All],11,FALSE))</f>
        <v/>
      </c>
      <c r="L14" s="14" t="str">
        <f>IF(Tableau1345678910[[#This Row],[Repère]]="","",VLOOKUP(Tableau1345678910[[#This Row],[Repère]],Tableau1[#All],12,FALSE))</f>
        <v/>
      </c>
    </row>
    <row r="15" spans="1:12" x14ac:dyDescent="0.3">
      <c r="A15" s="18"/>
      <c r="B15" s="19"/>
      <c r="C15" s="13" t="str">
        <f>IF(Tableau1345678910[[#This Row],[Repère]]="","",VLOOKUP(Tableau1345678910[[#This Row],[Repère]],Tableau1[#All],3,FALSE))</f>
        <v/>
      </c>
      <c r="D15" s="13" t="str">
        <f>IF(Tableau1345678910[[#This Row],[Repère]]="","",VLOOKUP(Tableau1345678910[[#This Row],[Repère]],Tableau1[#All],4,FALSE))</f>
        <v/>
      </c>
      <c r="E15" s="13" t="str">
        <f>IF(Tableau1345678910[[#This Row],[Repère]]="","",VLOOKUP(Tableau1345678910[[#This Row],[Repère]],Tableau1[#All],5,FALSE))</f>
        <v/>
      </c>
      <c r="F15" s="13" t="str">
        <f>IF(Tableau1345678910[[#This Row],[Repère]]="","",VLOOKUP(Tableau1345678910[[#This Row],[Repère]],Tableau1[#All],6,FALSE))</f>
        <v/>
      </c>
      <c r="G15" s="13" t="str">
        <f>IF(Tableau1345678910[[#This Row],[Repère]]="","",VLOOKUP(Tableau1345678910[[#This Row],[Repère]],Tableau1[#All],7,FALSE))</f>
        <v/>
      </c>
      <c r="H15" s="13" t="str">
        <f>IF(Tableau1345678910[[#This Row],[Repère]]="","",VLOOKUP(Tableau1345678910[[#This Row],[Repère]],Tableau1[#All],8,FALSE))</f>
        <v/>
      </c>
      <c r="I15" s="13" t="str">
        <f>IF(Tableau1345678910[[#This Row],[Repère]]="","",VLOOKUP(Tableau1345678910[[#This Row],[Repère]],Tableau1[#All],9,FALSE))</f>
        <v/>
      </c>
      <c r="J15" s="13" t="str">
        <f>IF(Tableau1345678910[[#This Row],[Repère]]="","",VLOOKUP(Tableau1345678910[[#This Row],[Repère]],Tableau1[#All],10,FALSE))</f>
        <v/>
      </c>
      <c r="K15" s="13" t="str">
        <f>IF(Tableau1345678910[[#This Row],[Repère]]="","",VLOOKUP(Tableau1345678910[[#This Row],[Repère]],Tableau1[#All],11,FALSE))</f>
        <v/>
      </c>
      <c r="L15" s="14" t="str">
        <f>IF(Tableau1345678910[[#This Row],[Repère]]="","",VLOOKUP(Tableau1345678910[[#This Row],[Repère]],Tableau1[#All],12,FALSE))</f>
        <v/>
      </c>
    </row>
    <row r="16" spans="1:12" x14ac:dyDescent="0.3">
      <c r="A16" s="18"/>
      <c r="B16" s="19"/>
      <c r="C16" s="13" t="str">
        <f>IF(Tableau1345678910[[#This Row],[Repère]]="","",VLOOKUP(Tableau1345678910[[#This Row],[Repère]],Tableau1[#All],3,FALSE))</f>
        <v/>
      </c>
      <c r="D16" s="13" t="str">
        <f>IF(Tableau1345678910[[#This Row],[Repère]]="","",VLOOKUP(Tableau1345678910[[#This Row],[Repère]],Tableau1[#All],4,FALSE))</f>
        <v/>
      </c>
      <c r="E16" s="13" t="str">
        <f>IF(Tableau1345678910[[#This Row],[Repère]]="","",VLOOKUP(Tableau1345678910[[#This Row],[Repère]],Tableau1[#All],5,FALSE))</f>
        <v/>
      </c>
      <c r="F16" s="13" t="str">
        <f>IF(Tableau1345678910[[#This Row],[Repère]]="","",VLOOKUP(Tableau1345678910[[#This Row],[Repère]],Tableau1[#All],6,FALSE))</f>
        <v/>
      </c>
      <c r="G16" s="13" t="str">
        <f>IF(Tableau1345678910[[#This Row],[Repère]]="","",VLOOKUP(Tableau1345678910[[#This Row],[Repère]],Tableau1[#All],7,FALSE))</f>
        <v/>
      </c>
      <c r="H16" s="13" t="str">
        <f>IF(Tableau1345678910[[#This Row],[Repère]]="","",VLOOKUP(Tableau1345678910[[#This Row],[Repère]],Tableau1[#All],8,FALSE))</f>
        <v/>
      </c>
      <c r="I16" s="13" t="str">
        <f>IF(Tableau1345678910[[#This Row],[Repère]]="","",VLOOKUP(Tableau1345678910[[#This Row],[Repère]],Tableau1[#All],9,FALSE))</f>
        <v/>
      </c>
      <c r="J16" s="13" t="str">
        <f>IF(Tableau1345678910[[#This Row],[Repère]]="","",VLOOKUP(Tableau1345678910[[#This Row],[Repère]],Tableau1[#All],10,FALSE))</f>
        <v/>
      </c>
      <c r="K16" s="13" t="str">
        <f>IF(Tableau1345678910[[#This Row],[Repère]]="","",VLOOKUP(Tableau1345678910[[#This Row],[Repère]],Tableau1[#All],11,FALSE))</f>
        <v/>
      </c>
      <c r="L16" s="14" t="str">
        <f>IF(Tableau1345678910[[#This Row],[Repère]]="","",VLOOKUP(Tableau1345678910[[#This Row],[Repère]],Tableau1[#All],12,FALSE))</f>
        <v/>
      </c>
    </row>
    <row r="17" spans="1:12" x14ac:dyDescent="0.3">
      <c r="A17" s="18"/>
      <c r="B17" s="19"/>
      <c r="C17" s="13" t="str">
        <f>IF(Tableau1345678910[[#This Row],[Repère]]="","",VLOOKUP(Tableau1345678910[[#This Row],[Repère]],Tableau1[#All],3,FALSE))</f>
        <v/>
      </c>
      <c r="D17" s="13" t="str">
        <f>IF(Tableau1345678910[[#This Row],[Repère]]="","",VLOOKUP(Tableau1345678910[[#This Row],[Repère]],Tableau1[#All],4,FALSE))</f>
        <v/>
      </c>
      <c r="E17" s="13" t="str">
        <f>IF(Tableau1345678910[[#This Row],[Repère]]="","",VLOOKUP(Tableau1345678910[[#This Row],[Repère]],Tableau1[#All],5,FALSE))</f>
        <v/>
      </c>
      <c r="F17" s="13" t="str">
        <f>IF(Tableau1345678910[[#This Row],[Repère]]="","",VLOOKUP(Tableau1345678910[[#This Row],[Repère]],Tableau1[#All],6,FALSE))</f>
        <v/>
      </c>
      <c r="G17" s="13" t="str">
        <f>IF(Tableau1345678910[[#This Row],[Repère]]="","",VLOOKUP(Tableau1345678910[[#This Row],[Repère]],Tableau1[#All],7,FALSE))</f>
        <v/>
      </c>
      <c r="H17" s="13" t="str">
        <f>IF(Tableau1345678910[[#This Row],[Repère]]="","",VLOOKUP(Tableau1345678910[[#This Row],[Repère]],Tableau1[#All],8,FALSE))</f>
        <v/>
      </c>
      <c r="I17" s="13" t="str">
        <f>IF(Tableau1345678910[[#This Row],[Repère]]="","",VLOOKUP(Tableau1345678910[[#This Row],[Repère]],Tableau1[#All],9,FALSE))</f>
        <v/>
      </c>
      <c r="J17" s="13" t="str">
        <f>IF(Tableau1345678910[[#This Row],[Repère]]="","",VLOOKUP(Tableau1345678910[[#This Row],[Repère]],Tableau1[#All],10,FALSE))</f>
        <v/>
      </c>
      <c r="K17" s="13" t="str">
        <f>IF(Tableau1345678910[[#This Row],[Repère]]="","",VLOOKUP(Tableau1345678910[[#This Row],[Repère]],Tableau1[#All],11,FALSE))</f>
        <v/>
      </c>
      <c r="L17" s="14" t="str">
        <f>IF(Tableau1345678910[[#This Row],[Repère]]="","",VLOOKUP(Tableau1345678910[[#This Row],[Repère]],Tableau1[#All],12,FALSE))</f>
        <v/>
      </c>
    </row>
    <row r="18" spans="1:12" x14ac:dyDescent="0.3">
      <c r="A18" s="18"/>
      <c r="B18" s="19"/>
      <c r="C18" s="13" t="str">
        <f>IF(Tableau1345678910[[#This Row],[Repère]]="","",VLOOKUP(Tableau1345678910[[#This Row],[Repère]],Tableau1[#All],3,FALSE))</f>
        <v/>
      </c>
      <c r="D18" s="13" t="str">
        <f>IF(Tableau1345678910[[#This Row],[Repère]]="","",VLOOKUP(Tableau1345678910[[#This Row],[Repère]],Tableau1[#All],4,FALSE))</f>
        <v/>
      </c>
      <c r="E18" s="13" t="str">
        <f>IF(Tableau1345678910[[#This Row],[Repère]]="","",VLOOKUP(Tableau1345678910[[#This Row],[Repère]],Tableau1[#All],5,FALSE))</f>
        <v/>
      </c>
      <c r="F18" s="13" t="str">
        <f>IF(Tableau1345678910[[#This Row],[Repère]]="","",VLOOKUP(Tableau1345678910[[#This Row],[Repère]],Tableau1[#All],6,FALSE))</f>
        <v/>
      </c>
      <c r="G18" s="13" t="str">
        <f>IF(Tableau1345678910[[#This Row],[Repère]]="","",VLOOKUP(Tableau1345678910[[#This Row],[Repère]],Tableau1[#All],7,FALSE))</f>
        <v/>
      </c>
      <c r="H18" s="13" t="str">
        <f>IF(Tableau1345678910[[#This Row],[Repère]]="","",VLOOKUP(Tableau1345678910[[#This Row],[Repère]],Tableau1[#All],8,FALSE))</f>
        <v/>
      </c>
      <c r="I18" s="13" t="str">
        <f>IF(Tableau1345678910[[#This Row],[Repère]]="","",VLOOKUP(Tableau1345678910[[#This Row],[Repère]],Tableau1[#All],9,FALSE))</f>
        <v/>
      </c>
      <c r="J18" s="13" t="str">
        <f>IF(Tableau1345678910[[#This Row],[Repère]]="","",VLOOKUP(Tableau1345678910[[#This Row],[Repère]],Tableau1[#All],10,FALSE))</f>
        <v/>
      </c>
      <c r="K18" s="13" t="str">
        <f>IF(Tableau1345678910[[#This Row],[Repère]]="","",VLOOKUP(Tableau1345678910[[#This Row],[Repère]],Tableau1[#All],11,FALSE))</f>
        <v/>
      </c>
      <c r="L18" s="14" t="str">
        <f>IF(Tableau1345678910[[#This Row],[Repère]]="","",VLOOKUP(Tableau1345678910[[#This Row],[Repère]],Tableau1[#All],12,FALSE))</f>
        <v/>
      </c>
    </row>
    <row r="19" spans="1:12" x14ac:dyDescent="0.3">
      <c r="A19" s="18"/>
      <c r="B19" s="19"/>
      <c r="C19" s="13" t="str">
        <f>IF(Tableau1345678910[[#This Row],[Repère]]="","",VLOOKUP(Tableau1345678910[[#This Row],[Repère]],Tableau1[#All],3,FALSE))</f>
        <v/>
      </c>
      <c r="D19" s="13" t="str">
        <f>IF(Tableau1345678910[[#This Row],[Repère]]="","",VLOOKUP(Tableau1345678910[[#This Row],[Repère]],Tableau1[#All],4,FALSE))</f>
        <v/>
      </c>
      <c r="E19" s="13" t="str">
        <f>IF(Tableau1345678910[[#This Row],[Repère]]="","",VLOOKUP(Tableau1345678910[[#This Row],[Repère]],Tableau1[#All],5,FALSE))</f>
        <v/>
      </c>
      <c r="F19" s="13" t="str">
        <f>IF(Tableau1345678910[[#This Row],[Repère]]="","",VLOOKUP(Tableau1345678910[[#This Row],[Repère]],Tableau1[#All],6,FALSE))</f>
        <v/>
      </c>
      <c r="G19" s="13" t="str">
        <f>IF(Tableau1345678910[[#This Row],[Repère]]="","",VLOOKUP(Tableau1345678910[[#This Row],[Repère]],Tableau1[#All],7,FALSE))</f>
        <v/>
      </c>
      <c r="H19" s="13" t="str">
        <f>IF(Tableau1345678910[[#This Row],[Repère]]="","",VLOOKUP(Tableau1345678910[[#This Row],[Repère]],Tableau1[#All],8,FALSE))</f>
        <v/>
      </c>
      <c r="I19" s="13" t="str">
        <f>IF(Tableau1345678910[[#This Row],[Repère]]="","",VLOOKUP(Tableau1345678910[[#This Row],[Repère]],Tableau1[#All],9,FALSE))</f>
        <v/>
      </c>
      <c r="J19" s="13" t="str">
        <f>IF(Tableau1345678910[[#This Row],[Repère]]="","",VLOOKUP(Tableau1345678910[[#This Row],[Repère]],Tableau1[#All],10,FALSE))</f>
        <v/>
      </c>
      <c r="K19" s="13" t="str">
        <f>IF(Tableau1345678910[[#This Row],[Repère]]="","",VLOOKUP(Tableau1345678910[[#This Row],[Repère]],Tableau1[#All],11,FALSE))</f>
        <v/>
      </c>
      <c r="L19" s="14" t="str">
        <f>IF(Tableau1345678910[[#This Row],[Repère]]="","",VLOOKUP(Tableau1345678910[[#This Row],[Repère]],Tableau1[#All],12,FALSE))</f>
        <v/>
      </c>
    </row>
    <row r="20" spans="1:12" x14ac:dyDescent="0.3">
      <c r="A20" s="18"/>
      <c r="B20" s="19"/>
      <c r="C20" s="13" t="str">
        <f>IF(Tableau1345678910[[#This Row],[Repère]]="","",VLOOKUP(Tableau1345678910[[#This Row],[Repère]],Tableau1[#All],3,FALSE))</f>
        <v/>
      </c>
      <c r="D20" s="13" t="str">
        <f>IF(Tableau1345678910[[#This Row],[Repère]]="","",VLOOKUP(Tableau1345678910[[#This Row],[Repère]],Tableau1[#All],4,FALSE))</f>
        <v/>
      </c>
      <c r="E20" s="13" t="str">
        <f>IF(Tableau1345678910[[#This Row],[Repère]]="","",VLOOKUP(Tableau1345678910[[#This Row],[Repère]],Tableau1[#All],5,FALSE))</f>
        <v/>
      </c>
      <c r="F20" s="13" t="str">
        <f>IF(Tableau1345678910[[#This Row],[Repère]]="","",VLOOKUP(Tableau1345678910[[#This Row],[Repère]],Tableau1[#All],6,FALSE))</f>
        <v/>
      </c>
      <c r="G20" s="13" t="str">
        <f>IF(Tableau1345678910[[#This Row],[Repère]]="","",VLOOKUP(Tableau1345678910[[#This Row],[Repère]],Tableau1[#All],7,FALSE))</f>
        <v/>
      </c>
      <c r="H20" s="13" t="str">
        <f>IF(Tableau1345678910[[#This Row],[Repère]]="","",VLOOKUP(Tableau1345678910[[#This Row],[Repère]],Tableau1[#All],8,FALSE))</f>
        <v/>
      </c>
      <c r="I20" s="13" t="str">
        <f>IF(Tableau1345678910[[#This Row],[Repère]]="","",VLOOKUP(Tableau1345678910[[#This Row],[Repère]],Tableau1[#All],9,FALSE))</f>
        <v/>
      </c>
      <c r="J20" s="13" t="str">
        <f>IF(Tableau1345678910[[#This Row],[Repère]]="","",VLOOKUP(Tableau1345678910[[#This Row],[Repère]],Tableau1[#All],10,FALSE))</f>
        <v/>
      </c>
      <c r="K20" s="13" t="str">
        <f>IF(Tableau1345678910[[#This Row],[Repère]]="","",VLOOKUP(Tableau1345678910[[#This Row],[Repère]],Tableau1[#All],11,FALSE))</f>
        <v/>
      </c>
      <c r="L20" s="14" t="str">
        <f>IF(Tableau1345678910[[#This Row],[Repère]]="","",VLOOKUP(Tableau1345678910[[#This Row],[Repère]],Tableau1[#All],12,FALSE))</f>
        <v/>
      </c>
    </row>
    <row r="21" spans="1:12" x14ac:dyDescent="0.3">
      <c r="A21" s="18"/>
      <c r="B21" s="19"/>
      <c r="C21" s="13" t="str">
        <f>IF(Tableau1345678910[[#This Row],[Repère]]="","",VLOOKUP(Tableau1345678910[[#This Row],[Repère]],Tableau1[#All],3,FALSE))</f>
        <v/>
      </c>
      <c r="D21" s="13" t="str">
        <f>IF(Tableau1345678910[[#This Row],[Repère]]="","",VLOOKUP(Tableau1345678910[[#This Row],[Repère]],Tableau1[#All],4,FALSE))</f>
        <v/>
      </c>
      <c r="E21" s="13" t="str">
        <f>IF(Tableau1345678910[[#This Row],[Repère]]="","",VLOOKUP(Tableau1345678910[[#This Row],[Repère]],Tableau1[#All],5,FALSE))</f>
        <v/>
      </c>
      <c r="F21" s="13" t="str">
        <f>IF(Tableau1345678910[[#This Row],[Repère]]="","",VLOOKUP(Tableau1345678910[[#This Row],[Repère]],Tableau1[#All],6,FALSE))</f>
        <v/>
      </c>
      <c r="G21" s="13" t="str">
        <f>IF(Tableau1345678910[[#This Row],[Repère]]="","",VLOOKUP(Tableau1345678910[[#This Row],[Repère]],Tableau1[#All],7,FALSE))</f>
        <v/>
      </c>
      <c r="H21" s="13" t="str">
        <f>IF(Tableau1345678910[[#This Row],[Repère]]="","",VLOOKUP(Tableau1345678910[[#This Row],[Repère]],Tableau1[#All],8,FALSE))</f>
        <v/>
      </c>
      <c r="I21" s="13" t="str">
        <f>IF(Tableau1345678910[[#This Row],[Repère]]="","",VLOOKUP(Tableau1345678910[[#This Row],[Repère]],Tableau1[#All],9,FALSE))</f>
        <v/>
      </c>
      <c r="J21" s="13" t="str">
        <f>IF(Tableau1345678910[[#This Row],[Repère]]="","",VLOOKUP(Tableau1345678910[[#This Row],[Repère]],Tableau1[#All],10,FALSE))</f>
        <v/>
      </c>
      <c r="K21" s="13" t="str">
        <f>IF(Tableau1345678910[[#This Row],[Repère]]="","",VLOOKUP(Tableau1345678910[[#This Row],[Repère]],Tableau1[#All],11,FALSE))</f>
        <v/>
      </c>
      <c r="L21" s="14" t="str">
        <f>IF(Tableau1345678910[[#This Row],[Repère]]="","",VLOOKUP(Tableau1345678910[[#This Row],[Repère]],Tableau1[#All],12,FALSE))</f>
        <v/>
      </c>
    </row>
    <row r="22" spans="1:12" x14ac:dyDescent="0.3">
      <c r="A22" s="18"/>
      <c r="B22" s="19"/>
      <c r="C22" s="13" t="str">
        <f>IF(Tableau1345678910[[#This Row],[Repère]]="","",VLOOKUP(Tableau1345678910[[#This Row],[Repère]],Tableau1[#All],3,FALSE))</f>
        <v/>
      </c>
      <c r="D22" s="13" t="str">
        <f>IF(Tableau1345678910[[#This Row],[Repère]]="","",VLOOKUP(Tableau1345678910[[#This Row],[Repère]],Tableau1[#All],4,FALSE))</f>
        <v/>
      </c>
      <c r="E22" s="13" t="str">
        <f>IF(Tableau1345678910[[#This Row],[Repère]]="","",VLOOKUP(Tableau1345678910[[#This Row],[Repère]],Tableau1[#All],5,FALSE))</f>
        <v/>
      </c>
      <c r="F22" s="13" t="str">
        <f>IF(Tableau1345678910[[#This Row],[Repère]]="","",VLOOKUP(Tableau1345678910[[#This Row],[Repère]],Tableau1[#All],6,FALSE))</f>
        <v/>
      </c>
      <c r="G22" s="13" t="str">
        <f>IF(Tableau1345678910[[#This Row],[Repère]]="","",VLOOKUP(Tableau1345678910[[#This Row],[Repère]],Tableau1[#All],7,FALSE))</f>
        <v/>
      </c>
      <c r="H22" s="13" t="str">
        <f>IF(Tableau1345678910[[#This Row],[Repère]]="","",VLOOKUP(Tableau1345678910[[#This Row],[Repère]],Tableau1[#All],8,FALSE))</f>
        <v/>
      </c>
      <c r="I22" s="13" t="str">
        <f>IF(Tableau1345678910[[#This Row],[Repère]]="","",VLOOKUP(Tableau1345678910[[#This Row],[Repère]],Tableau1[#All],9,FALSE))</f>
        <v/>
      </c>
      <c r="J22" s="13" t="str">
        <f>IF(Tableau1345678910[[#This Row],[Repère]]="","",VLOOKUP(Tableau1345678910[[#This Row],[Repère]],Tableau1[#All],10,FALSE))</f>
        <v/>
      </c>
      <c r="K22" s="13" t="str">
        <f>IF(Tableau1345678910[[#This Row],[Repère]]="","",VLOOKUP(Tableau1345678910[[#This Row],[Repère]],Tableau1[#All],11,FALSE))</f>
        <v/>
      </c>
      <c r="L22" s="14" t="str">
        <f>IF(Tableau1345678910[[#This Row],[Repère]]="","",VLOOKUP(Tableau1345678910[[#This Row],[Repère]],Tableau1[#All],12,FALSE))</f>
        <v/>
      </c>
    </row>
    <row r="23" spans="1:12" x14ac:dyDescent="0.3">
      <c r="A23" s="18"/>
      <c r="B23" s="19"/>
      <c r="C23" s="13" t="str">
        <f>IF(Tableau1345678910[[#This Row],[Repère]]="","",VLOOKUP(Tableau1345678910[[#This Row],[Repère]],Tableau1[#All],3,FALSE))</f>
        <v/>
      </c>
      <c r="D23" s="13" t="str">
        <f>IF(Tableau1345678910[[#This Row],[Repère]]="","",VLOOKUP(Tableau1345678910[[#This Row],[Repère]],Tableau1[#All],4,FALSE))</f>
        <v/>
      </c>
      <c r="E23" s="13" t="str">
        <f>IF(Tableau1345678910[[#This Row],[Repère]]="","",VLOOKUP(Tableau1345678910[[#This Row],[Repère]],Tableau1[#All],5,FALSE))</f>
        <v/>
      </c>
      <c r="F23" s="13" t="str">
        <f>IF(Tableau1345678910[[#This Row],[Repère]]="","",VLOOKUP(Tableau1345678910[[#This Row],[Repère]],Tableau1[#All],6,FALSE))</f>
        <v/>
      </c>
      <c r="G23" s="13" t="str">
        <f>IF(Tableau1345678910[[#This Row],[Repère]]="","",VLOOKUP(Tableau1345678910[[#This Row],[Repère]],Tableau1[#All],7,FALSE))</f>
        <v/>
      </c>
      <c r="H23" s="13" t="str">
        <f>IF(Tableau1345678910[[#This Row],[Repère]]="","",VLOOKUP(Tableau1345678910[[#This Row],[Repère]],Tableau1[#All],8,FALSE))</f>
        <v/>
      </c>
      <c r="I23" s="13" t="str">
        <f>IF(Tableau1345678910[[#This Row],[Repère]]="","",VLOOKUP(Tableau1345678910[[#This Row],[Repère]],Tableau1[#All],9,FALSE))</f>
        <v/>
      </c>
      <c r="J23" s="13" t="str">
        <f>IF(Tableau1345678910[[#This Row],[Repère]]="","",VLOOKUP(Tableau1345678910[[#This Row],[Repère]],Tableau1[#All],10,FALSE))</f>
        <v/>
      </c>
      <c r="K23" s="13" t="str">
        <f>IF(Tableau1345678910[[#This Row],[Repère]]="","",VLOOKUP(Tableau1345678910[[#This Row],[Repère]],Tableau1[#All],11,FALSE))</f>
        <v/>
      </c>
      <c r="L23" s="14" t="str">
        <f>IF(Tableau1345678910[[#This Row],[Repère]]="","",VLOOKUP(Tableau1345678910[[#This Row],[Repère]],Tableau1[#All],12,FALSE))</f>
        <v/>
      </c>
    </row>
    <row r="24" spans="1:12" x14ac:dyDescent="0.3">
      <c r="A24" s="18"/>
      <c r="B24" s="19"/>
      <c r="C24" s="13" t="str">
        <f>IF(Tableau1345678910[[#This Row],[Repère]]="","",VLOOKUP(Tableau1345678910[[#This Row],[Repère]],Tableau1[#All],3,FALSE))</f>
        <v/>
      </c>
      <c r="D24" s="13" t="str">
        <f>IF(Tableau1345678910[[#This Row],[Repère]]="","",VLOOKUP(Tableau1345678910[[#This Row],[Repère]],Tableau1[#All],4,FALSE))</f>
        <v/>
      </c>
      <c r="E24" s="13" t="str">
        <f>IF(Tableau1345678910[[#This Row],[Repère]]="","",VLOOKUP(Tableau1345678910[[#This Row],[Repère]],Tableau1[#All],5,FALSE))</f>
        <v/>
      </c>
      <c r="F24" s="13" t="str">
        <f>IF(Tableau1345678910[[#This Row],[Repère]]="","",VLOOKUP(Tableau1345678910[[#This Row],[Repère]],Tableau1[#All],6,FALSE))</f>
        <v/>
      </c>
      <c r="G24" s="13" t="str">
        <f>IF(Tableau1345678910[[#This Row],[Repère]]="","",VLOOKUP(Tableau1345678910[[#This Row],[Repère]],Tableau1[#All],7,FALSE))</f>
        <v/>
      </c>
      <c r="H24" s="13" t="str">
        <f>IF(Tableau1345678910[[#This Row],[Repère]]="","",VLOOKUP(Tableau1345678910[[#This Row],[Repère]],Tableau1[#All],8,FALSE))</f>
        <v/>
      </c>
      <c r="I24" s="13" t="str">
        <f>IF(Tableau1345678910[[#This Row],[Repère]]="","",VLOOKUP(Tableau1345678910[[#This Row],[Repère]],Tableau1[#All],9,FALSE))</f>
        <v/>
      </c>
      <c r="J24" s="13" t="str">
        <f>IF(Tableau1345678910[[#This Row],[Repère]]="","",VLOOKUP(Tableau1345678910[[#This Row],[Repère]],Tableau1[#All],10,FALSE))</f>
        <v/>
      </c>
      <c r="K24" s="13" t="str">
        <f>IF(Tableau1345678910[[#This Row],[Repère]]="","",VLOOKUP(Tableau1345678910[[#This Row],[Repère]],Tableau1[#All],11,FALSE))</f>
        <v/>
      </c>
      <c r="L24" s="14" t="str">
        <f>IF(Tableau1345678910[[#This Row],[Repère]]="","",VLOOKUP(Tableau1345678910[[#This Row],[Repère]],Tableau1[#All],12,FALSE))</f>
        <v/>
      </c>
    </row>
    <row r="25" spans="1:12" x14ac:dyDescent="0.3">
      <c r="A25" s="18"/>
      <c r="B25" s="19"/>
      <c r="C25" s="13" t="str">
        <f>IF(Tableau1345678910[[#This Row],[Repère]]="","",VLOOKUP(Tableau1345678910[[#This Row],[Repère]],Tableau1[#All],3,FALSE))</f>
        <v/>
      </c>
      <c r="D25" s="13" t="str">
        <f>IF(Tableau1345678910[[#This Row],[Repère]]="","",VLOOKUP(Tableau1345678910[[#This Row],[Repère]],Tableau1[#All],4,FALSE))</f>
        <v/>
      </c>
      <c r="E25" s="13" t="str">
        <f>IF(Tableau1345678910[[#This Row],[Repère]]="","",VLOOKUP(Tableau1345678910[[#This Row],[Repère]],Tableau1[#All],5,FALSE))</f>
        <v/>
      </c>
      <c r="F25" s="13" t="str">
        <f>IF(Tableau1345678910[[#This Row],[Repère]]="","",VLOOKUP(Tableau1345678910[[#This Row],[Repère]],Tableau1[#All],6,FALSE))</f>
        <v/>
      </c>
      <c r="G25" s="13" t="str">
        <f>IF(Tableau1345678910[[#This Row],[Repère]]="","",VLOOKUP(Tableau1345678910[[#This Row],[Repère]],Tableau1[#All],7,FALSE))</f>
        <v/>
      </c>
      <c r="H25" s="13" t="str">
        <f>IF(Tableau1345678910[[#This Row],[Repère]]="","",VLOOKUP(Tableau1345678910[[#This Row],[Repère]],Tableau1[#All],8,FALSE))</f>
        <v/>
      </c>
      <c r="I25" s="13" t="str">
        <f>IF(Tableau1345678910[[#This Row],[Repère]]="","",VLOOKUP(Tableau1345678910[[#This Row],[Repère]],Tableau1[#All],9,FALSE))</f>
        <v/>
      </c>
      <c r="J25" s="13" t="str">
        <f>IF(Tableau1345678910[[#This Row],[Repère]]="","",VLOOKUP(Tableau1345678910[[#This Row],[Repère]],Tableau1[#All],10,FALSE))</f>
        <v/>
      </c>
      <c r="K25" s="13" t="str">
        <f>IF(Tableau1345678910[[#This Row],[Repère]]="","",VLOOKUP(Tableau1345678910[[#This Row],[Repère]],Tableau1[#All],11,FALSE))</f>
        <v/>
      </c>
      <c r="L25" s="14" t="str">
        <f>IF(Tableau1345678910[[#This Row],[Repère]]="","",VLOOKUP(Tableau1345678910[[#This Row],[Repère]],Tableau1[#All],12,FALSE))</f>
        <v/>
      </c>
    </row>
    <row r="26" spans="1:12" x14ac:dyDescent="0.3">
      <c r="A26" s="18"/>
      <c r="B26" s="19"/>
      <c r="C26" s="13" t="str">
        <f>IF(Tableau1345678910[[#This Row],[Repère]]="","",VLOOKUP(Tableau1345678910[[#This Row],[Repère]],Tableau1[#All],3,FALSE))</f>
        <v/>
      </c>
      <c r="D26" s="13" t="str">
        <f>IF(Tableau1345678910[[#This Row],[Repère]]="","",VLOOKUP(Tableau1345678910[[#This Row],[Repère]],Tableau1[#All],4,FALSE))</f>
        <v/>
      </c>
      <c r="E26" s="13" t="str">
        <f>IF(Tableau1345678910[[#This Row],[Repère]]="","",VLOOKUP(Tableau1345678910[[#This Row],[Repère]],Tableau1[#All],5,FALSE))</f>
        <v/>
      </c>
      <c r="F26" s="13" t="str">
        <f>IF(Tableau1345678910[[#This Row],[Repère]]="","",VLOOKUP(Tableau1345678910[[#This Row],[Repère]],Tableau1[#All],6,FALSE))</f>
        <v/>
      </c>
      <c r="G26" s="13" t="str">
        <f>IF(Tableau1345678910[[#This Row],[Repère]]="","",VLOOKUP(Tableau1345678910[[#This Row],[Repère]],Tableau1[#All],7,FALSE))</f>
        <v/>
      </c>
      <c r="H26" s="13" t="str">
        <f>IF(Tableau1345678910[[#This Row],[Repère]]="","",VLOOKUP(Tableau1345678910[[#This Row],[Repère]],Tableau1[#All],8,FALSE))</f>
        <v/>
      </c>
      <c r="I26" s="13" t="str">
        <f>IF(Tableau1345678910[[#This Row],[Repère]]="","",VLOOKUP(Tableau1345678910[[#This Row],[Repère]],Tableau1[#All],9,FALSE))</f>
        <v/>
      </c>
      <c r="J26" s="13" t="str">
        <f>IF(Tableau1345678910[[#This Row],[Repère]]="","",VLOOKUP(Tableau1345678910[[#This Row],[Repère]],Tableau1[#All],10,FALSE))</f>
        <v/>
      </c>
      <c r="K26" s="13" t="str">
        <f>IF(Tableau1345678910[[#This Row],[Repère]]="","",VLOOKUP(Tableau1345678910[[#This Row],[Repère]],Tableau1[#All],11,FALSE))</f>
        <v/>
      </c>
      <c r="L26" s="14" t="str">
        <f>IF(Tableau1345678910[[#This Row],[Repère]]="","",VLOOKUP(Tableau1345678910[[#This Row],[Repère]],Tableau1[#All],12,FALSE))</f>
        <v/>
      </c>
    </row>
    <row r="27" spans="1:12" x14ac:dyDescent="0.3">
      <c r="A27" s="18"/>
      <c r="B27" s="19"/>
      <c r="C27" s="13" t="str">
        <f>IF(Tableau1345678910[[#This Row],[Repère]]="","",VLOOKUP(Tableau1345678910[[#This Row],[Repère]],Tableau1[#All],3,FALSE))</f>
        <v/>
      </c>
      <c r="D27" s="13" t="str">
        <f>IF(Tableau1345678910[[#This Row],[Repère]]="","",VLOOKUP(Tableau1345678910[[#This Row],[Repère]],Tableau1[#All],4,FALSE))</f>
        <v/>
      </c>
      <c r="E27" s="13" t="str">
        <f>IF(Tableau1345678910[[#This Row],[Repère]]="","",VLOOKUP(Tableau1345678910[[#This Row],[Repère]],Tableau1[#All],5,FALSE))</f>
        <v/>
      </c>
      <c r="F27" s="13" t="str">
        <f>IF(Tableau1345678910[[#This Row],[Repère]]="","",VLOOKUP(Tableau1345678910[[#This Row],[Repère]],Tableau1[#All],6,FALSE))</f>
        <v/>
      </c>
      <c r="G27" s="13" t="str">
        <f>IF(Tableau1345678910[[#This Row],[Repère]]="","",VLOOKUP(Tableau1345678910[[#This Row],[Repère]],Tableau1[#All],7,FALSE))</f>
        <v/>
      </c>
      <c r="H27" s="13" t="str">
        <f>IF(Tableau1345678910[[#This Row],[Repère]]="","",VLOOKUP(Tableau1345678910[[#This Row],[Repère]],Tableau1[#All],8,FALSE))</f>
        <v/>
      </c>
      <c r="I27" s="13" t="str">
        <f>IF(Tableau1345678910[[#This Row],[Repère]]="","",VLOOKUP(Tableau1345678910[[#This Row],[Repère]],Tableau1[#All],9,FALSE))</f>
        <v/>
      </c>
      <c r="J27" s="13" t="str">
        <f>IF(Tableau1345678910[[#This Row],[Repère]]="","",VLOOKUP(Tableau1345678910[[#This Row],[Repère]],Tableau1[#All],10,FALSE))</f>
        <v/>
      </c>
      <c r="K27" s="13" t="str">
        <f>IF(Tableau1345678910[[#This Row],[Repère]]="","",VLOOKUP(Tableau1345678910[[#This Row],[Repère]],Tableau1[#All],11,FALSE))</f>
        <v/>
      </c>
      <c r="L27" s="14" t="str">
        <f>IF(Tableau1345678910[[#This Row],[Repère]]="","",VLOOKUP(Tableau1345678910[[#This Row],[Repère]],Tableau1[#All],12,FALSE))</f>
        <v/>
      </c>
    </row>
    <row r="28" spans="1:12" x14ac:dyDescent="0.3">
      <c r="A28" s="18"/>
      <c r="B28" s="19"/>
      <c r="C28" s="13" t="str">
        <f>IF(Tableau1345678910[[#This Row],[Repère]]="","",VLOOKUP(Tableau1345678910[[#This Row],[Repère]],Tableau1[#All],3,FALSE))</f>
        <v/>
      </c>
      <c r="D28" s="13" t="str">
        <f>IF(Tableau1345678910[[#This Row],[Repère]]="","",VLOOKUP(Tableau1345678910[[#This Row],[Repère]],Tableau1[#All],4,FALSE))</f>
        <v/>
      </c>
      <c r="E28" s="13" t="str">
        <f>IF(Tableau1345678910[[#This Row],[Repère]]="","",VLOOKUP(Tableau1345678910[[#This Row],[Repère]],Tableau1[#All],5,FALSE))</f>
        <v/>
      </c>
      <c r="F28" s="13" t="str">
        <f>IF(Tableau1345678910[[#This Row],[Repère]]="","",VLOOKUP(Tableau1345678910[[#This Row],[Repère]],Tableau1[#All],6,FALSE))</f>
        <v/>
      </c>
      <c r="G28" s="13" t="str">
        <f>IF(Tableau1345678910[[#This Row],[Repère]]="","",VLOOKUP(Tableau1345678910[[#This Row],[Repère]],Tableau1[#All],7,FALSE))</f>
        <v/>
      </c>
      <c r="H28" s="13" t="str">
        <f>IF(Tableau1345678910[[#This Row],[Repère]]="","",VLOOKUP(Tableau1345678910[[#This Row],[Repère]],Tableau1[#All],8,FALSE))</f>
        <v/>
      </c>
      <c r="I28" s="13" t="str">
        <f>IF(Tableau1345678910[[#This Row],[Repère]]="","",VLOOKUP(Tableau1345678910[[#This Row],[Repère]],Tableau1[#All],9,FALSE))</f>
        <v/>
      </c>
      <c r="J28" s="13" t="str">
        <f>IF(Tableau1345678910[[#This Row],[Repère]]="","",VLOOKUP(Tableau1345678910[[#This Row],[Repère]],Tableau1[#All],10,FALSE))</f>
        <v/>
      </c>
      <c r="K28" s="13" t="str">
        <f>IF(Tableau1345678910[[#This Row],[Repère]]="","",VLOOKUP(Tableau1345678910[[#This Row],[Repère]],Tableau1[#All],11,FALSE))</f>
        <v/>
      </c>
      <c r="L28" s="14" t="str">
        <f>IF(Tableau1345678910[[#This Row],[Repère]]="","",VLOOKUP(Tableau1345678910[[#This Row],[Repère]],Tableau1[#All],12,FALSE))</f>
        <v/>
      </c>
    </row>
    <row r="29" spans="1:12" x14ac:dyDescent="0.3">
      <c r="A29" s="18"/>
      <c r="B29" s="19"/>
      <c r="C29" s="13" t="str">
        <f>IF(Tableau1345678910[[#This Row],[Repère]]="","",VLOOKUP(Tableau1345678910[[#This Row],[Repère]],Tableau1[#All],3,FALSE))</f>
        <v/>
      </c>
      <c r="D29" s="13" t="str">
        <f>IF(Tableau1345678910[[#This Row],[Repère]]="","",VLOOKUP(Tableau1345678910[[#This Row],[Repère]],Tableau1[#All],4,FALSE))</f>
        <v/>
      </c>
      <c r="E29" s="13" t="str">
        <f>IF(Tableau1345678910[[#This Row],[Repère]]="","",VLOOKUP(Tableau1345678910[[#This Row],[Repère]],Tableau1[#All],5,FALSE))</f>
        <v/>
      </c>
      <c r="F29" s="13" t="str">
        <f>IF(Tableau1345678910[[#This Row],[Repère]]="","",VLOOKUP(Tableau1345678910[[#This Row],[Repère]],Tableau1[#All],6,FALSE))</f>
        <v/>
      </c>
      <c r="G29" s="13" t="str">
        <f>IF(Tableau1345678910[[#This Row],[Repère]]="","",VLOOKUP(Tableau1345678910[[#This Row],[Repère]],Tableau1[#All],7,FALSE))</f>
        <v/>
      </c>
      <c r="H29" s="13" t="str">
        <f>IF(Tableau1345678910[[#This Row],[Repère]]="","",VLOOKUP(Tableau1345678910[[#This Row],[Repère]],Tableau1[#All],8,FALSE))</f>
        <v/>
      </c>
      <c r="I29" s="13" t="str">
        <f>IF(Tableau1345678910[[#This Row],[Repère]]="","",VLOOKUP(Tableau1345678910[[#This Row],[Repère]],Tableau1[#All],9,FALSE))</f>
        <v/>
      </c>
      <c r="J29" s="13" t="str">
        <f>IF(Tableau1345678910[[#This Row],[Repère]]="","",VLOOKUP(Tableau1345678910[[#This Row],[Repère]],Tableau1[#All],10,FALSE))</f>
        <v/>
      </c>
      <c r="K29" s="13" t="str">
        <f>IF(Tableau1345678910[[#This Row],[Repère]]="","",VLOOKUP(Tableau1345678910[[#This Row],[Repère]],Tableau1[#All],11,FALSE))</f>
        <v/>
      </c>
      <c r="L29" s="14" t="str">
        <f>IF(Tableau1345678910[[#This Row],[Repère]]="","",VLOOKUP(Tableau1345678910[[#This Row],[Repère]],Tableau1[#All],12,FALSE))</f>
        <v/>
      </c>
    </row>
    <row r="30" spans="1:12" x14ac:dyDescent="0.3">
      <c r="A30" s="18"/>
      <c r="B30" s="19"/>
      <c r="C30" s="13" t="str">
        <f>IF(Tableau1345678910[[#This Row],[Repère]]="","",VLOOKUP(Tableau1345678910[[#This Row],[Repère]],Tableau1[#All],3,FALSE))</f>
        <v/>
      </c>
      <c r="D30" s="13" t="str">
        <f>IF(Tableau1345678910[[#This Row],[Repère]]="","",VLOOKUP(Tableau1345678910[[#This Row],[Repère]],Tableau1[#All],4,FALSE))</f>
        <v/>
      </c>
      <c r="E30" s="13" t="str">
        <f>IF(Tableau1345678910[[#This Row],[Repère]]="","",VLOOKUP(Tableau1345678910[[#This Row],[Repère]],Tableau1[#All],5,FALSE))</f>
        <v/>
      </c>
      <c r="F30" s="13" t="str">
        <f>IF(Tableau1345678910[[#This Row],[Repère]]="","",VLOOKUP(Tableau1345678910[[#This Row],[Repère]],Tableau1[#All],6,FALSE))</f>
        <v/>
      </c>
      <c r="G30" s="13" t="str">
        <f>IF(Tableau1345678910[[#This Row],[Repère]]="","",VLOOKUP(Tableau1345678910[[#This Row],[Repère]],Tableau1[#All],7,FALSE))</f>
        <v/>
      </c>
      <c r="H30" s="13" t="str">
        <f>IF(Tableau1345678910[[#This Row],[Repère]]="","",VLOOKUP(Tableau1345678910[[#This Row],[Repère]],Tableau1[#All],8,FALSE))</f>
        <v/>
      </c>
      <c r="I30" s="13" t="str">
        <f>IF(Tableau1345678910[[#This Row],[Repère]]="","",VLOOKUP(Tableau1345678910[[#This Row],[Repère]],Tableau1[#All],9,FALSE))</f>
        <v/>
      </c>
      <c r="J30" s="13" t="str">
        <f>IF(Tableau1345678910[[#This Row],[Repère]]="","",VLOOKUP(Tableau1345678910[[#This Row],[Repère]],Tableau1[#All],10,FALSE))</f>
        <v/>
      </c>
      <c r="K30" s="13" t="str">
        <f>IF(Tableau1345678910[[#This Row],[Repère]]="","",VLOOKUP(Tableau1345678910[[#This Row],[Repère]],Tableau1[#All],11,FALSE))</f>
        <v/>
      </c>
      <c r="L30" s="14" t="str">
        <f>IF(Tableau1345678910[[#This Row],[Repère]]="","",VLOOKUP(Tableau1345678910[[#This Row],[Repère]],Tableau1[#All],12,FALSE))</f>
        <v/>
      </c>
    </row>
    <row r="31" spans="1:12" x14ac:dyDescent="0.3">
      <c r="A31" s="18"/>
      <c r="B31" s="19"/>
      <c r="C31" s="13" t="str">
        <f>IF(Tableau1345678910[[#This Row],[Repère]]="","",VLOOKUP(Tableau1345678910[[#This Row],[Repère]],Tableau1[#All],3,FALSE))</f>
        <v/>
      </c>
      <c r="D31" s="13" t="str">
        <f>IF(Tableau1345678910[[#This Row],[Repère]]="","",VLOOKUP(Tableau1345678910[[#This Row],[Repère]],Tableau1[#All],4,FALSE))</f>
        <v/>
      </c>
      <c r="E31" s="13" t="str">
        <f>IF(Tableau1345678910[[#This Row],[Repère]]="","",VLOOKUP(Tableau1345678910[[#This Row],[Repère]],Tableau1[#All],5,FALSE))</f>
        <v/>
      </c>
      <c r="F31" s="13" t="str">
        <f>IF(Tableau1345678910[[#This Row],[Repère]]="","",VLOOKUP(Tableau1345678910[[#This Row],[Repère]],Tableau1[#All],6,FALSE))</f>
        <v/>
      </c>
      <c r="G31" s="13" t="str">
        <f>IF(Tableau1345678910[[#This Row],[Repère]]="","",VLOOKUP(Tableau1345678910[[#This Row],[Repère]],Tableau1[#All],7,FALSE))</f>
        <v/>
      </c>
      <c r="H31" s="13" t="str">
        <f>IF(Tableau1345678910[[#This Row],[Repère]]="","",VLOOKUP(Tableau1345678910[[#This Row],[Repère]],Tableau1[#All],8,FALSE))</f>
        <v/>
      </c>
      <c r="I31" s="13" t="str">
        <f>IF(Tableau1345678910[[#This Row],[Repère]]="","",VLOOKUP(Tableau1345678910[[#This Row],[Repère]],Tableau1[#All],9,FALSE))</f>
        <v/>
      </c>
      <c r="J31" s="13" t="str">
        <f>IF(Tableau1345678910[[#This Row],[Repère]]="","",VLOOKUP(Tableau1345678910[[#This Row],[Repère]],Tableau1[#All],10,FALSE))</f>
        <v/>
      </c>
      <c r="K31" s="13" t="str">
        <f>IF(Tableau1345678910[[#This Row],[Repère]]="","",VLOOKUP(Tableau1345678910[[#This Row],[Repère]],Tableau1[#All],11,FALSE))</f>
        <v/>
      </c>
      <c r="L31" s="14" t="str">
        <f>IF(Tableau1345678910[[#This Row],[Repère]]="","",VLOOKUP(Tableau1345678910[[#This Row],[Repère]],Tableau1[#All],12,FALSE))</f>
        <v/>
      </c>
    </row>
    <row r="32" spans="1:12" x14ac:dyDescent="0.3">
      <c r="A32" s="18"/>
      <c r="B32" s="19"/>
      <c r="C32" s="13" t="str">
        <f>IF(Tableau1345678910[[#This Row],[Repère]]="","",VLOOKUP(Tableau1345678910[[#This Row],[Repère]],Tableau1[#All],3,FALSE))</f>
        <v/>
      </c>
      <c r="D32" s="13" t="str">
        <f>IF(Tableau1345678910[[#This Row],[Repère]]="","",VLOOKUP(Tableau1345678910[[#This Row],[Repère]],Tableau1[#All],4,FALSE))</f>
        <v/>
      </c>
      <c r="E32" s="13" t="str">
        <f>IF(Tableau1345678910[[#This Row],[Repère]]="","",VLOOKUP(Tableau1345678910[[#This Row],[Repère]],Tableau1[#All],5,FALSE))</f>
        <v/>
      </c>
      <c r="F32" s="13" t="str">
        <f>IF(Tableau1345678910[[#This Row],[Repère]]="","",VLOOKUP(Tableau1345678910[[#This Row],[Repère]],Tableau1[#All],6,FALSE))</f>
        <v/>
      </c>
      <c r="G32" s="13" t="str">
        <f>IF(Tableau1345678910[[#This Row],[Repère]]="","",VLOOKUP(Tableau1345678910[[#This Row],[Repère]],Tableau1[#All],7,FALSE))</f>
        <v/>
      </c>
      <c r="H32" s="13" t="str">
        <f>IF(Tableau1345678910[[#This Row],[Repère]]="","",VLOOKUP(Tableau1345678910[[#This Row],[Repère]],Tableau1[#All],8,FALSE))</f>
        <v/>
      </c>
      <c r="I32" s="13" t="str">
        <f>IF(Tableau1345678910[[#This Row],[Repère]]="","",VLOOKUP(Tableau1345678910[[#This Row],[Repère]],Tableau1[#All],9,FALSE))</f>
        <v/>
      </c>
      <c r="J32" s="13" t="str">
        <f>IF(Tableau1345678910[[#This Row],[Repère]]="","",VLOOKUP(Tableau1345678910[[#This Row],[Repère]],Tableau1[#All],10,FALSE))</f>
        <v/>
      </c>
      <c r="K32" s="13" t="str">
        <f>IF(Tableau1345678910[[#This Row],[Repère]]="","",VLOOKUP(Tableau1345678910[[#This Row],[Repère]],Tableau1[#All],11,FALSE))</f>
        <v/>
      </c>
      <c r="L32" s="14" t="str">
        <f>IF(Tableau1345678910[[#This Row],[Repère]]="","",VLOOKUP(Tableau1345678910[[#This Row],[Repère]],Tableau1[#All],12,FALSE))</f>
        <v/>
      </c>
    </row>
    <row r="33" spans="1:12" x14ac:dyDescent="0.3">
      <c r="A33" s="18"/>
      <c r="B33" s="19"/>
      <c r="C33" s="13" t="str">
        <f>IF(Tableau1345678910[[#This Row],[Repère]]="","",VLOOKUP(Tableau1345678910[[#This Row],[Repère]],Tableau1[#All],3,FALSE))</f>
        <v/>
      </c>
      <c r="D33" s="13" t="str">
        <f>IF(Tableau1345678910[[#This Row],[Repère]]="","",VLOOKUP(Tableau1345678910[[#This Row],[Repère]],Tableau1[#All],4,FALSE))</f>
        <v/>
      </c>
      <c r="E33" s="13" t="str">
        <f>IF(Tableau1345678910[[#This Row],[Repère]]="","",VLOOKUP(Tableau1345678910[[#This Row],[Repère]],Tableau1[#All],5,FALSE))</f>
        <v/>
      </c>
      <c r="F33" s="13" t="str">
        <f>IF(Tableau1345678910[[#This Row],[Repère]]="","",VLOOKUP(Tableau1345678910[[#This Row],[Repère]],Tableau1[#All],6,FALSE))</f>
        <v/>
      </c>
      <c r="G33" s="13" t="str">
        <f>IF(Tableau1345678910[[#This Row],[Repère]]="","",VLOOKUP(Tableau1345678910[[#This Row],[Repère]],Tableau1[#All],7,FALSE))</f>
        <v/>
      </c>
      <c r="H33" s="13" t="str">
        <f>IF(Tableau1345678910[[#This Row],[Repère]]="","",VLOOKUP(Tableau1345678910[[#This Row],[Repère]],Tableau1[#All],8,FALSE))</f>
        <v/>
      </c>
      <c r="I33" s="13" t="str">
        <f>IF(Tableau1345678910[[#This Row],[Repère]]="","",VLOOKUP(Tableau1345678910[[#This Row],[Repère]],Tableau1[#All],9,FALSE))</f>
        <v/>
      </c>
      <c r="J33" s="13" t="str">
        <f>IF(Tableau1345678910[[#This Row],[Repère]]="","",VLOOKUP(Tableau1345678910[[#This Row],[Repère]],Tableau1[#All],10,FALSE))</f>
        <v/>
      </c>
      <c r="K33" s="13" t="str">
        <f>IF(Tableau1345678910[[#This Row],[Repère]]="","",VLOOKUP(Tableau1345678910[[#This Row],[Repère]],Tableau1[#All],11,FALSE))</f>
        <v/>
      </c>
      <c r="L33" s="14" t="str">
        <f>IF(Tableau1345678910[[#This Row],[Repère]]="","",VLOOKUP(Tableau1345678910[[#This Row],[Repère]],Tableau1[#All],12,FALSE))</f>
        <v/>
      </c>
    </row>
    <row r="34" spans="1:12" x14ac:dyDescent="0.3">
      <c r="A34" s="18"/>
      <c r="B34" s="19"/>
      <c r="C34" s="13" t="str">
        <f>IF(Tableau1345678910[[#This Row],[Repère]]="","",VLOOKUP(Tableau1345678910[[#This Row],[Repère]],Tableau1[#All],3,FALSE))</f>
        <v/>
      </c>
      <c r="D34" s="13" t="str">
        <f>IF(Tableau1345678910[[#This Row],[Repère]]="","",VLOOKUP(Tableau1345678910[[#This Row],[Repère]],Tableau1[#All],4,FALSE))</f>
        <v/>
      </c>
      <c r="E34" s="13" t="str">
        <f>IF(Tableau1345678910[[#This Row],[Repère]]="","",VLOOKUP(Tableau1345678910[[#This Row],[Repère]],Tableau1[#All],5,FALSE))</f>
        <v/>
      </c>
      <c r="F34" s="13" t="str">
        <f>IF(Tableau1345678910[[#This Row],[Repère]]="","",VLOOKUP(Tableau1345678910[[#This Row],[Repère]],Tableau1[#All],6,FALSE))</f>
        <v/>
      </c>
      <c r="G34" s="13" t="str">
        <f>IF(Tableau1345678910[[#This Row],[Repère]]="","",VLOOKUP(Tableau1345678910[[#This Row],[Repère]],Tableau1[#All],7,FALSE))</f>
        <v/>
      </c>
      <c r="H34" s="13" t="str">
        <f>IF(Tableau1345678910[[#This Row],[Repère]]="","",VLOOKUP(Tableau1345678910[[#This Row],[Repère]],Tableau1[#All],8,FALSE))</f>
        <v/>
      </c>
      <c r="I34" s="13" t="str">
        <f>IF(Tableau1345678910[[#This Row],[Repère]]="","",VLOOKUP(Tableau1345678910[[#This Row],[Repère]],Tableau1[#All],9,FALSE))</f>
        <v/>
      </c>
      <c r="J34" s="13" t="str">
        <f>IF(Tableau1345678910[[#This Row],[Repère]]="","",VLOOKUP(Tableau1345678910[[#This Row],[Repère]],Tableau1[#All],10,FALSE))</f>
        <v/>
      </c>
      <c r="K34" s="13" t="str">
        <f>IF(Tableau1345678910[[#This Row],[Repère]]="","",VLOOKUP(Tableau1345678910[[#This Row],[Repère]],Tableau1[#All],11,FALSE))</f>
        <v/>
      </c>
      <c r="L34" s="14" t="str">
        <f>IF(Tableau1345678910[[#This Row],[Repère]]="","",VLOOKUP(Tableau1345678910[[#This Row],[Repère]],Tableau1[#All],12,FALSE))</f>
        <v/>
      </c>
    </row>
    <row r="35" spans="1:12" x14ac:dyDescent="0.3">
      <c r="A35" s="18"/>
      <c r="B35" s="19"/>
      <c r="C35" s="13" t="str">
        <f>IF(Tableau1345678910[[#This Row],[Repère]]="","",VLOOKUP(Tableau1345678910[[#This Row],[Repère]],Tableau1[#All],3,FALSE))</f>
        <v/>
      </c>
      <c r="D35" s="13" t="str">
        <f>IF(Tableau1345678910[[#This Row],[Repère]]="","",VLOOKUP(Tableau1345678910[[#This Row],[Repère]],Tableau1[#All],4,FALSE))</f>
        <v/>
      </c>
      <c r="E35" s="13" t="str">
        <f>IF(Tableau1345678910[[#This Row],[Repère]]="","",VLOOKUP(Tableau1345678910[[#This Row],[Repère]],Tableau1[#All],5,FALSE))</f>
        <v/>
      </c>
      <c r="F35" s="13" t="str">
        <f>IF(Tableau1345678910[[#This Row],[Repère]]="","",VLOOKUP(Tableau1345678910[[#This Row],[Repère]],Tableau1[#All],6,FALSE))</f>
        <v/>
      </c>
      <c r="G35" s="13" t="str">
        <f>IF(Tableau1345678910[[#This Row],[Repère]]="","",VLOOKUP(Tableau1345678910[[#This Row],[Repère]],Tableau1[#All],7,FALSE))</f>
        <v/>
      </c>
      <c r="H35" s="13" t="str">
        <f>IF(Tableau1345678910[[#This Row],[Repère]]="","",VLOOKUP(Tableau1345678910[[#This Row],[Repère]],Tableau1[#All],8,FALSE))</f>
        <v/>
      </c>
      <c r="I35" s="13" t="str">
        <f>IF(Tableau1345678910[[#This Row],[Repère]]="","",VLOOKUP(Tableau1345678910[[#This Row],[Repère]],Tableau1[#All],9,FALSE))</f>
        <v/>
      </c>
      <c r="J35" s="13" t="str">
        <f>IF(Tableau1345678910[[#This Row],[Repère]]="","",VLOOKUP(Tableau1345678910[[#This Row],[Repère]],Tableau1[#All],10,FALSE))</f>
        <v/>
      </c>
      <c r="K35" s="13" t="str">
        <f>IF(Tableau1345678910[[#This Row],[Repère]]="","",VLOOKUP(Tableau1345678910[[#This Row],[Repère]],Tableau1[#All],11,FALSE))</f>
        <v/>
      </c>
      <c r="L35" s="14" t="str">
        <f>IF(Tableau1345678910[[#This Row],[Repère]]="","",VLOOKUP(Tableau1345678910[[#This Row],[Repère]],Tableau1[#All],12,FALSE))</f>
        <v/>
      </c>
    </row>
    <row r="36" spans="1:12" x14ac:dyDescent="0.3">
      <c r="A36" s="18"/>
      <c r="B36" s="19"/>
      <c r="C36" s="13" t="str">
        <f>IF(Tableau1345678910[[#This Row],[Repère]]="","",VLOOKUP(Tableau1345678910[[#This Row],[Repère]],Tableau1[#All],3,FALSE))</f>
        <v/>
      </c>
      <c r="D36" s="13" t="str">
        <f>IF(Tableau1345678910[[#This Row],[Repère]]="","",VLOOKUP(Tableau1345678910[[#This Row],[Repère]],Tableau1[#All],4,FALSE))</f>
        <v/>
      </c>
      <c r="E36" s="13" t="str">
        <f>IF(Tableau1345678910[[#This Row],[Repère]]="","",VLOOKUP(Tableau1345678910[[#This Row],[Repère]],Tableau1[#All],5,FALSE))</f>
        <v/>
      </c>
      <c r="F36" s="13" t="str">
        <f>IF(Tableau1345678910[[#This Row],[Repère]]="","",VLOOKUP(Tableau1345678910[[#This Row],[Repère]],Tableau1[#All],6,FALSE))</f>
        <v/>
      </c>
      <c r="G36" s="13" t="str">
        <f>IF(Tableau1345678910[[#This Row],[Repère]]="","",VLOOKUP(Tableau1345678910[[#This Row],[Repère]],Tableau1[#All],7,FALSE))</f>
        <v/>
      </c>
      <c r="H36" s="13" t="str">
        <f>IF(Tableau1345678910[[#This Row],[Repère]]="","",VLOOKUP(Tableau1345678910[[#This Row],[Repère]],Tableau1[#All],8,FALSE))</f>
        <v/>
      </c>
      <c r="I36" s="13" t="str">
        <f>IF(Tableau1345678910[[#This Row],[Repère]]="","",VLOOKUP(Tableau1345678910[[#This Row],[Repère]],Tableau1[#All],9,FALSE))</f>
        <v/>
      </c>
      <c r="J36" s="13" t="str">
        <f>IF(Tableau1345678910[[#This Row],[Repère]]="","",VLOOKUP(Tableau1345678910[[#This Row],[Repère]],Tableau1[#All],10,FALSE))</f>
        <v/>
      </c>
      <c r="K36" s="13" t="str">
        <f>IF(Tableau1345678910[[#This Row],[Repère]]="","",VLOOKUP(Tableau1345678910[[#This Row],[Repère]],Tableau1[#All],11,FALSE))</f>
        <v/>
      </c>
      <c r="L36" s="14" t="str">
        <f>IF(Tableau1345678910[[#This Row],[Repère]]="","",VLOOKUP(Tableau1345678910[[#This Row],[Repère]],Tableau1[#All],12,FALSE))</f>
        <v/>
      </c>
    </row>
    <row r="37" spans="1:12" x14ac:dyDescent="0.3">
      <c r="A37" s="18"/>
      <c r="B37" s="19"/>
      <c r="C37" s="13" t="str">
        <f>IF(Tableau1345678910[[#This Row],[Repère]]="","",VLOOKUP(Tableau1345678910[[#This Row],[Repère]],Tableau1[#All],3,FALSE))</f>
        <v/>
      </c>
      <c r="D37" s="13" t="str">
        <f>IF(Tableau1345678910[[#This Row],[Repère]]="","",VLOOKUP(Tableau1345678910[[#This Row],[Repère]],Tableau1[#All],4,FALSE))</f>
        <v/>
      </c>
      <c r="E37" s="13" t="str">
        <f>IF(Tableau1345678910[[#This Row],[Repère]]="","",VLOOKUP(Tableau1345678910[[#This Row],[Repère]],Tableau1[#All],5,FALSE))</f>
        <v/>
      </c>
      <c r="F37" s="13" t="str">
        <f>IF(Tableau1345678910[[#This Row],[Repère]]="","",VLOOKUP(Tableau1345678910[[#This Row],[Repère]],Tableau1[#All],6,FALSE))</f>
        <v/>
      </c>
      <c r="G37" s="13" t="str">
        <f>IF(Tableau1345678910[[#This Row],[Repère]]="","",VLOOKUP(Tableau1345678910[[#This Row],[Repère]],Tableau1[#All],7,FALSE))</f>
        <v/>
      </c>
      <c r="H37" s="13" t="str">
        <f>IF(Tableau1345678910[[#This Row],[Repère]]="","",VLOOKUP(Tableau1345678910[[#This Row],[Repère]],Tableau1[#All],8,FALSE))</f>
        <v/>
      </c>
      <c r="I37" s="13" t="str">
        <f>IF(Tableau1345678910[[#This Row],[Repère]]="","",VLOOKUP(Tableau1345678910[[#This Row],[Repère]],Tableau1[#All],9,FALSE))</f>
        <v/>
      </c>
      <c r="J37" s="13" t="str">
        <f>IF(Tableau1345678910[[#This Row],[Repère]]="","",VLOOKUP(Tableau1345678910[[#This Row],[Repère]],Tableau1[#All],10,FALSE))</f>
        <v/>
      </c>
      <c r="K37" s="13" t="str">
        <f>IF(Tableau1345678910[[#This Row],[Repère]]="","",VLOOKUP(Tableau1345678910[[#This Row],[Repère]],Tableau1[#All],11,FALSE))</f>
        <v/>
      </c>
      <c r="L37" s="14" t="str">
        <f>IF(Tableau1345678910[[#This Row],[Repère]]="","",VLOOKUP(Tableau1345678910[[#This Row],[Repère]],Tableau1[#All],12,FALSE))</f>
        <v/>
      </c>
    </row>
    <row r="38" spans="1:12" x14ac:dyDescent="0.3">
      <c r="A38" s="18"/>
      <c r="B38" s="19"/>
      <c r="C38" s="13" t="str">
        <f>IF(Tableau1345678910[[#This Row],[Repère]]="","",VLOOKUP(Tableau1345678910[[#This Row],[Repère]],Tableau1[#All],3,FALSE))</f>
        <v/>
      </c>
      <c r="D38" s="13" t="str">
        <f>IF(Tableau1345678910[[#This Row],[Repère]]="","",VLOOKUP(Tableau1345678910[[#This Row],[Repère]],Tableau1[#All],4,FALSE))</f>
        <v/>
      </c>
      <c r="E38" s="13" t="str">
        <f>IF(Tableau1345678910[[#This Row],[Repère]]="","",VLOOKUP(Tableau1345678910[[#This Row],[Repère]],Tableau1[#All],5,FALSE))</f>
        <v/>
      </c>
      <c r="F38" s="13" t="str">
        <f>IF(Tableau1345678910[[#This Row],[Repère]]="","",VLOOKUP(Tableau1345678910[[#This Row],[Repère]],Tableau1[#All],6,FALSE))</f>
        <v/>
      </c>
      <c r="G38" s="13" t="str">
        <f>IF(Tableau1345678910[[#This Row],[Repère]]="","",VLOOKUP(Tableau1345678910[[#This Row],[Repère]],Tableau1[#All],7,FALSE))</f>
        <v/>
      </c>
      <c r="H38" s="13" t="str">
        <f>IF(Tableau1345678910[[#This Row],[Repère]]="","",VLOOKUP(Tableau1345678910[[#This Row],[Repère]],Tableau1[#All],8,FALSE))</f>
        <v/>
      </c>
      <c r="I38" s="13" t="str">
        <f>IF(Tableau1345678910[[#This Row],[Repère]]="","",VLOOKUP(Tableau1345678910[[#This Row],[Repère]],Tableau1[#All],9,FALSE))</f>
        <v/>
      </c>
      <c r="J38" s="13" t="str">
        <f>IF(Tableau1345678910[[#This Row],[Repère]]="","",VLOOKUP(Tableau1345678910[[#This Row],[Repère]],Tableau1[#All],10,FALSE))</f>
        <v/>
      </c>
      <c r="K38" s="13" t="str">
        <f>IF(Tableau1345678910[[#This Row],[Repère]]="","",VLOOKUP(Tableau1345678910[[#This Row],[Repère]],Tableau1[#All],11,FALSE))</f>
        <v/>
      </c>
      <c r="L38" s="14" t="str">
        <f>IF(Tableau1345678910[[#This Row],[Repère]]="","",VLOOKUP(Tableau1345678910[[#This Row],[Repère]],Tableau1[#All],12,FALSE))</f>
        <v/>
      </c>
    </row>
    <row r="39" spans="1:12" x14ac:dyDescent="0.3">
      <c r="A39" s="18"/>
      <c r="B39" s="19"/>
      <c r="C39" s="13" t="str">
        <f>IF(Tableau1345678910[[#This Row],[Repère]]="","",VLOOKUP(Tableau1345678910[[#This Row],[Repère]],Tableau1[#All],3,FALSE))</f>
        <v/>
      </c>
      <c r="D39" s="13" t="str">
        <f>IF(Tableau1345678910[[#This Row],[Repère]]="","",VLOOKUP(Tableau1345678910[[#This Row],[Repère]],Tableau1[#All],4,FALSE))</f>
        <v/>
      </c>
      <c r="E39" s="13" t="str">
        <f>IF(Tableau1345678910[[#This Row],[Repère]]="","",VLOOKUP(Tableau1345678910[[#This Row],[Repère]],Tableau1[#All],5,FALSE))</f>
        <v/>
      </c>
      <c r="F39" s="13" t="str">
        <f>IF(Tableau1345678910[[#This Row],[Repère]]="","",VLOOKUP(Tableau1345678910[[#This Row],[Repère]],Tableau1[#All],6,FALSE))</f>
        <v/>
      </c>
      <c r="G39" s="13" t="str">
        <f>IF(Tableau1345678910[[#This Row],[Repère]]="","",VLOOKUP(Tableau1345678910[[#This Row],[Repère]],Tableau1[#All],7,FALSE))</f>
        <v/>
      </c>
      <c r="H39" s="13" t="str">
        <f>IF(Tableau1345678910[[#This Row],[Repère]]="","",VLOOKUP(Tableau1345678910[[#This Row],[Repère]],Tableau1[#All],8,FALSE))</f>
        <v/>
      </c>
      <c r="I39" s="13" t="str">
        <f>IF(Tableau1345678910[[#This Row],[Repère]]="","",VLOOKUP(Tableau1345678910[[#This Row],[Repère]],Tableau1[#All],9,FALSE))</f>
        <v/>
      </c>
      <c r="J39" s="13" t="str">
        <f>IF(Tableau1345678910[[#This Row],[Repère]]="","",VLOOKUP(Tableau1345678910[[#This Row],[Repère]],Tableau1[#All],10,FALSE))</f>
        <v/>
      </c>
      <c r="K39" s="13" t="str">
        <f>IF(Tableau1345678910[[#This Row],[Repère]]="","",VLOOKUP(Tableau1345678910[[#This Row],[Repère]],Tableau1[#All],11,FALSE))</f>
        <v/>
      </c>
      <c r="L39" s="14" t="str">
        <f>IF(Tableau1345678910[[#This Row],[Repère]]="","",VLOOKUP(Tableau1345678910[[#This Row],[Repère]],Tableau1[#All],12,FALSE))</f>
        <v/>
      </c>
    </row>
    <row r="40" spans="1:12" x14ac:dyDescent="0.3">
      <c r="A40" s="18"/>
      <c r="B40" s="19"/>
      <c r="C40" s="13" t="str">
        <f>IF(Tableau1345678910[[#This Row],[Repère]]="","",VLOOKUP(Tableau1345678910[[#This Row],[Repère]],Tableau1[#All],3,FALSE))</f>
        <v/>
      </c>
      <c r="D40" s="13" t="str">
        <f>IF(Tableau1345678910[[#This Row],[Repère]]="","",VLOOKUP(Tableau1345678910[[#This Row],[Repère]],Tableau1[#All],4,FALSE))</f>
        <v/>
      </c>
      <c r="E40" s="13" t="str">
        <f>IF(Tableau1345678910[[#This Row],[Repère]]="","",VLOOKUP(Tableau1345678910[[#This Row],[Repère]],Tableau1[#All],5,FALSE))</f>
        <v/>
      </c>
      <c r="F40" s="13" t="str">
        <f>IF(Tableau1345678910[[#This Row],[Repère]]="","",VLOOKUP(Tableau1345678910[[#This Row],[Repère]],Tableau1[#All],6,FALSE))</f>
        <v/>
      </c>
      <c r="G40" s="13" t="str">
        <f>IF(Tableau1345678910[[#This Row],[Repère]]="","",VLOOKUP(Tableau1345678910[[#This Row],[Repère]],Tableau1[#All],7,FALSE))</f>
        <v/>
      </c>
      <c r="H40" s="13" t="str">
        <f>IF(Tableau1345678910[[#This Row],[Repère]]="","",VLOOKUP(Tableau1345678910[[#This Row],[Repère]],Tableau1[#All],8,FALSE))</f>
        <v/>
      </c>
      <c r="I40" s="13" t="str">
        <f>IF(Tableau1345678910[[#This Row],[Repère]]="","",VLOOKUP(Tableau1345678910[[#This Row],[Repère]],Tableau1[#All],9,FALSE))</f>
        <v/>
      </c>
      <c r="J40" s="13" t="str">
        <f>IF(Tableau1345678910[[#This Row],[Repère]]="","",VLOOKUP(Tableau1345678910[[#This Row],[Repère]],Tableau1[#All],10,FALSE))</f>
        <v/>
      </c>
      <c r="K40" s="13" t="str">
        <f>IF(Tableau1345678910[[#This Row],[Repère]]="","",VLOOKUP(Tableau1345678910[[#This Row],[Repère]],Tableau1[#All],11,FALSE))</f>
        <v/>
      </c>
      <c r="L40" s="14" t="str">
        <f>IF(Tableau1345678910[[#This Row],[Repère]]="","",VLOOKUP(Tableau1345678910[[#This Row],[Repère]],Tableau1[#All],12,FALSE))</f>
        <v/>
      </c>
    </row>
    <row r="41" spans="1:12" x14ac:dyDescent="0.3">
      <c r="A41" s="18"/>
      <c r="B41" s="19"/>
      <c r="C41" s="13" t="str">
        <f>IF(Tableau1345678910[[#This Row],[Repère]]="","",VLOOKUP(Tableau1345678910[[#This Row],[Repère]],Tableau1[#All],3,FALSE))</f>
        <v/>
      </c>
      <c r="D41" s="13" t="str">
        <f>IF(Tableau1345678910[[#This Row],[Repère]]="","",VLOOKUP(Tableau1345678910[[#This Row],[Repère]],Tableau1[#All],4,FALSE))</f>
        <v/>
      </c>
      <c r="E41" s="13" t="str">
        <f>IF(Tableau1345678910[[#This Row],[Repère]]="","",VLOOKUP(Tableau1345678910[[#This Row],[Repère]],Tableau1[#All],5,FALSE))</f>
        <v/>
      </c>
      <c r="F41" s="13" t="str">
        <f>IF(Tableau1345678910[[#This Row],[Repère]]="","",VLOOKUP(Tableau1345678910[[#This Row],[Repère]],Tableau1[#All],6,FALSE))</f>
        <v/>
      </c>
      <c r="G41" s="13" t="str">
        <f>IF(Tableau1345678910[[#This Row],[Repère]]="","",VLOOKUP(Tableau1345678910[[#This Row],[Repère]],Tableau1[#All],7,FALSE))</f>
        <v/>
      </c>
      <c r="H41" s="13" t="str">
        <f>IF(Tableau1345678910[[#This Row],[Repère]]="","",VLOOKUP(Tableau1345678910[[#This Row],[Repère]],Tableau1[#All],8,FALSE))</f>
        <v/>
      </c>
      <c r="I41" s="13" t="str">
        <f>IF(Tableau1345678910[[#This Row],[Repère]]="","",VLOOKUP(Tableau1345678910[[#This Row],[Repère]],Tableau1[#All],9,FALSE))</f>
        <v/>
      </c>
      <c r="J41" s="13" t="str">
        <f>IF(Tableau1345678910[[#This Row],[Repère]]="","",VLOOKUP(Tableau1345678910[[#This Row],[Repère]],Tableau1[#All],10,FALSE))</f>
        <v/>
      </c>
      <c r="K41" s="13" t="str">
        <f>IF(Tableau1345678910[[#This Row],[Repère]]="","",VLOOKUP(Tableau1345678910[[#This Row],[Repère]],Tableau1[#All],11,FALSE))</f>
        <v/>
      </c>
      <c r="L41" s="14" t="str">
        <f>IF(Tableau1345678910[[#This Row],[Repère]]="","",VLOOKUP(Tableau1345678910[[#This Row],[Repère]],Tableau1[#All],12,FALSE))</f>
        <v/>
      </c>
    </row>
    <row r="42" spans="1:12" x14ac:dyDescent="0.3">
      <c r="A42" s="18"/>
      <c r="B42" s="19"/>
      <c r="C42" s="13" t="str">
        <f>IF(Tableau1345678910[[#This Row],[Repère]]="","",VLOOKUP(Tableau1345678910[[#This Row],[Repère]],Tableau1[#All],3,FALSE))</f>
        <v/>
      </c>
      <c r="D42" s="13" t="str">
        <f>IF(Tableau1345678910[[#This Row],[Repère]]="","",VLOOKUP(Tableau1345678910[[#This Row],[Repère]],Tableau1[#All],4,FALSE))</f>
        <v/>
      </c>
      <c r="E42" s="13" t="str">
        <f>IF(Tableau1345678910[[#This Row],[Repère]]="","",VLOOKUP(Tableau1345678910[[#This Row],[Repère]],Tableau1[#All],5,FALSE))</f>
        <v/>
      </c>
      <c r="F42" s="13" t="str">
        <f>IF(Tableau1345678910[[#This Row],[Repère]]="","",VLOOKUP(Tableau1345678910[[#This Row],[Repère]],Tableau1[#All],6,FALSE))</f>
        <v/>
      </c>
      <c r="G42" s="13" t="str">
        <f>IF(Tableau1345678910[[#This Row],[Repère]]="","",VLOOKUP(Tableau1345678910[[#This Row],[Repère]],Tableau1[#All],7,FALSE))</f>
        <v/>
      </c>
      <c r="H42" s="13" t="str">
        <f>IF(Tableau1345678910[[#This Row],[Repère]]="","",VLOOKUP(Tableau1345678910[[#This Row],[Repère]],Tableau1[#All],8,FALSE))</f>
        <v/>
      </c>
      <c r="I42" s="13" t="str">
        <f>IF(Tableau1345678910[[#This Row],[Repère]]="","",VLOOKUP(Tableau1345678910[[#This Row],[Repère]],Tableau1[#All],9,FALSE))</f>
        <v/>
      </c>
      <c r="J42" s="13" t="str">
        <f>IF(Tableau1345678910[[#This Row],[Repère]]="","",VLOOKUP(Tableau1345678910[[#This Row],[Repère]],Tableau1[#All],10,FALSE))</f>
        <v/>
      </c>
      <c r="K42" s="13" t="str">
        <f>IF(Tableau1345678910[[#This Row],[Repère]]="","",VLOOKUP(Tableau1345678910[[#This Row],[Repère]],Tableau1[#All],11,FALSE))</f>
        <v/>
      </c>
      <c r="L42" s="14" t="str">
        <f>IF(Tableau1345678910[[#This Row],[Repère]]="","",VLOOKUP(Tableau1345678910[[#This Row],[Repère]],Tableau1[#All],12,FALSE))</f>
        <v/>
      </c>
    </row>
    <row r="43" spans="1:12" x14ac:dyDescent="0.3">
      <c r="A43" s="18"/>
      <c r="B43" s="19"/>
      <c r="C43" s="13" t="str">
        <f>IF(Tableau1345678910[[#This Row],[Repère]]="","",VLOOKUP(Tableau1345678910[[#This Row],[Repère]],Tableau1[#All],3,FALSE))</f>
        <v/>
      </c>
      <c r="D43" s="13" t="str">
        <f>IF(Tableau1345678910[[#This Row],[Repère]]="","",VLOOKUP(Tableau1345678910[[#This Row],[Repère]],Tableau1[#All],4,FALSE))</f>
        <v/>
      </c>
      <c r="E43" s="13" t="str">
        <f>IF(Tableau1345678910[[#This Row],[Repère]]="","",VLOOKUP(Tableau1345678910[[#This Row],[Repère]],Tableau1[#All],5,FALSE))</f>
        <v/>
      </c>
      <c r="F43" s="13" t="str">
        <f>IF(Tableau1345678910[[#This Row],[Repère]]="","",VLOOKUP(Tableau1345678910[[#This Row],[Repère]],Tableau1[#All],6,FALSE))</f>
        <v/>
      </c>
      <c r="G43" s="13" t="str">
        <f>IF(Tableau1345678910[[#This Row],[Repère]]="","",VLOOKUP(Tableau1345678910[[#This Row],[Repère]],Tableau1[#All],7,FALSE))</f>
        <v/>
      </c>
      <c r="H43" s="13" t="str">
        <f>IF(Tableau1345678910[[#This Row],[Repère]]="","",VLOOKUP(Tableau1345678910[[#This Row],[Repère]],Tableau1[#All],8,FALSE))</f>
        <v/>
      </c>
      <c r="I43" s="13" t="str">
        <f>IF(Tableau1345678910[[#This Row],[Repère]]="","",VLOOKUP(Tableau1345678910[[#This Row],[Repère]],Tableau1[#All],9,FALSE))</f>
        <v/>
      </c>
      <c r="J43" s="13" t="str">
        <f>IF(Tableau1345678910[[#This Row],[Repère]]="","",VLOOKUP(Tableau1345678910[[#This Row],[Repère]],Tableau1[#All],10,FALSE))</f>
        <v/>
      </c>
      <c r="K43" s="13" t="str">
        <f>IF(Tableau1345678910[[#This Row],[Repère]]="","",VLOOKUP(Tableau1345678910[[#This Row],[Repère]],Tableau1[#All],11,FALSE))</f>
        <v/>
      </c>
      <c r="L43" s="14" t="str">
        <f>IF(Tableau1345678910[[#This Row],[Repère]]="","",VLOOKUP(Tableau1345678910[[#This Row],[Repère]],Tableau1[#All],12,FALSE))</f>
        <v/>
      </c>
    </row>
    <row r="44" spans="1:12" x14ac:dyDescent="0.3">
      <c r="A44" s="18"/>
      <c r="B44" s="19"/>
      <c r="C44" s="13" t="str">
        <f>IF(Tableau1345678910[[#This Row],[Repère]]="","",VLOOKUP(Tableau1345678910[[#This Row],[Repère]],Tableau1[#All],3,FALSE))</f>
        <v/>
      </c>
      <c r="D44" s="13" t="str">
        <f>IF(Tableau1345678910[[#This Row],[Repère]]="","",VLOOKUP(Tableau1345678910[[#This Row],[Repère]],Tableau1[#All],4,FALSE))</f>
        <v/>
      </c>
      <c r="E44" s="13" t="str">
        <f>IF(Tableau1345678910[[#This Row],[Repère]]="","",VLOOKUP(Tableau1345678910[[#This Row],[Repère]],Tableau1[#All],5,FALSE))</f>
        <v/>
      </c>
      <c r="F44" s="13" t="str">
        <f>IF(Tableau1345678910[[#This Row],[Repère]]="","",VLOOKUP(Tableau1345678910[[#This Row],[Repère]],Tableau1[#All],6,FALSE))</f>
        <v/>
      </c>
      <c r="G44" s="13" t="str">
        <f>IF(Tableau1345678910[[#This Row],[Repère]]="","",VLOOKUP(Tableau1345678910[[#This Row],[Repère]],Tableau1[#All],7,FALSE))</f>
        <v/>
      </c>
      <c r="H44" s="13" t="str">
        <f>IF(Tableau1345678910[[#This Row],[Repère]]="","",VLOOKUP(Tableau1345678910[[#This Row],[Repère]],Tableau1[#All],8,FALSE))</f>
        <v/>
      </c>
      <c r="I44" s="13" t="str">
        <f>IF(Tableau1345678910[[#This Row],[Repère]]="","",VLOOKUP(Tableau1345678910[[#This Row],[Repère]],Tableau1[#All],9,FALSE))</f>
        <v/>
      </c>
      <c r="J44" s="13" t="str">
        <f>IF(Tableau1345678910[[#This Row],[Repère]]="","",VLOOKUP(Tableau1345678910[[#This Row],[Repère]],Tableau1[#All],10,FALSE))</f>
        <v/>
      </c>
      <c r="K44" s="13" t="str">
        <f>IF(Tableau1345678910[[#This Row],[Repère]]="","",VLOOKUP(Tableau1345678910[[#This Row],[Repère]],Tableau1[#All],11,FALSE))</f>
        <v/>
      </c>
      <c r="L44" s="14" t="str">
        <f>IF(Tableau1345678910[[#This Row],[Repère]]="","",VLOOKUP(Tableau1345678910[[#This Row],[Repère]],Tableau1[#All],12,FALSE))</f>
        <v/>
      </c>
    </row>
    <row r="45" spans="1:12" x14ac:dyDescent="0.3">
      <c r="A45" s="18"/>
      <c r="B45" s="19"/>
      <c r="C45" s="13" t="str">
        <f>IF(Tableau1345678910[[#This Row],[Repère]]="","",VLOOKUP(Tableau1345678910[[#This Row],[Repère]],Tableau1[#All],3,FALSE))</f>
        <v/>
      </c>
      <c r="D45" s="13" t="str">
        <f>IF(Tableau1345678910[[#This Row],[Repère]]="","",VLOOKUP(Tableau1345678910[[#This Row],[Repère]],Tableau1[#All],4,FALSE))</f>
        <v/>
      </c>
      <c r="E45" s="13" t="str">
        <f>IF(Tableau1345678910[[#This Row],[Repère]]="","",VLOOKUP(Tableau1345678910[[#This Row],[Repère]],Tableau1[#All],5,FALSE))</f>
        <v/>
      </c>
      <c r="F45" s="13" t="str">
        <f>IF(Tableau1345678910[[#This Row],[Repère]]="","",VLOOKUP(Tableau1345678910[[#This Row],[Repère]],Tableau1[#All],6,FALSE))</f>
        <v/>
      </c>
      <c r="G45" s="13" t="str">
        <f>IF(Tableau1345678910[[#This Row],[Repère]]="","",VLOOKUP(Tableau1345678910[[#This Row],[Repère]],Tableau1[#All],7,FALSE))</f>
        <v/>
      </c>
      <c r="H45" s="13" t="str">
        <f>IF(Tableau1345678910[[#This Row],[Repère]]="","",VLOOKUP(Tableau1345678910[[#This Row],[Repère]],Tableau1[#All],8,FALSE))</f>
        <v/>
      </c>
      <c r="I45" s="13" t="str">
        <f>IF(Tableau1345678910[[#This Row],[Repère]]="","",VLOOKUP(Tableau1345678910[[#This Row],[Repère]],Tableau1[#All],9,FALSE))</f>
        <v/>
      </c>
      <c r="J45" s="13" t="str">
        <f>IF(Tableau1345678910[[#This Row],[Repère]]="","",VLOOKUP(Tableau1345678910[[#This Row],[Repère]],Tableau1[#All],10,FALSE))</f>
        <v/>
      </c>
      <c r="K45" s="13" t="str">
        <f>IF(Tableau1345678910[[#This Row],[Repère]]="","",VLOOKUP(Tableau1345678910[[#This Row],[Repère]],Tableau1[#All],11,FALSE))</f>
        <v/>
      </c>
      <c r="L45" s="14" t="str">
        <f>IF(Tableau1345678910[[#This Row],[Repère]]="","",VLOOKUP(Tableau1345678910[[#This Row],[Repère]],Tableau1[#All],12,FALSE))</f>
        <v/>
      </c>
    </row>
    <row r="46" spans="1:12" x14ac:dyDescent="0.3">
      <c r="A46" s="18"/>
      <c r="B46" s="19"/>
      <c r="C46" s="13" t="str">
        <f>IF(Tableau1345678910[[#This Row],[Repère]]="","",VLOOKUP(Tableau1345678910[[#This Row],[Repère]],Tableau1[#All],3,FALSE))</f>
        <v/>
      </c>
      <c r="D46" s="13" t="str">
        <f>IF(Tableau1345678910[[#This Row],[Repère]]="","",VLOOKUP(Tableau1345678910[[#This Row],[Repère]],Tableau1[#All],4,FALSE))</f>
        <v/>
      </c>
      <c r="E46" s="13" t="str">
        <f>IF(Tableau1345678910[[#This Row],[Repère]]="","",VLOOKUP(Tableau1345678910[[#This Row],[Repère]],Tableau1[#All],5,FALSE))</f>
        <v/>
      </c>
      <c r="F46" s="13" t="str">
        <f>IF(Tableau1345678910[[#This Row],[Repère]]="","",VLOOKUP(Tableau1345678910[[#This Row],[Repère]],Tableau1[#All],6,FALSE))</f>
        <v/>
      </c>
      <c r="G46" s="13" t="str">
        <f>IF(Tableau1345678910[[#This Row],[Repère]]="","",VLOOKUP(Tableau1345678910[[#This Row],[Repère]],Tableau1[#All],7,FALSE))</f>
        <v/>
      </c>
      <c r="H46" s="13" t="str">
        <f>IF(Tableau1345678910[[#This Row],[Repère]]="","",VLOOKUP(Tableau1345678910[[#This Row],[Repère]],Tableau1[#All],8,FALSE))</f>
        <v/>
      </c>
      <c r="I46" s="13" t="str">
        <f>IF(Tableau1345678910[[#This Row],[Repère]]="","",VLOOKUP(Tableau1345678910[[#This Row],[Repère]],Tableau1[#All],9,FALSE))</f>
        <v/>
      </c>
      <c r="J46" s="13" t="str">
        <f>IF(Tableau1345678910[[#This Row],[Repère]]="","",VLOOKUP(Tableau1345678910[[#This Row],[Repère]],Tableau1[#All],10,FALSE))</f>
        <v/>
      </c>
      <c r="K46" s="13" t="str">
        <f>IF(Tableau1345678910[[#This Row],[Repère]]="","",VLOOKUP(Tableau1345678910[[#This Row],[Repère]],Tableau1[#All],11,FALSE))</f>
        <v/>
      </c>
      <c r="L46" s="14" t="str">
        <f>IF(Tableau1345678910[[#This Row],[Repère]]="","",VLOOKUP(Tableau1345678910[[#This Row],[Repère]],Tableau1[#All],12,FALSE))</f>
        <v/>
      </c>
    </row>
    <row r="47" spans="1:12" x14ac:dyDescent="0.3">
      <c r="A47" s="18"/>
      <c r="B47" s="19"/>
      <c r="C47" s="13" t="str">
        <f>IF(Tableau1345678910[[#This Row],[Repère]]="","",VLOOKUP(Tableau1345678910[[#This Row],[Repère]],Tableau1[#All],3,FALSE))</f>
        <v/>
      </c>
      <c r="D47" s="13" t="str">
        <f>IF(Tableau1345678910[[#This Row],[Repère]]="","",VLOOKUP(Tableau1345678910[[#This Row],[Repère]],Tableau1[#All],4,FALSE))</f>
        <v/>
      </c>
      <c r="E47" s="13" t="str">
        <f>IF(Tableau1345678910[[#This Row],[Repère]]="","",VLOOKUP(Tableau1345678910[[#This Row],[Repère]],Tableau1[#All],5,FALSE))</f>
        <v/>
      </c>
      <c r="F47" s="13" t="str">
        <f>IF(Tableau1345678910[[#This Row],[Repère]]="","",VLOOKUP(Tableau1345678910[[#This Row],[Repère]],Tableau1[#All],6,FALSE))</f>
        <v/>
      </c>
      <c r="G47" s="13" t="str">
        <f>IF(Tableau1345678910[[#This Row],[Repère]]="","",VLOOKUP(Tableau1345678910[[#This Row],[Repère]],Tableau1[#All],7,FALSE))</f>
        <v/>
      </c>
      <c r="H47" s="13" t="str">
        <f>IF(Tableau1345678910[[#This Row],[Repère]]="","",VLOOKUP(Tableau1345678910[[#This Row],[Repère]],Tableau1[#All],8,FALSE))</f>
        <v/>
      </c>
      <c r="I47" s="13" t="str">
        <f>IF(Tableau1345678910[[#This Row],[Repère]]="","",VLOOKUP(Tableau1345678910[[#This Row],[Repère]],Tableau1[#All],9,FALSE))</f>
        <v/>
      </c>
      <c r="J47" s="13" t="str">
        <f>IF(Tableau1345678910[[#This Row],[Repère]]="","",VLOOKUP(Tableau1345678910[[#This Row],[Repère]],Tableau1[#All],10,FALSE))</f>
        <v/>
      </c>
      <c r="K47" s="13" t="str">
        <f>IF(Tableau1345678910[[#This Row],[Repère]]="","",VLOOKUP(Tableau1345678910[[#This Row],[Repère]],Tableau1[#All],11,FALSE))</f>
        <v/>
      </c>
      <c r="L47" s="14" t="str">
        <f>IF(Tableau1345678910[[#This Row],[Repère]]="","",VLOOKUP(Tableau1345678910[[#This Row],[Repère]],Tableau1[#All],12,FALSE))</f>
        <v/>
      </c>
    </row>
    <row r="48" spans="1:12" x14ac:dyDescent="0.3">
      <c r="A48" s="18"/>
      <c r="B48" s="19"/>
      <c r="C48" s="13" t="str">
        <f>IF(Tableau1345678910[[#This Row],[Repère]]="","",VLOOKUP(Tableau1345678910[[#This Row],[Repère]],Tableau1[#All],3,FALSE))</f>
        <v/>
      </c>
      <c r="D48" s="13" t="str">
        <f>IF(Tableau1345678910[[#This Row],[Repère]]="","",VLOOKUP(Tableau1345678910[[#This Row],[Repère]],Tableau1[#All],4,FALSE))</f>
        <v/>
      </c>
      <c r="E48" s="13" t="str">
        <f>IF(Tableau1345678910[[#This Row],[Repère]]="","",VLOOKUP(Tableau1345678910[[#This Row],[Repère]],Tableau1[#All],5,FALSE))</f>
        <v/>
      </c>
      <c r="F48" s="13" t="str">
        <f>IF(Tableau1345678910[[#This Row],[Repère]]="","",VLOOKUP(Tableau1345678910[[#This Row],[Repère]],Tableau1[#All],6,FALSE))</f>
        <v/>
      </c>
      <c r="G48" s="13" t="str">
        <f>IF(Tableau1345678910[[#This Row],[Repère]]="","",VLOOKUP(Tableau1345678910[[#This Row],[Repère]],Tableau1[#All],7,FALSE))</f>
        <v/>
      </c>
      <c r="H48" s="13" t="str">
        <f>IF(Tableau1345678910[[#This Row],[Repère]]="","",VLOOKUP(Tableau1345678910[[#This Row],[Repère]],Tableau1[#All],8,FALSE))</f>
        <v/>
      </c>
      <c r="I48" s="13" t="str">
        <f>IF(Tableau1345678910[[#This Row],[Repère]]="","",VLOOKUP(Tableau1345678910[[#This Row],[Repère]],Tableau1[#All],9,FALSE))</f>
        <v/>
      </c>
      <c r="J48" s="13" t="str">
        <f>IF(Tableau1345678910[[#This Row],[Repère]]="","",VLOOKUP(Tableau1345678910[[#This Row],[Repère]],Tableau1[#All],10,FALSE))</f>
        <v/>
      </c>
      <c r="K48" s="13" t="str">
        <f>IF(Tableau1345678910[[#This Row],[Repère]]="","",VLOOKUP(Tableau1345678910[[#This Row],[Repère]],Tableau1[#All],11,FALSE))</f>
        <v/>
      </c>
      <c r="L48" s="14" t="str">
        <f>IF(Tableau1345678910[[#This Row],[Repère]]="","",VLOOKUP(Tableau1345678910[[#This Row],[Repère]],Tableau1[#All],12,FALSE))</f>
        <v/>
      </c>
    </row>
    <row r="49" spans="1:12" x14ac:dyDescent="0.3">
      <c r="A49" s="18"/>
      <c r="B49" s="19"/>
      <c r="C49" s="13" t="str">
        <f>IF(Tableau1345678910[[#This Row],[Repère]]="","",VLOOKUP(Tableau1345678910[[#This Row],[Repère]],Tableau1[#All],3,FALSE))</f>
        <v/>
      </c>
      <c r="D49" s="13" t="str">
        <f>IF(Tableau1345678910[[#This Row],[Repère]]="","",VLOOKUP(Tableau1345678910[[#This Row],[Repère]],Tableau1[#All],4,FALSE))</f>
        <v/>
      </c>
      <c r="E49" s="13" t="str">
        <f>IF(Tableau1345678910[[#This Row],[Repère]]="","",VLOOKUP(Tableau1345678910[[#This Row],[Repère]],Tableau1[#All],5,FALSE))</f>
        <v/>
      </c>
      <c r="F49" s="13" t="str">
        <f>IF(Tableau1345678910[[#This Row],[Repère]]="","",VLOOKUP(Tableau1345678910[[#This Row],[Repère]],Tableau1[#All],6,FALSE))</f>
        <v/>
      </c>
      <c r="G49" s="13" t="str">
        <f>IF(Tableau1345678910[[#This Row],[Repère]]="","",VLOOKUP(Tableau1345678910[[#This Row],[Repère]],Tableau1[#All],7,FALSE))</f>
        <v/>
      </c>
      <c r="H49" s="13" t="str">
        <f>IF(Tableau1345678910[[#This Row],[Repère]]="","",VLOOKUP(Tableau1345678910[[#This Row],[Repère]],Tableau1[#All],8,FALSE))</f>
        <v/>
      </c>
      <c r="I49" s="13" t="str">
        <f>IF(Tableau1345678910[[#This Row],[Repère]]="","",VLOOKUP(Tableau1345678910[[#This Row],[Repère]],Tableau1[#All],9,FALSE))</f>
        <v/>
      </c>
      <c r="J49" s="13" t="str">
        <f>IF(Tableau1345678910[[#This Row],[Repère]]="","",VLOOKUP(Tableau1345678910[[#This Row],[Repère]],Tableau1[#All],10,FALSE))</f>
        <v/>
      </c>
      <c r="K49" s="13" t="str">
        <f>IF(Tableau1345678910[[#This Row],[Repère]]="","",VLOOKUP(Tableau1345678910[[#This Row],[Repère]],Tableau1[#All],11,FALSE))</f>
        <v/>
      </c>
      <c r="L49" s="14" t="str">
        <f>IF(Tableau1345678910[[#This Row],[Repère]]="","",VLOOKUP(Tableau1345678910[[#This Row],[Repère]],Tableau1[#All],12,FALSE))</f>
        <v/>
      </c>
    </row>
    <row r="50" spans="1:12" x14ac:dyDescent="0.3">
      <c r="A50" s="18"/>
      <c r="B50" s="19"/>
      <c r="C50" s="13" t="str">
        <f>IF(Tableau1345678910[[#This Row],[Repère]]="","",VLOOKUP(Tableau1345678910[[#This Row],[Repère]],Tableau1[#All],3,FALSE))</f>
        <v/>
      </c>
      <c r="D50" s="13" t="str">
        <f>IF(Tableau1345678910[[#This Row],[Repère]]="","",VLOOKUP(Tableau1345678910[[#This Row],[Repère]],Tableau1[#All],4,FALSE))</f>
        <v/>
      </c>
      <c r="E50" s="13" t="str">
        <f>IF(Tableau1345678910[[#This Row],[Repère]]="","",VLOOKUP(Tableau1345678910[[#This Row],[Repère]],Tableau1[#All],5,FALSE))</f>
        <v/>
      </c>
      <c r="F50" s="13" t="str">
        <f>IF(Tableau1345678910[[#This Row],[Repère]]="","",VLOOKUP(Tableau1345678910[[#This Row],[Repère]],Tableau1[#All],6,FALSE))</f>
        <v/>
      </c>
      <c r="G50" s="13" t="str">
        <f>IF(Tableau1345678910[[#This Row],[Repère]]="","",VLOOKUP(Tableau1345678910[[#This Row],[Repère]],Tableau1[#All],7,FALSE))</f>
        <v/>
      </c>
      <c r="H50" s="13" t="str">
        <f>IF(Tableau1345678910[[#This Row],[Repère]]="","",VLOOKUP(Tableau1345678910[[#This Row],[Repère]],Tableau1[#All],8,FALSE))</f>
        <v/>
      </c>
      <c r="I50" s="13" t="str">
        <f>IF(Tableau1345678910[[#This Row],[Repère]]="","",VLOOKUP(Tableau1345678910[[#This Row],[Repère]],Tableau1[#All],9,FALSE))</f>
        <v/>
      </c>
      <c r="J50" s="13" t="str">
        <f>IF(Tableau1345678910[[#This Row],[Repère]]="","",VLOOKUP(Tableau1345678910[[#This Row],[Repère]],Tableau1[#All],10,FALSE))</f>
        <v/>
      </c>
      <c r="K50" s="13" t="str">
        <f>IF(Tableau1345678910[[#This Row],[Repère]]="","",VLOOKUP(Tableau1345678910[[#This Row],[Repère]],Tableau1[#All],11,FALSE))</f>
        <v/>
      </c>
      <c r="L50" s="14" t="str">
        <f>IF(Tableau1345678910[[#This Row],[Repère]]="","",VLOOKUP(Tableau1345678910[[#This Row],[Repère]],Tableau1[#All],12,FALSE))</f>
        <v/>
      </c>
    </row>
    <row r="51" spans="1:12" x14ac:dyDescent="0.3">
      <c r="A51" s="18"/>
      <c r="B51" s="19"/>
      <c r="C51" s="13" t="str">
        <f>IF(Tableau1345678910[[#This Row],[Repère]]="","",VLOOKUP(Tableau1345678910[[#This Row],[Repère]],Tableau1[#All],3,FALSE))</f>
        <v/>
      </c>
      <c r="D51" s="13" t="str">
        <f>IF(Tableau1345678910[[#This Row],[Repère]]="","",VLOOKUP(Tableau1345678910[[#This Row],[Repère]],Tableau1[#All],4,FALSE))</f>
        <v/>
      </c>
      <c r="E51" s="13" t="str">
        <f>IF(Tableau1345678910[[#This Row],[Repère]]="","",VLOOKUP(Tableau1345678910[[#This Row],[Repère]],Tableau1[#All],5,FALSE))</f>
        <v/>
      </c>
      <c r="F51" s="13" t="str">
        <f>IF(Tableau1345678910[[#This Row],[Repère]]="","",VLOOKUP(Tableau1345678910[[#This Row],[Repère]],Tableau1[#All],6,FALSE))</f>
        <v/>
      </c>
      <c r="G51" s="13" t="str">
        <f>IF(Tableau1345678910[[#This Row],[Repère]]="","",VLOOKUP(Tableau1345678910[[#This Row],[Repère]],Tableau1[#All],7,FALSE))</f>
        <v/>
      </c>
      <c r="H51" s="13" t="str">
        <f>IF(Tableau1345678910[[#This Row],[Repère]]="","",VLOOKUP(Tableau1345678910[[#This Row],[Repère]],Tableau1[#All],8,FALSE))</f>
        <v/>
      </c>
      <c r="I51" s="13" t="str">
        <f>IF(Tableau1345678910[[#This Row],[Repère]]="","",VLOOKUP(Tableau1345678910[[#This Row],[Repère]],Tableau1[#All],9,FALSE))</f>
        <v/>
      </c>
      <c r="J51" s="13" t="str">
        <f>IF(Tableau1345678910[[#This Row],[Repère]]="","",VLOOKUP(Tableau1345678910[[#This Row],[Repère]],Tableau1[#All],10,FALSE))</f>
        <v/>
      </c>
      <c r="K51" s="13" t="str">
        <f>IF(Tableau1345678910[[#This Row],[Repère]]="","",VLOOKUP(Tableau1345678910[[#This Row],[Repère]],Tableau1[#All],11,FALSE))</f>
        <v/>
      </c>
      <c r="L51" s="14" t="str">
        <f>IF(Tableau1345678910[[#This Row],[Repère]]="","",VLOOKUP(Tableau1345678910[[#This Row],[Repère]],Tableau1[#All],12,FALSE))</f>
        <v/>
      </c>
    </row>
    <row r="52" spans="1:12" x14ac:dyDescent="0.3">
      <c r="A52" s="18"/>
      <c r="B52" s="19"/>
      <c r="C52" s="13" t="str">
        <f>IF(Tableau1345678910[[#This Row],[Repère]]="","",VLOOKUP(Tableau1345678910[[#This Row],[Repère]],Tableau1[#All],3,FALSE))</f>
        <v/>
      </c>
      <c r="D52" s="13" t="str">
        <f>IF(Tableau1345678910[[#This Row],[Repère]]="","",VLOOKUP(Tableau1345678910[[#This Row],[Repère]],Tableau1[#All],4,FALSE))</f>
        <v/>
      </c>
      <c r="E52" s="13" t="str">
        <f>IF(Tableau1345678910[[#This Row],[Repère]]="","",VLOOKUP(Tableau1345678910[[#This Row],[Repère]],Tableau1[#All],5,FALSE))</f>
        <v/>
      </c>
      <c r="F52" s="13" t="str">
        <f>IF(Tableau1345678910[[#This Row],[Repère]]="","",VLOOKUP(Tableau1345678910[[#This Row],[Repère]],Tableau1[#All],6,FALSE))</f>
        <v/>
      </c>
      <c r="G52" s="13" t="str">
        <f>IF(Tableau1345678910[[#This Row],[Repère]]="","",VLOOKUP(Tableau1345678910[[#This Row],[Repère]],Tableau1[#All],7,FALSE))</f>
        <v/>
      </c>
      <c r="H52" s="13" t="str">
        <f>IF(Tableau1345678910[[#This Row],[Repère]]="","",VLOOKUP(Tableau1345678910[[#This Row],[Repère]],Tableau1[#All],8,FALSE))</f>
        <v/>
      </c>
      <c r="I52" s="13" t="str">
        <f>IF(Tableau1345678910[[#This Row],[Repère]]="","",VLOOKUP(Tableau1345678910[[#This Row],[Repère]],Tableau1[#All],9,FALSE))</f>
        <v/>
      </c>
      <c r="J52" s="13" t="str">
        <f>IF(Tableau1345678910[[#This Row],[Repère]]="","",VLOOKUP(Tableau1345678910[[#This Row],[Repère]],Tableau1[#All],10,FALSE))</f>
        <v/>
      </c>
      <c r="K52" s="13" t="str">
        <f>IF(Tableau1345678910[[#This Row],[Repère]]="","",VLOOKUP(Tableau1345678910[[#This Row],[Repère]],Tableau1[#All],11,FALSE))</f>
        <v/>
      </c>
      <c r="L52" s="14" t="str">
        <f>IF(Tableau1345678910[[#This Row],[Repère]]="","",VLOOKUP(Tableau1345678910[[#This Row],[Repère]],Tableau1[#All],12,FALSE))</f>
        <v/>
      </c>
    </row>
    <row r="53" spans="1:12" x14ac:dyDescent="0.3">
      <c r="A53" s="18"/>
      <c r="B53" s="19"/>
      <c r="C53" s="13" t="str">
        <f>IF(Tableau1345678910[[#This Row],[Repère]]="","",VLOOKUP(Tableau1345678910[[#This Row],[Repère]],Tableau1[#All],3,FALSE))</f>
        <v/>
      </c>
      <c r="D53" s="13" t="str">
        <f>IF(Tableau1345678910[[#This Row],[Repère]]="","",VLOOKUP(Tableau1345678910[[#This Row],[Repère]],Tableau1[#All],4,FALSE))</f>
        <v/>
      </c>
      <c r="E53" s="13" t="str">
        <f>IF(Tableau1345678910[[#This Row],[Repère]]="","",VLOOKUP(Tableau1345678910[[#This Row],[Repère]],Tableau1[#All],5,FALSE))</f>
        <v/>
      </c>
      <c r="F53" s="13" t="str">
        <f>IF(Tableau1345678910[[#This Row],[Repère]]="","",VLOOKUP(Tableau1345678910[[#This Row],[Repère]],Tableau1[#All],6,FALSE))</f>
        <v/>
      </c>
      <c r="G53" s="13" t="str">
        <f>IF(Tableau1345678910[[#This Row],[Repère]]="","",VLOOKUP(Tableau1345678910[[#This Row],[Repère]],Tableau1[#All],7,FALSE))</f>
        <v/>
      </c>
      <c r="H53" s="13" t="str">
        <f>IF(Tableau1345678910[[#This Row],[Repère]]="","",VLOOKUP(Tableau1345678910[[#This Row],[Repère]],Tableau1[#All],8,FALSE))</f>
        <v/>
      </c>
      <c r="I53" s="13" t="str">
        <f>IF(Tableau1345678910[[#This Row],[Repère]]="","",VLOOKUP(Tableau1345678910[[#This Row],[Repère]],Tableau1[#All],9,FALSE))</f>
        <v/>
      </c>
      <c r="J53" s="13" t="str">
        <f>IF(Tableau1345678910[[#This Row],[Repère]]="","",VLOOKUP(Tableau1345678910[[#This Row],[Repère]],Tableau1[#All],10,FALSE))</f>
        <v/>
      </c>
      <c r="K53" s="13" t="str">
        <f>IF(Tableau1345678910[[#This Row],[Repère]]="","",VLOOKUP(Tableau1345678910[[#This Row],[Repère]],Tableau1[#All],11,FALSE))</f>
        <v/>
      </c>
      <c r="L53" s="14" t="str">
        <f>IF(Tableau1345678910[[#This Row],[Repère]]="","",VLOOKUP(Tableau1345678910[[#This Row],[Repère]],Tableau1[#All],12,FALSE))</f>
        <v/>
      </c>
    </row>
    <row r="54" spans="1:12" x14ac:dyDescent="0.3">
      <c r="A54" s="18"/>
      <c r="B54" s="19"/>
      <c r="C54" s="13" t="str">
        <f>IF(Tableau1345678910[[#This Row],[Repère]]="","",VLOOKUP(Tableau1345678910[[#This Row],[Repère]],Tableau1[#All],3,FALSE))</f>
        <v/>
      </c>
      <c r="D54" s="13" t="str">
        <f>IF(Tableau1345678910[[#This Row],[Repère]]="","",VLOOKUP(Tableau1345678910[[#This Row],[Repère]],Tableau1[#All],4,FALSE))</f>
        <v/>
      </c>
      <c r="E54" s="13" t="str">
        <f>IF(Tableau1345678910[[#This Row],[Repère]]="","",VLOOKUP(Tableau1345678910[[#This Row],[Repère]],Tableau1[#All],5,FALSE))</f>
        <v/>
      </c>
      <c r="F54" s="13" t="str">
        <f>IF(Tableau1345678910[[#This Row],[Repère]]="","",VLOOKUP(Tableau1345678910[[#This Row],[Repère]],Tableau1[#All],6,FALSE))</f>
        <v/>
      </c>
      <c r="G54" s="13" t="str">
        <f>IF(Tableau1345678910[[#This Row],[Repère]]="","",VLOOKUP(Tableau1345678910[[#This Row],[Repère]],Tableau1[#All],7,FALSE))</f>
        <v/>
      </c>
      <c r="H54" s="13" t="str">
        <f>IF(Tableau1345678910[[#This Row],[Repère]]="","",VLOOKUP(Tableau1345678910[[#This Row],[Repère]],Tableau1[#All],8,FALSE))</f>
        <v/>
      </c>
      <c r="I54" s="13" t="str">
        <f>IF(Tableau1345678910[[#This Row],[Repère]]="","",VLOOKUP(Tableau1345678910[[#This Row],[Repère]],Tableau1[#All],9,FALSE))</f>
        <v/>
      </c>
      <c r="J54" s="13" t="str">
        <f>IF(Tableau1345678910[[#This Row],[Repère]]="","",VLOOKUP(Tableau1345678910[[#This Row],[Repère]],Tableau1[#All],10,FALSE))</f>
        <v/>
      </c>
      <c r="K54" s="13" t="str">
        <f>IF(Tableau1345678910[[#This Row],[Repère]]="","",VLOOKUP(Tableau1345678910[[#This Row],[Repère]],Tableau1[#All],11,FALSE))</f>
        <v/>
      </c>
      <c r="L54" s="14" t="str">
        <f>IF(Tableau1345678910[[#This Row],[Repère]]="","",VLOOKUP(Tableau1345678910[[#This Row],[Repère]],Tableau1[#All],12,FALSE))</f>
        <v/>
      </c>
    </row>
    <row r="55" spans="1:12" x14ac:dyDescent="0.3">
      <c r="A55" s="18"/>
      <c r="B55" s="19"/>
      <c r="C55" s="13" t="str">
        <f>IF(Tableau1345678910[[#This Row],[Repère]]="","",VLOOKUP(Tableau1345678910[[#This Row],[Repère]],Tableau1[#All],3,FALSE))</f>
        <v/>
      </c>
      <c r="D55" s="13" t="str">
        <f>IF(Tableau1345678910[[#This Row],[Repère]]="","",VLOOKUP(Tableau1345678910[[#This Row],[Repère]],Tableau1[#All],4,FALSE))</f>
        <v/>
      </c>
      <c r="E55" s="13" t="str">
        <f>IF(Tableau1345678910[[#This Row],[Repère]]="","",VLOOKUP(Tableau1345678910[[#This Row],[Repère]],Tableau1[#All],5,FALSE))</f>
        <v/>
      </c>
      <c r="F55" s="13" t="str">
        <f>IF(Tableau1345678910[[#This Row],[Repère]]="","",VLOOKUP(Tableau1345678910[[#This Row],[Repère]],Tableau1[#All],6,FALSE))</f>
        <v/>
      </c>
      <c r="G55" s="13" t="str">
        <f>IF(Tableau1345678910[[#This Row],[Repère]]="","",VLOOKUP(Tableau1345678910[[#This Row],[Repère]],Tableau1[#All],7,FALSE))</f>
        <v/>
      </c>
      <c r="H55" s="13" t="str">
        <f>IF(Tableau1345678910[[#This Row],[Repère]]="","",VLOOKUP(Tableau1345678910[[#This Row],[Repère]],Tableau1[#All],8,FALSE))</f>
        <v/>
      </c>
      <c r="I55" s="13" t="str">
        <f>IF(Tableau1345678910[[#This Row],[Repère]]="","",VLOOKUP(Tableau1345678910[[#This Row],[Repère]],Tableau1[#All],9,FALSE))</f>
        <v/>
      </c>
      <c r="J55" s="13" t="str">
        <f>IF(Tableau1345678910[[#This Row],[Repère]]="","",VLOOKUP(Tableau1345678910[[#This Row],[Repère]],Tableau1[#All],10,FALSE))</f>
        <v/>
      </c>
      <c r="K55" s="13" t="str">
        <f>IF(Tableau1345678910[[#This Row],[Repère]]="","",VLOOKUP(Tableau1345678910[[#This Row],[Repère]],Tableau1[#All],11,FALSE))</f>
        <v/>
      </c>
      <c r="L55" s="14" t="str">
        <f>IF(Tableau1345678910[[#This Row],[Repère]]="","",VLOOKUP(Tableau1345678910[[#This Row],[Repère]],Tableau1[#All],12,FALSE))</f>
        <v/>
      </c>
    </row>
    <row r="56" spans="1:12" x14ac:dyDescent="0.3">
      <c r="A56" s="18"/>
      <c r="B56" s="19"/>
      <c r="C56" s="13" t="str">
        <f>IF(Tableau1345678910[[#This Row],[Repère]]="","",VLOOKUP(Tableau1345678910[[#This Row],[Repère]],Tableau1[#All],3,FALSE))</f>
        <v/>
      </c>
      <c r="D56" s="13" t="str">
        <f>IF(Tableau1345678910[[#This Row],[Repère]]="","",VLOOKUP(Tableau1345678910[[#This Row],[Repère]],Tableau1[#All],4,FALSE))</f>
        <v/>
      </c>
      <c r="E56" s="13" t="str">
        <f>IF(Tableau1345678910[[#This Row],[Repère]]="","",VLOOKUP(Tableau1345678910[[#This Row],[Repère]],Tableau1[#All],5,FALSE))</f>
        <v/>
      </c>
      <c r="F56" s="13" t="str">
        <f>IF(Tableau1345678910[[#This Row],[Repère]]="","",VLOOKUP(Tableau1345678910[[#This Row],[Repère]],Tableau1[#All],6,FALSE))</f>
        <v/>
      </c>
      <c r="G56" s="13" t="str">
        <f>IF(Tableau1345678910[[#This Row],[Repère]]="","",VLOOKUP(Tableau1345678910[[#This Row],[Repère]],Tableau1[#All],7,FALSE))</f>
        <v/>
      </c>
      <c r="H56" s="13" t="str">
        <f>IF(Tableau1345678910[[#This Row],[Repère]]="","",VLOOKUP(Tableau1345678910[[#This Row],[Repère]],Tableau1[#All],8,FALSE))</f>
        <v/>
      </c>
      <c r="I56" s="13" t="str">
        <f>IF(Tableau1345678910[[#This Row],[Repère]]="","",VLOOKUP(Tableau1345678910[[#This Row],[Repère]],Tableau1[#All],9,FALSE))</f>
        <v/>
      </c>
      <c r="J56" s="13" t="str">
        <f>IF(Tableau1345678910[[#This Row],[Repère]]="","",VLOOKUP(Tableau1345678910[[#This Row],[Repère]],Tableau1[#All],10,FALSE))</f>
        <v/>
      </c>
      <c r="K56" s="13" t="str">
        <f>IF(Tableau1345678910[[#This Row],[Repère]]="","",VLOOKUP(Tableau1345678910[[#This Row],[Repère]],Tableau1[#All],11,FALSE))</f>
        <v/>
      </c>
      <c r="L56" s="14" t="str">
        <f>IF(Tableau1345678910[[#This Row],[Repère]]="","",VLOOKUP(Tableau1345678910[[#This Row],[Repère]],Tableau1[#All],12,FALSE))</f>
        <v/>
      </c>
    </row>
    <row r="57" spans="1:12" x14ac:dyDescent="0.3">
      <c r="A57" s="18"/>
      <c r="B57" s="19"/>
      <c r="C57" s="13" t="str">
        <f>IF(Tableau1345678910[[#This Row],[Repère]]="","",VLOOKUP(Tableau1345678910[[#This Row],[Repère]],Tableau1[#All],3,FALSE))</f>
        <v/>
      </c>
      <c r="D57" s="13" t="str">
        <f>IF(Tableau1345678910[[#This Row],[Repère]]="","",VLOOKUP(Tableau1345678910[[#This Row],[Repère]],Tableau1[#All],4,FALSE))</f>
        <v/>
      </c>
      <c r="E57" s="13" t="str">
        <f>IF(Tableau1345678910[[#This Row],[Repère]]="","",VLOOKUP(Tableau1345678910[[#This Row],[Repère]],Tableau1[#All],5,FALSE))</f>
        <v/>
      </c>
      <c r="F57" s="13" t="str">
        <f>IF(Tableau1345678910[[#This Row],[Repère]]="","",VLOOKUP(Tableau1345678910[[#This Row],[Repère]],Tableau1[#All],6,FALSE))</f>
        <v/>
      </c>
      <c r="G57" s="13" t="str">
        <f>IF(Tableau1345678910[[#This Row],[Repère]]="","",VLOOKUP(Tableau1345678910[[#This Row],[Repère]],Tableau1[#All],7,FALSE))</f>
        <v/>
      </c>
      <c r="H57" s="13" t="str">
        <f>IF(Tableau1345678910[[#This Row],[Repère]]="","",VLOOKUP(Tableau1345678910[[#This Row],[Repère]],Tableau1[#All],8,FALSE))</f>
        <v/>
      </c>
      <c r="I57" s="13" t="str">
        <f>IF(Tableau1345678910[[#This Row],[Repère]]="","",VLOOKUP(Tableau1345678910[[#This Row],[Repère]],Tableau1[#All],9,FALSE))</f>
        <v/>
      </c>
      <c r="J57" s="13" t="str">
        <f>IF(Tableau1345678910[[#This Row],[Repère]]="","",VLOOKUP(Tableau1345678910[[#This Row],[Repère]],Tableau1[#All],10,FALSE))</f>
        <v/>
      </c>
      <c r="K57" s="13" t="str">
        <f>IF(Tableau1345678910[[#This Row],[Repère]]="","",VLOOKUP(Tableau1345678910[[#This Row],[Repère]],Tableau1[#All],11,FALSE))</f>
        <v/>
      </c>
      <c r="L57" s="14" t="str">
        <f>IF(Tableau1345678910[[#This Row],[Repère]]="","",VLOOKUP(Tableau1345678910[[#This Row],[Repère]],Tableau1[#All],12,FALSE))</f>
        <v/>
      </c>
    </row>
    <row r="58" spans="1:12" x14ac:dyDescent="0.3">
      <c r="A58" s="18"/>
      <c r="B58" s="19"/>
      <c r="C58" s="13" t="str">
        <f>IF(Tableau1345678910[[#This Row],[Repère]]="","",VLOOKUP(Tableau1345678910[[#This Row],[Repère]],Tableau1[#All],3,FALSE))</f>
        <v/>
      </c>
      <c r="D58" s="13" t="str">
        <f>IF(Tableau1345678910[[#This Row],[Repère]]="","",VLOOKUP(Tableau1345678910[[#This Row],[Repère]],Tableau1[#All],4,FALSE))</f>
        <v/>
      </c>
      <c r="E58" s="13" t="str">
        <f>IF(Tableau1345678910[[#This Row],[Repère]]="","",VLOOKUP(Tableau1345678910[[#This Row],[Repère]],Tableau1[#All],5,FALSE))</f>
        <v/>
      </c>
      <c r="F58" s="13" t="str">
        <f>IF(Tableau1345678910[[#This Row],[Repère]]="","",VLOOKUP(Tableau1345678910[[#This Row],[Repère]],Tableau1[#All],6,FALSE))</f>
        <v/>
      </c>
      <c r="G58" s="13" t="str">
        <f>IF(Tableau1345678910[[#This Row],[Repère]]="","",VLOOKUP(Tableau1345678910[[#This Row],[Repère]],Tableau1[#All],7,FALSE))</f>
        <v/>
      </c>
      <c r="H58" s="13" t="str">
        <f>IF(Tableau1345678910[[#This Row],[Repère]]="","",VLOOKUP(Tableau1345678910[[#This Row],[Repère]],Tableau1[#All],8,FALSE))</f>
        <v/>
      </c>
      <c r="I58" s="13" t="str">
        <f>IF(Tableau1345678910[[#This Row],[Repère]]="","",VLOOKUP(Tableau1345678910[[#This Row],[Repère]],Tableau1[#All],9,FALSE))</f>
        <v/>
      </c>
      <c r="J58" s="13" t="str">
        <f>IF(Tableau1345678910[[#This Row],[Repère]]="","",VLOOKUP(Tableau1345678910[[#This Row],[Repère]],Tableau1[#All],10,FALSE))</f>
        <v/>
      </c>
      <c r="K58" s="13" t="str">
        <f>IF(Tableau1345678910[[#This Row],[Repère]]="","",VLOOKUP(Tableau1345678910[[#This Row],[Repère]],Tableau1[#All],11,FALSE))</f>
        <v/>
      </c>
      <c r="L58" s="14" t="str">
        <f>IF(Tableau1345678910[[#This Row],[Repère]]="","",VLOOKUP(Tableau1345678910[[#This Row],[Repère]],Tableau1[#All],12,FALSE))</f>
        <v/>
      </c>
    </row>
    <row r="59" spans="1:12" x14ac:dyDescent="0.3">
      <c r="A59" s="18"/>
      <c r="B59" s="19"/>
      <c r="C59" s="13" t="str">
        <f>IF(Tableau1345678910[[#This Row],[Repère]]="","",VLOOKUP(Tableau1345678910[[#This Row],[Repère]],Tableau1[#All],3,FALSE))</f>
        <v/>
      </c>
      <c r="D59" s="13" t="str">
        <f>IF(Tableau1345678910[[#This Row],[Repère]]="","",VLOOKUP(Tableau1345678910[[#This Row],[Repère]],Tableau1[#All],4,FALSE))</f>
        <v/>
      </c>
      <c r="E59" s="13" t="str">
        <f>IF(Tableau1345678910[[#This Row],[Repère]]="","",VLOOKUP(Tableau1345678910[[#This Row],[Repère]],Tableau1[#All],5,FALSE))</f>
        <v/>
      </c>
      <c r="F59" s="13" t="str">
        <f>IF(Tableau1345678910[[#This Row],[Repère]]="","",VLOOKUP(Tableau1345678910[[#This Row],[Repère]],Tableau1[#All],6,FALSE))</f>
        <v/>
      </c>
      <c r="G59" s="13" t="str">
        <f>IF(Tableau1345678910[[#This Row],[Repère]]="","",VLOOKUP(Tableau1345678910[[#This Row],[Repère]],Tableau1[#All],7,FALSE))</f>
        <v/>
      </c>
      <c r="H59" s="13" t="str">
        <f>IF(Tableau1345678910[[#This Row],[Repère]]="","",VLOOKUP(Tableau1345678910[[#This Row],[Repère]],Tableau1[#All],8,FALSE))</f>
        <v/>
      </c>
      <c r="I59" s="13" t="str">
        <f>IF(Tableau1345678910[[#This Row],[Repère]]="","",VLOOKUP(Tableau1345678910[[#This Row],[Repère]],Tableau1[#All],9,FALSE))</f>
        <v/>
      </c>
      <c r="J59" s="13" t="str">
        <f>IF(Tableau1345678910[[#This Row],[Repère]]="","",VLOOKUP(Tableau1345678910[[#This Row],[Repère]],Tableau1[#All],10,FALSE))</f>
        <v/>
      </c>
      <c r="K59" s="13" t="str">
        <f>IF(Tableau1345678910[[#This Row],[Repère]]="","",VLOOKUP(Tableau1345678910[[#This Row],[Repère]],Tableau1[#All],11,FALSE))</f>
        <v/>
      </c>
      <c r="L59" s="14" t="str">
        <f>IF(Tableau1345678910[[#This Row],[Repère]]="","",VLOOKUP(Tableau1345678910[[#This Row],[Repère]],Tableau1[#All],12,FALSE))</f>
        <v/>
      </c>
    </row>
    <row r="60" spans="1:12" x14ac:dyDescent="0.3">
      <c r="A60" s="18"/>
      <c r="B60" s="19"/>
      <c r="C60" s="13" t="str">
        <f>IF(Tableau1345678910[[#This Row],[Repère]]="","",VLOOKUP(Tableau1345678910[[#This Row],[Repère]],Tableau1[#All],3,FALSE))</f>
        <v/>
      </c>
      <c r="D60" s="13" t="str">
        <f>IF(Tableau1345678910[[#This Row],[Repère]]="","",VLOOKUP(Tableau1345678910[[#This Row],[Repère]],Tableau1[#All],4,FALSE))</f>
        <v/>
      </c>
      <c r="E60" s="13" t="str">
        <f>IF(Tableau1345678910[[#This Row],[Repère]]="","",VLOOKUP(Tableau1345678910[[#This Row],[Repère]],Tableau1[#All],5,FALSE))</f>
        <v/>
      </c>
      <c r="F60" s="13" t="str">
        <f>IF(Tableau1345678910[[#This Row],[Repère]]="","",VLOOKUP(Tableau1345678910[[#This Row],[Repère]],Tableau1[#All],6,FALSE))</f>
        <v/>
      </c>
      <c r="G60" s="13" t="str">
        <f>IF(Tableau1345678910[[#This Row],[Repère]]="","",VLOOKUP(Tableau1345678910[[#This Row],[Repère]],Tableau1[#All],7,FALSE))</f>
        <v/>
      </c>
      <c r="H60" s="13" t="str">
        <f>IF(Tableau1345678910[[#This Row],[Repère]]="","",VLOOKUP(Tableau1345678910[[#This Row],[Repère]],Tableau1[#All],8,FALSE))</f>
        <v/>
      </c>
      <c r="I60" s="13" t="str">
        <f>IF(Tableau1345678910[[#This Row],[Repère]]="","",VLOOKUP(Tableau1345678910[[#This Row],[Repère]],Tableau1[#All],9,FALSE))</f>
        <v/>
      </c>
      <c r="J60" s="13" t="str">
        <f>IF(Tableau1345678910[[#This Row],[Repère]]="","",VLOOKUP(Tableau1345678910[[#This Row],[Repère]],Tableau1[#All],10,FALSE))</f>
        <v/>
      </c>
      <c r="K60" s="13" t="str">
        <f>IF(Tableau1345678910[[#This Row],[Repère]]="","",VLOOKUP(Tableau1345678910[[#This Row],[Repère]],Tableau1[#All],11,FALSE))</f>
        <v/>
      </c>
      <c r="L60" s="14" t="str">
        <f>IF(Tableau1345678910[[#This Row],[Repère]]="","",VLOOKUP(Tableau1345678910[[#This Row],[Repère]],Tableau1[#All],12,FALSE))</f>
        <v/>
      </c>
    </row>
    <row r="61" spans="1:12" x14ac:dyDescent="0.3">
      <c r="A61" s="18"/>
      <c r="B61" s="19"/>
      <c r="C61" s="13" t="str">
        <f>IF(Tableau1345678910[[#This Row],[Repère]]="","",VLOOKUP(Tableau1345678910[[#This Row],[Repère]],Tableau1[#All],3,FALSE))</f>
        <v/>
      </c>
      <c r="D61" s="13" t="str">
        <f>IF(Tableau1345678910[[#This Row],[Repère]]="","",VLOOKUP(Tableau1345678910[[#This Row],[Repère]],Tableau1[#All],4,FALSE))</f>
        <v/>
      </c>
      <c r="E61" s="13" t="str">
        <f>IF(Tableau1345678910[[#This Row],[Repère]]="","",VLOOKUP(Tableau1345678910[[#This Row],[Repère]],Tableau1[#All],5,FALSE))</f>
        <v/>
      </c>
      <c r="F61" s="13" t="str">
        <f>IF(Tableau1345678910[[#This Row],[Repère]]="","",VLOOKUP(Tableau1345678910[[#This Row],[Repère]],Tableau1[#All],6,FALSE))</f>
        <v/>
      </c>
      <c r="G61" s="13" t="str">
        <f>IF(Tableau1345678910[[#This Row],[Repère]]="","",VLOOKUP(Tableau1345678910[[#This Row],[Repère]],Tableau1[#All],7,FALSE))</f>
        <v/>
      </c>
      <c r="H61" s="13" t="str">
        <f>IF(Tableau1345678910[[#This Row],[Repère]]="","",VLOOKUP(Tableau1345678910[[#This Row],[Repère]],Tableau1[#All],8,FALSE))</f>
        <v/>
      </c>
      <c r="I61" s="13" t="str">
        <f>IF(Tableau1345678910[[#This Row],[Repère]]="","",VLOOKUP(Tableau1345678910[[#This Row],[Repère]],Tableau1[#All],9,FALSE))</f>
        <v/>
      </c>
      <c r="J61" s="13" t="str">
        <f>IF(Tableau1345678910[[#This Row],[Repère]]="","",VLOOKUP(Tableau1345678910[[#This Row],[Repère]],Tableau1[#All],10,FALSE))</f>
        <v/>
      </c>
      <c r="K61" s="13" t="str">
        <f>IF(Tableau1345678910[[#This Row],[Repère]]="","",VLOOKUP(Tableau1345678910[[#This Row],[Repère]],Tableau1[#All],11,FALSE))</f>
        <v/>
      </c>
      <c r="L61" s="14" t="str">
        <f>IF(Tableau1345678910[[#This Row],[Repère]]="","",VLOOKUP(Tableau1345678910[[#This Row],[Repère]],Tableau1[#All],12,FALSE))</f>
        <v/>
      </c>
    </row>
    <row r="62" spans="1:12" x14ac:dyDescent="0.3">
      <c r="A62" s="18"/>
      <c r="B62" s="19"/>
      <c r="C62" s="13" t="str">
        <f>IF(Tableau1345678910[[#This Row],[Repère]]="","",VLOOKUP(Tableau1345678910[[#This Row],[Repère]],Tableau1[#All],3,FALSE))</f>
        <v/>
      </c>
      <c r="D62" s="13" t="str">
        <f>IF(Tableau1345678910[[#This Row],[Repère]]="","",VLOOKUP(Tableau1345678910[[#This Row],[Repère]],Tableau1[#All],4,FALSE))</f>
        <v/>
      </c>
      <c r="E62" s="13" t="str">
        <f>IF(Tableau1345678910[[#This Row],[Repère]]="","",VLOOKUP(Tableau1345678910[[#This Row],[Repère]],Tableau1[#All],5,FALSE))</f>
        <v/>
      </c>
      <c r="F62" s="13" t="str">
        <f>IF(Tableau1345678910[[#This Row],[Repère]]="","",VLOOKUP(Tableau1345678910[[#This Row],[Repère]],Tableau1[#All],6,FALSE))</f>
        <v/>
      </c>
      <c r="G62" s="13" t="str">
        <f>IF(Tableau1345678910[[#This Row],[Repère]]="","",VLOOKUP(Tableau1345678910[[#This Row],[Repère]],Tableau1[#All],7,FALSE))</f>
        <v/>
      </c>
      <c r="H62" s="13" t="str">
        <f>IF(Tableau1345678910[[#This Row],[Repère]]="","",VLOOKUP(Tableau1345678910[[#This Row],[Repère]],Tableau1[#All],8,FALSE))</f>
        <v/>
      </c>
      <c r="I62" s="13" t="str">
        <f>IF(Tableau1345678910[[#This Row],[Repère]]="","",VLOOKUP(Tableau1345678910[[#This Row],[Repère]],Tableau1[#All],9,FALSE))</f>
        <v/>
      </c>
      <c r="J62" s="13" t="str">
        <f>IF(Tableau1345678910[[#This Row],[Repère]]="","",VLOOKUP(Tableau1345678910[[#This Row],[Repère]],Tableau1[#All],10,FALSE))</f>
        <v/>
      </c>
      <c r="K62" s="13" t="str">
        <f>IF(Tableau1345678910[[#This Row],[Repère]]="","",VLOOKUP(Tableau1345678910[[#This Row],[Repère]],Tableau1[#All],11,FALSE))</f>
        <v/>
      </c>
      <c r="L62" s="14" t="str">
        <f>IF(Tableau1345678910[[#This Row],[Repère]]="","",VLOOKUP(Tableau1345678910[[#This Row],[Repère]],Tableau1[#All],12,FALSE))</f>
        <v/>
      </c>
    </row>
    <row r="63" spans="1:12" x14ac:dyDescent="0.3">
      <c r="A63" s="18"/>
      <c r="B63" s="19"/>
      <c r="C63" s="13" t="str">
        <f>IF(Tableau1345678910[[#This Row],[Repère]]="","",VLOOKUP(Tableau1345678910[[#This Row],[Repère]],Tableau1[#All],3,FALSE))</f>
        <v/>
      </c>
      <c r="D63" s="13" t="str">
        <f>IF(Tableau1345678910[[#This Row],[Repère]]="","",VLOOKUP(Tableau1345678910[[#This Row],[Repère]],Tableau1[#All],4,FALSE))</f>
        <v/>
      </c>
      <c r="E63" s="13" t="str">
        <f>IF(Tableau1345678910[[#This Row],[Repère]]="","",VLOOKUP(Tableau1345678910[[#This Row],[Repère]],Tableau1[#All],5,FALSE))</f>
        <v/>
      </c>
      <c r="F63" s="13" t="str">
        <f>IF(Tableau1345678910[[#This Row],[Repère]]="","",VLOOKUP(Tableau1345678910[[#This Row],[Repère]],Tableau1[#All],6,FALSE))</f>
        <v/>
      </c>
      <c r="G63" s="13" t="str">
        <f>IF(Tableau1345678910[[#This Row],[Repère]]="","",VLOOKUP(Tableau1345678910[[#This Row],[Repère]],Tableau1[#All],7,FALSE))</f>
        <v/>
      </c>
      <c r="H63" s="13" t="str">
        <f>IF(Tableau1345678910[[#This Row],[Repère]]="","",VLOOKUP(Tableau1345678910[[#This Row],[Repère]],Tableau1[#All],8,FALSE))</f>
        <v/>
      </c>
      <c r="I63" s="13" t="str">
        <f>IF(Tableau1345678910[[#This Row],[Repère]]="","",VLOOKUP(Tableau1345678910[[#This Row],[Repère]],Tableau1[#All],9,FALSE))</f>
        <v/>
      </c>
      <c r="J63" s="13" t="str">
        <f>IF(Tableau1345678910[[#This Row],[Repère]]="","",VLOOKUP(Tableau1345678910[[#This Row],[Repère]],Tableau1[#All],10,FALSE))</f>
        <v/>
      </c>
      <c r="K63" s="13" t="str">
        <f>IF(Tableau1345678910[[#This Row],[Repère]]="","",VLOOKUP(Tableau1345678910[[#This Row],[Repère]],Tableau1[#All],11,FALSE))</f>
        <v/>
      </c>
      <c r="L63" s="14" t="str">
        <f>IF(Tableau1345678910[[#This Row],[Repère]]="","",VLOOKUP(Tableau1345678910[[#This Row],[Repère]],Tableau1[#All],12,FALSE))</f>
        <v/>
      </c>
    </row>
    <row r="64" spans="1:12" x14ac:dyDescent="0.3">
      <c r="A64" s="18"/>
      <c r="B64" s="19"/>
      <c r="C64" s="13" t="str">
        <f>IF(Tableau1345678910[[#This Row],[Repère]]="","",VLOOKUP(Tableau1345678910[[#This Row],[Repère]],Tableau1[#All],3,FALSE))</f>
        <v/>
      </c>
      <c r="D64" s="13" t="str">
        <f>IF(Tableau1345678910[[#This Row],[Repère]]="","",VLOOKUP(Tableau1345678910[[#This Row],[Repère]],Tableau1[#All],4,FALSE))</f>
        <v/>
      </c>
      <c r="E64" s="13" t="str">
        <f>IF(Tableau1345678910[[#This Row],[Repère]]="","",VLOOKUP(Tableau1345678910[[#This Row],[Repère]],Tableau1[#All],5,FALSE))</f>
        <v/>
      </c>
      <c r="F64" s="13" t="str">
        <f>IF(Tableau1345678910[[#This Row],[Repère]]="","",VLOOKUP(Tableau1345678910[[#This Row],[Repère]],Tableau1[#All],6,FALSE))</f>
        <v/>
      </c>
      <c r="G64" s="13" t="str">
        <f>IF(Tableau1345678910[[#This Row],[Repère]]="","",VLOOKUP(Tableau1345678910[[#This Row],[Repère]],Tableau1[#All],7,FALSE))</f>
        <v/>
      </c>
      <c r="H64" s="13" t="str">
        <f>IF(Tableau1345678910[[#This Row],[Repère]]="","",VLOOKUP(Tableau1345678910[[#This Row],[Repère]],Tableau1[#All],8,FALSE))</f>
        <v/>
      </c>
      <c r="I64" s="13" t="str">
        <f>IF(Tableau1345678910[[#This Row],[Repère]]="","",VLOOKUP(Tableau1345678910[[#This Row],[Repère]],Tableau1[#All],9,FALSE))</f>
        <v/>
      </c>
      <c r="J64" s="13" t="str">
        <f>IF(Tableau1345678910[[#This Row],[Repère]]="","",VLOOKUP(Tableau1345678910[[#This Row],[Repère]],Tableau1[#All],10,FALSE))</f>
        <v/>
      </c>
      <c r="K64" s="13" t="str">
        <f>IF(Tableau1345678910[[#This Row],[Repère]]="","",VLOOKUP(Tableau1345678910[[#This Row],[Repère]],Tableau1[#All],11,FALSE))</f>
        <v/>
      </c>
      <c r="L64" s="14" t="str">
        <f>IF(Tableau1345678910[[#This Row],[Repère]]="","",VLOOKUP(Tableau1345678910[[#This Row],[Repère]],Tableau1[#All],12,FALSE))</f>
        <v/>
      </c>
    </row>
    <row r="65" spans="1:12" x14ac:dyDescent="0.3">
      <c r="A65" s="18"/>
      <c r="B65" s="19"/>
      <c r="C65" s="13" t="str">
        <f>IF(Tableau1345678910[[#This Row],[Repère]]="","",VLOOKUP(Tableau1345678910[[#This Row],[Repère]],Tableau1[#All],3,FALSE))</f>
        <v/>
      </c>
      <c r="D65" s="13" t="str">
        <f>IF(Tableau1345678910[[#This Row],[Repère]]="","",VLOOKUP(Tableau1345678910[[#This Row],[Repère]],Tableau1[#All],4,FALSE))</f>
        <v/>
      </c>
      <c r="E65" s="13" t="str">
        <f>IF(Tableau1345678910[[#This Row],[Repère]]="","",VLOOKUP(Tableau1345678910[[#This Row],[Repère]],Tableau1[#All],5,FALSE))</f>
        <v/>
      </c>
      <c r="F65" s="13" t="str">
        <f>IF(Tableau1345678910[[#This Row],[Repère]]="","",VLOOKUP(Tableau1345678910[[#This Row],[Repère]],Tableau1[#All],6,FALSE))</f>
        <v/>
      </c>
      <c r="G65" s="13" t="str">
        <f>IF(Tableau1345678910[[#This Row],[Repère]]="","",VLOOKUP(Tableau1345678910[[#This Row],[Repère]],Tableau1[#All],7,FALSE))</f>
        <v/>
      </c>
      <c r="H65" s="13" t="str">
        <f>IF(Tableau1345678910[[#This Row],[Repère]]="","",VLOOKUP(Tableau1345678910[[#This Row],[Repère]],Tableau1[#All],8,FALSE))</f>
        <v/>
      </c>
      <c r="I65" s="13" t="str">
        <f>IF(Tableau1345678910[[#This Row],[Repère]]="","",VLOOKUP(Tableau1345678910[[#This Row],[Repère]],Tableau1[#All],9,FALSE))</f>
        <v/>
      </c>
      <c r="J65" s="13" t="str">
        <f>IF(Tableau1345678910[[#This Row],[Repère]]="","",VLOOKUP(Tableau1345678910[[#This Row],[Repère]],Tableau1[#All],10,FALSE))</f>
        <v/>
      </c>
      <c r="K65" s="13" t="str">
        <f>IF(Tableau1345678910[[#This Row],[Repère]]="","",VLOOKUP(Tableau1345678910[[#This Row],[Repère]],Tableau1[#All],11,FALSE))</f>
        <v/>
      </c>
      <c r="L65" s="14" t="str">
        <f>IF(Tableau1345678910[[#This Row],[Repère]]="","",VLOOKUP(Tableau1345678910[[#This Row],[Repère]],Tableau1[#All],12,FALSE))</f>
        <v/>
      </c>
    </row>
    <row r="66" spans="1:12" x14ac:dyDescent="0.3">
      <c r="A66" s="18"/>
      <c r="B66" s="19"/>
      <c r="C66" s="13" t="str">
        <f>IF(Tableau1345678910[[#This Row],[Repère]]="","",VLOOKUP(Tableau1345678910[[#This Row],[Repère]],Tableau1[#All],3,FALSE))</f>
        <v/>
      </c>
      <c r="D66" s="13" t="str">
        <f>IF(Tableau1345678910[[#This Row],[Repère]]="","",VLOOKUP(Tableau1345678910[[#This Row],[Repère]],Tableau1[#All],4,FALSE))</f>
        <v/>
      </c>
      <c r="E66" s="13" t="str">
        <f>IF(Tableau1345678910[[#This Row],[Repère]]="","",VLOOKUP(Tableau1345678910[[#This Row],[Repère]],Tableau1[#All],5,FALSE))</f>
        <v/>
      </c>
      <c r="F66" s="13" t="str">
        <f>IF(Tableau1345678910[[#This Row],[Repère]]="","",VLOOKUP(Tableau1345678910[[#This Row],[Repère]],Tableau1[#All],6,FALSE))</f>
        <v/>
      </c>
      <c r="G66" s="13" t="str">
        <f>IF(Tableau1345678910[[#This Row],[Repère]]="","",VLOOKUP(Tableau1345678910[[#This Row],[Repère]],Tableau1[#All],7,FALSE))</f>
        <v/>
      </c>
      <c r="H66" s="13" t="str">
        <f>IF(Tableau1345678910[[#This Row],[Repère]]="","",VLOOKUP(Tableau1345678910[[#This Row],[Repère]],Tableau1[#All],8,FALSE))</f>
        <v/>
      </c>
      <c r="I66" s="13" t="str">
        <f>IF(Tableau1345678910[[#This Row],[Repère]]="","",VLOOKUP(Tableau1345678910[[#This Row],[Repère]],Tableau1[#All],9,FALSE))</f>
        <v/>
      </c>
      <c r="J66" s="13" t="str">
        <f>IF(Tableau1345678910[[#This Row],[Repère]]="","",VLOOKUP(Tableau1345678910[[#This Row],[Repère]],Tableau1[#All],10,FALSE))</f>
        <v/>
      </c>
      <c r="K66" s="13" t="str">
        <f>IF(Tableau1345678910[[#This Row],[Repère]]="","",VLOOKUP(Tableau1345678910[[#This Row],[Repère]],Tableau1[#All],11,FALSE))</f>
        <v/>
      </c>
      <c r="L66" s="14" t="str">
        <f>IF(Tableau1345678910[[#This Row],[Repère]]="","",VLOOKUP(Tableau1345678910[[#This Row],[Repère]],Tableau1[#All],12,FALSE))</f>
        <v/>
      </c>
    </row>
    <row r="67" spans="1:12" x14ac:dyDescent="0.3">
      <c r="A67" s="18"/>
      <c r="B67" s="19"/>
      <c r="C67" s="13" t="str">
        <f>IF(Tableau1345678910[[#This Row],[Repère]]="","",VLOOKUP(Tableau1345678910[[#This Row],[Repère]],Tableau1[#All],3,FALSE))</f>
        <v/>
      </c>
      <c r="D67" s="13" t="str">
        <f>IF(Tableau1345678910[[#This Row],[Repère]]="","",VLOOKUP(Tableau1345678910[[#This Row],[Repère]],Tableau1[#All],4,FALSE))</f>
        <v/>
      </c>
      <c r="E67" s="13" t="str">
        <f>IF(Tableau1345678910[[#This Row],[Repère]]="","",VLOOKUP(Tableau1345678910[[#This Row],[Repère]],Tableau1[#All],5,FALSE))</f>
        <v/>
      </c>
      <c r="F67" s="13" t="str">
        <f>IF(Tableau1345678910[[#This Row],[Repère]]="","",VLOOKUP(Tableau1345678910[[#This Row],[Repère]],Tableau1[#All],6,FALSE))</f>
        <v/>
      </c>
      <c r="G67" s="13" t="str">
        <f>IF(Tableau1345678910[[#This Row],[Repère]]="","",VLOOKUP(Tableau1345678910[[#This Row],[Repère]],Tableau1[#All],7,FALSE))</f>
        <v/>
      </c>
      <c r="H67" s="13" t="str">
        <f>IF(Tableau1345678910[[#This Row],[Repère]]="","",VLOOKUP(Tableau1345678910[[#This Row],[Repère]],Tableau1[#All],8,FALSE))</f>
        <v/>
      </c>
      <c r="I67" s="13" t="str">
        <f>IF(Tableau1345678910[[#This Row],[Repère]]="","",VLOOKUP(Tableau1345678910[[#This Row],[Repère]],Tableau1[#All],9,FALSE))</f>
        <v/>
      </c>
      <c r="J67" s="13" t="str">
        <f>IF(Tableau1345678910[[#This Row],[Repère]]="","",VLOOKUP(Tableau1345678910[[#This Row],[Repère]],Tableau1[#All],10,FALSE))</f>
        <v/>
      </c>
      <c r="K67" s="13" t="str">
        <f>IF(Tableau1345678910[[#This Row],[Repère]]="","",VLOOKUP(Tableau1345678910[[#This Row],[Repère]],Tableau1[#All],11,FALSE))</f>
        <v/>
      </c>
      <c r="L67" s="14" t="str">
        <f>IF(Tableau1345678910[[#This Row],[Repère]]="","",VLOOKUP(Tableau1345678910[[#This Row],[Repère]],Tableau1[#All],12,FALSE))</f>
        <v/>
      </c>
    </row>
    <row r="68" spans="1:12" x14ac:dyDescent="0.3">
      <c r="A68" s="18"/>
      <c r="B68" s="19"/>
      <c r="C68" s="13" t="str">
        <f>IF(Tableau1345678910[[#This Row],[Repère]]="","",VLOOKUP(Tableau1345678910[[#This Row],[Repère]],Tableau1[#All],3,FALSE))</f>
        <v/>
      </c>
      <c r="D68" s="13" t="str">
        <f>IF(Tableau1345678910[[#This Row],[Repère]]="","",VLOOKUP(Tableau1345678910[[#This Row],[Repère]],Tableau1[#All],4,FALSE))</f>
        <v/>
      </c>
      <c r="E68" s="13" t="str">
        <f>IF(Tableau1345678910[[#This Row],[Repère]]="","",VLOOKUP(Tableau1345678910[[#This Row],[Repère]],Tableau1[#All],5,FALSE))</f>
        <v/>
      </c>
      <c r="F68" s="13" t="str">
        <f>IF(Tableau1345678910[[#This Row],[Repère]]="","",VLOOKUP(Tableau1345678910[[#This Row],[Repère]],Tableau1[#All],6,FALSE))</f>
        <v/>
      </c>
      <c r="G68" s="13" t="str">
        <f>IF(Tableau1345678910[[#This Row],[Repère]]="","",VLOOKUP(Tableau1345678910[[#This Row],[Repère]],Tableau1[#All],7,FALSE))</f>
        <v/>
      </c>
      <c r="H68" s="13" t="str">
        <f>IF(Tableau1345678910[[#This Row],[Repère]]="","",VLOOKUP(Tableau1345678910[[#This Row],[Repère]],Tableau1[#All],8,FALSE))</f>
        <v/>
      </c>
      <c r="I68" s="13" t="str">
        <f>IF(Tableau1345678910[[#This Row],[Repère]]="","",VLOOKUP(Tableau1345678910[[#This Row],[Repère]],Tableau1[#All],9,FALSE))</f>
        <v/>
      </c>
      <c r="J68" s="13" t="str">
        <f>IF(Tableau1345678910[[#This Row],[Repère]]="","",VLOOKUP(Tableau1345678910[[#This Row],[Repère]],Tableau1[#All],10,FALSE))</f>
        <v/>
      </c>
      <c r="K68" s="13" t="str">
        <f>IF(Tableau1345678910[[#This Row],[Repère]]="","",VLOOKUP(Tableau1345678910[[#This Row],[Repère]],Tableau1[#All],11,FALSE))</f>
        <v/>
      </c>
      <c r="L68" s="14" t="str">
        <f>IF(Tableau1345678910[[#This Row],[Repère]]="","",VLOOKUP(Tableau1345678910[[#This Row],[Repère]],Tableau1[#All],12,FALSE))</f>
        <v/>
      </c>
    </row>
    <row r="69" spans="1:12" x14ac:dyDescent="0.3">
      <c r="A69" s="18"/>
      <c r="B69" s="19"/>
      <c r="C69" s="13" t="str">
        <f>IF(Tableau1345678910[[#This Row],[Repère]]="","",VLOOKUP(Tableau1345678910[[#This Row],[Repère]],Tableau1[#All],3,FALSE))</f>
        <v/>
      </c>
      <c r="D69" s="13" t="str">
        <f>IF(Tableau1345678910[[#This Row],[Repère]]="","",VLOOKUP(Tableau1345678910[[#This Row],[Repère]],Tableau1[#All],4,FALSE))</f>
        <v/>
      </c>
      <c r="E69" s="13" t="str">
        <f>IF(Tableau1345678910[[#This Row],[Repère]]="","",VLOOKUP(Tableau1345678910[[#This Row],[Repère]],Tableau1[#All],5,FALSE))</f>
        <v/>
      </c>
      <c r="F69" s="13" t="str">
        <f>IF(Tableau1345678910[[#This Row],[Repère]]="","",VLOOKUP(Tableau1345678910[[#This Row],[Repère]],Tableau1[#All],6,FALSE))</f>
        <v/>
      </c>
      <c r="G69" s="13" t="str">
        <f>IF(Tableau1345678910[[#This Row],[Repère]]="","",VLOOKUP(Tableau1345678910[[#This Row],[Repère]],Tableau1[#All],7,FALSE))</f>
        <v/>
      </c>
      <c r="H69" s="13" t="str">
        <f>IF(Tableau1345678910[[#This Row],[Repère]]="","",VLOOKUP(Tableau1345678910[[#This Row],[Repère]],Tableau1[#All],8,FALSE))</f>
        <v/>
      </c>
      <c r="I69" s="13" t="str">
        <f>IF(Tableau1345678910[[#This Row],[Repère]]="","",VLOOKUP(Tableau1345678910[[#This Row],[Repère]],Tableau1[#All],9,FALSE))</f>
        <v/>
      </c>
      <c r="J69" s="13" t="str">
        <f>IF(Tableau1345678910[[#This Row],[Repère]]="","",VLOOKUP(Tableau1345678910[[#This Row],[Repère]],Tableau1[#All],10,FALSE))</f>
        <v/>
      </c>
      <c r="K69" s="13" t="str">
        <f>IF(Tableau1345678910[[#This Row],[Repère]]="","",VLOOKUP(Tableau1345678910[[#This Row],[Repère]],Tableau1[#All],11,FALSE))</f>
        <v/>
      </c>
      <c r="L69" s="14" t="str">
        <f>IF(Tableau1345678910[[#This Row],[Repère]]="","",VLOOKUP(Tableau1345678910[[#This Row],[Repère]],Tableau1[#All],12,FALSE))</f>
        <v/>
      </c>
    </row>
    <row r="70" spans="1:12" x14ac:dyDescent="0.3">
      <c r="A70" s="18"/>
      <c r="B70" s="19"/>
      <c r="C70" s="13" t="str">
        <f>IF(Tableau1345678910[[#This Row],[Repère]]="","",VLOOKUP(Tableau1345678910[[#This Row],[Repère]],Tableau1[#All],3,FALSE))</f>
        <v/>
      </c>
      <c r="D70" s="13" t="str">
        <f>IF(Tableau1345678910[[#This Row],[Repère]]="","",VLOOKUP(Tableau1345678910[[#This Row],[Repère]],Tableau1[#All],4,FALSE))</f>
        <v/>
      </c>
      <c r="E70" s="13" t="str">
        <f>IF(Tableau1345678910[[#This Row],[Repère]]="","",VLOOKUP(Tableau1345678910[[#This Row],[Repère]],Tableau1[#All],5,FALSE))</f>
        <v/>
      </c>
      <c r="F70" s="13" t="str">
        <f>IF(Tableau1345678910[[#This Row],[Repère]]="","",VLOOKUP(Tableau1345678910[[#This Row],[Repère]],Tableau1[#All],6,FALSE))</f>
        <v/>
      </c>
      <c r="G70" s="13" t="str">
        <f>IF(Tableau1345678910[[#This Row],[Repère]]="","",VLOOKUP(Tableau1345678910[[#This Row],[Repère]],Tableau1[#All],7,FALSE))</f>
        <v/>
      </c>
      <c r="H70" s="13" t="str">
        <f>IF(Tableau1345678910[[#This Row],[Repère]]="","",VLOOKUP(Tableau1345678910[[#This Row],[Repère]],Tableau1[#All],8,FALSE))</f>
        <v/>
      </c>
      <c r="I70" s="13" t="str">
        <f>IF(Tableau1345678910[[#This Row],[Repère]]="","",VLOOKUP(Tableau1345678910[[#This Row],[Repère]],Tableau1[#All],9,FALSE))</f>
        <v/>
      </c>
      <c r="J70" s="13" t="str">
        <f>IF(Tableau1345678910[[#This Row],[Repère]]="","",VLOOKUP(Tableau1345678910[[#This Row],[Repère]],Tableau1[#All],10,FALSE))</f>
        <v/>
      </c>
      <c r="K70" s="13" t="str">
        <f>IF(Tableau1345678910[[#This Row],[Repère]]="","",VLOOKUP(Tableau1345678910[[#This Row],[Repère]],Tableau1[#All],11,FALSE))</f>
        <v/>
      </c>
      <c r="L70" s="14" t="str">
        <f>IF(Tableau1345678910[[#This Row],[Repère]]="","",VLOOKUP(Tableau1345678910[[#This Row],[Repère]],Tableau1[#All],12,FALSE))</f>
        <v/>
      </c>
    </row>
    <row r="71" spans="1:12" x14ac:dyDescent="0.3">
      <c r="A71" s="18"/>
      <c r="B71" s="19"/>
      <c r="C71" s="13" t="str">
        <f>IF(Tableau1345678910[[#This Row],[Repère]]="","",VLOOKUP(Tableau1345678910[[#This Row],[Repère]],Tableau1[#All],3,FALSE))</f>
        <v/>
      </c>
      <c r="D71" s="13" t="str">
        <f>IF(Tableau1345678910[[#This Row],[Repère]]="","",VLOOKUP(Tableau1345678910[[#This Row],[Repère]],Tableau1[#All],4,FALSE))</f>
        <v/>
      </c>
      <c r="E71" s="13" t="str">
        <f>IF(Tableau1345678910[[#This Row],[Repère]]="","",VLOOKUP(Tableau1345678910[[#This Row],[Repère]],Tableau1[#All],5,FALSE))</f>
        <v/>
      </c>
      <c r="F71" s="13" t="str">
        <f>IF(Tableau1345678910[[#This Row],[Repère]]="","",VLOOKUP(Tableau1345678910[[#This Row],[Repère]],Tableau1[#All],6,FALSE))</f>
        <v/>
      </c>
      <c r="G71" s="13" t="str">
        <f>IF(Tableau1345678910[[#This Row],[Repère]]="","",VLOOKUP(Tableau1345678910[[#This Row],[Repère]],Tableau1[#All],7,FALSE))</f>
        <v/>
      </c>
      <c r="H71" s="13" t="str">
        <f>IF(Tableau1345678910[[#This Row],[Repère]]="","",VLOOKUP(Tableau1345678910[[#This Row],[Repère]],Tableau1[#All],8,FALSE))</f>
        <v/>
      </c>
      <c r="I71" s="13" t="str">
        <f>IF(Tableau1345678910[[#This Row],[Repère]]="","",VLOOKUP(Tableau1345678910[[#This Row],[Repère]],Tableau1[#All],9,FALSE))</f>
        <v/>
      </c>
      <c r="J71" s="13" t="str">
        <f>IF(Tableau1345678910[[#This Row],[Repère]]="","",VLOOKUP(Tableau1345678910[[#This Row],[Repère]],Tableau1[#All],10,FALSE))</f>
        <v/>
      </c>
      <c r="K71" s="13" t="str">
        <f>IF(Tableau1345678910[[#This Row],[Repère]]="","",VLOOKUP(Tableau1345678910[[#This Row],[Repère]],Tableau1[#All],11,FALSE))</f>
        <v/>
      </c>
      <c r="L71" s="14" t="str">
        <f>IF(Tableau1345678910[[#This Row],[Repère]]="","",VLOOKUP(Tableau1345678910[[#This Row],[Repère]],Tableau1[#All],12,FALSE))</f>
        <v/>
      </c>
    </row>
    <row r="72" spans="1:12" x14ac:dyDescent="0.3">
      <c r="A72" s="18"/>
      <c r="B72" s="19"/>
      <c r="C72" s="13" t="str">
        <f>IF(Tableau1345678910[[#This Row],[Repère]]="","",VLOOKUP(Tableau1345678910[[#This Row],[Repère]],Tableau1[#All],3,FALSE))</f>
        <v/>
      </c>
      <c r="D72" s="13" t="str">
        <f>IF(Tableau1345678910[[#This Row],[Repère]]="","",VLOOKUP(Tableau1345678910[[#This Row],[Repère]],Tableau1[#All],4,FALSE))</f>
        <v/>
      </c>
      <c r="E72" s="13" t="str">
        <f>IF(Tableau1345678910[[#This Row],[Repère]]="","",VLOOKUP(Tableau1345678910[[#This Row],[Repère]],Tableau1[#All],5,FALSE))</f>
        <v/>
      </c>
      <c r="F72" s="13" t="str">
        <f>IF(Tableau1345678910[[#This Row],[Repère]]="","",VLOOKUP(Tableau1345678910[[#This Row],[Repère]],Tableau1[#All],6,FALSE))</f>
        <v/>
      </c>
      <c r="G72" s="13" t="str">
        <f>IF(Tableau1345678910[[#This Row],[Repère]]="","",VLOOKUP(Tableau1345678910[[#This Row],[Repère]],Tableau1[#All],7,FALSE))</f>
        <v/>
      </c>
      <c r="H72" s="13" t="str">
        <f>IF(Tableau1345678910[[#This Row],[Repère]]="","",VLOOKUP(Tableau1345678910[[#This Row],[Repère]],Tableau1[#All],8,FALSE))</f>
        <v/>
      </c>
      <c r="I72" s="13" t="str">
        <f>IF(Tableau1345678910[[#This Row],[Repère]]="","",VLOOKUP(Tableau1345678910[[#This Row],[Repère]],Tableau1[#All],9,FALSE))</f>
        <v/>
      </c>
      <c r="J72" s="13" t="str">
        <f>IF(Tableau1345678910[[#This Row],[Repère]]="","",VLOOKUP(Tableau1345678910[[#This Row],[Repère]],Tableau1[#All],10,FALSE))</f>
        <v/>
      </c>
      <c r="K72" s="13" t="str">
        <f>IF(Tableau1345678910[[#This Row],[Repère]]="","",VLOOKUP(Tableau1345678910[[#This Row],[Repère]],Tableau1[#All],11,FALSE))</f>
        <v/>
      </c>
      <c r="L72" s="14" t="str">
        <f>IF(Tableau1345678910[[#This Row],[Repère]]="","",VLOOKUP(Tableau1345678910[[#This Row],[Repère]],Tableau1[#All],12,FALSE))</f>
        <v/>
      </c>
    </row>
    <row r="73" spans="1:12" x14ac:dyDescent="0.3">
      <c r="A73" s="18"/>
      <c r="B73" s="19"/>
      <c r="C73" s="13" t="str">
        <f>IF(Tableau1345678910[[#This Row],[Repère]]="","",VLOOKUP(Tableau1345678910[[#This Row],[Repère]],Tableau1[#All],3,FALSE))</f>
        <v/>
      </c>
      <c r="D73" s="13" t="str">
        <f>IF(Tableau1345678910[[#This Row],[Repère]]="","",VLOOKUP(Tableau1345678910[[#This Row],[Repère]],Tableau1[#All],4,FALSE))</f>
        <v/>
      </c>
      <c r="E73" s="13" t="str">
        <f>IF(Tableau1345678910[[#This Row],[Repère]]="","",VLOOKUP(Tableau1345678910[[#This Row],[Repère]],Tableau1[#All],5,FALSE))</f>
        <v/>
      </c>
      <c r="F73" s="13" t="str">
        <f>IF(Tableau1345678910[[#This Row],[Repère]]="","",VLOOKUP(Tableau1345678910[[#This Row],[Repère]],Tableau1[#All],6,FALSE))</f>
        <v/>
      </c>
      <c r="G73" s="13" t="str">
        <f>IF(Tableau1345678910[[#This Row],[Repère]]="","",VLOOKUP(Tableau1345678910[[#This Row],[Repère]],Tableau1[#All],7,FALSE))</f>
        <v/>
      </c>
      <c r="H73" s="13" t="str">
        <f>IF(Tableau1345678910[[#This Row],[Repère]]="","",VLOOKUP(Tableau1345678910[[#This Row],[Repère]],Tableau1[#All],8,FALSE))</f>
        <v/>
      </c>
      <c r="I73" s="13" t="str">
        <f>IF(Tableau1345678910[[#This Row],[Repère]]="","",VLOOKUP(Tableau1345678910[[#This Row],[Repère]],Tableau1[#All],9,FALSE))</f>
        <v/>
      </c>
      <c r="J73" s="13" t="str">
        <f>IF(Tableau1345678910[[#This Row],[Repère]]="","",VLOOKUP(Tableau1345678910[[#This Row],[Repère]],Tableau1[#All],10,FALSE))</f>
        <v/>
      </c>
      <c r="K73" s="13" t="str">
        <f>IF(Tableau1345678910[[#This Row],[Repère]]="","",VLOOKUP(Tableau1345678910[[#This Row],[Repère]],Tableau1[#All],11,FALSE))</f>
        <v/>
      </c>
      <c r="L73" s="14" t="str">
        <f>IF(Tableau1345678910[[#This Row],[Repère]]="","",VLOOKUP(Tableau1345678910[[#This Row],[Repère]],Tableau1[#All],12,FALSE))</f>
        <v/>
      </c>
    </row>
    <row r="74" spans="1:12" x14ac:dyDescent="0.3">
      <c r="A74" s="18"/>
      <c r="B74" s="19"/>
      <c r="C74" s="13" t="str">
        <f>IF(Tableau1345678910[[#This Row],[Repère]]="","",VLOOKUP(Tableau1345678910[[#This Row],[Repère]],Tableau1[#All],3,FALSE))</f>
        <v/>
      </c>
      <c r="D74" s="13" t="str">
        <f>IF(Tableau1345678910[[#This Row],[Repère]]="","",VLOOKUP(Tableau1345678910[[#This Row],[Repère]],Tableau1[#All],4,FALSE))</f>
        <v/>
      </c>
      <c r="E74" s="13" t="str">
        <f>IF(Tableau1345678910[[#This Row],[Repère]]="","",VLOOKUP(Tableau1345678910[[#This Row],[Repère]],Tableau1[#All],5,FALSE))</f>
        <v/>
      </c>
      <c r="F74" s="13" t="str">
        <f>IF(Tableau1345678910[[#This Row],[Repère]]="","",VLOOKUP(Tableau1345678910[[#This Row],[Repère]],Tableau1[#All],6,FALSE))</f>
        <v/>
      </c>
      <c r="G74" s="13" t="str">
        <f>IF(Tableau1345678910[[#This Row],[Repère]]="","",VLOOKUP(Tableau1345678910[[#This Row],[Repère]],Tableau1[#All],7,FALSE))</f>
        <v/>
      </c>
      <c r="H74" s="13" t="str">
        <f>IF(Tableau1345678910[[#This Row],[Repère]]="","",VLOOKUP(Tableau1345678910[[#This Row],[Repère]],Tableau1[#All],8,FALSE))</f>
        <v/>
      </c>
      <c r="I74" s="13" t="str">
        <f>IF(Tableau1345678910[[#This Row],[Repère]]="","",VLOOKUP(Tableau1345678910[[#This Row],[Repère]],Tableau1[#All],9,FALSE))</f>
        <v/>
      </c>
      <c r="J74" s="13" t="str">
        <f>IF(Tableau1345678910[[#This Row],[Repère]]="","",VLOOKUP(Tableau1345678910[[#This Row],[Repère]],Tableau1[#All],10,FALSE))</f>
        <v/>
      </c>
      <c r="K74" s="13" t="str">
        <f>IF(Tableau1345678910[[#This Row],[Repère]]="","",VLOOKUP(Tableau1345678910[[#This Row],[Repère]],Tableau1[#All],11,FALSE))</f>
        <v/>
      </c>
      <c r="L74" s="14" t="str">
        <f>IF(Tableau1345678910[[#This Row],[Repère]]="","",VLOOKUP(Tableau1345678910[[#This Row],[Repère]],Tableau1[#All],12,FALSE))</f>
        <v/>
      </c>
    </row>
    <row r="75" spans="1:12" x14ac:dyDescent="0.3">
      <c r="A75" s="18"/>
      <c r="B75" s="19"/>
      <c r="C75" s="13" t="str">
        <f>IF(Tableau1345678910[[#This Row],[Repère]]="","",VLOOKUP(Tableau1345678910[[#This Row],[Repère]],Tableau1[#All],3,FALSE))</f>
        <v/>
      </c>
      <c r="D75" s="13" t="str">
        <f>IF(Tableau1345678910[[#This Row],[Repère]]="","",VLOOKUP(Tableau1345678910[[#This Row],[Repère]],Tableau1[#All],4,FALSE))</f>
        <v/>
      </c>
      <c r="E75" s="13" t="str">
        <f>IF(Tableau1345678910[[#This Row],[Repère]]="","",VLOOKUP(Tableau1345678910[[#This Row],[Repère]],Tableau1[#All],5,FALSE))</f>
        <v/>
      </c>
      <c r="F75" s="13" t="str">
        <f>IF(Tableau1345678910[[#This Row],[Repère]]="","",VLOOKUP(Tableau1345678910[[#This Row],[Repère]],Tableau1[#All],6,FALSE))</f>
        <v/>
      </c>
      <c r="G75" s="13" t="str">
        <f>IF(Tableau1345678910[[#This Row],[Repère]]="","",VLOOKUP(Tableau1345678910[[#This Row],[Repère]],Tableau1[#All],7,FALSE))</f>
        <v/>
      </c>
      <c r="H75" s="13" t="str">
        <f>IF(Tableau1345678910[[#This Row],[Repère]]="","",VLOOKUP(Tableau1345678910[[#This Row],[Repère]],Tableau1[#All],8,FALSE))</f>
        <v/>
      </c>
      <c r="I75" s="13" t="str">
        <f>IF(Tableau1345678910[[#This Row],[Repère]]="","",VLOOKUP(Tableau1345678910[[#This Row],[Repère]],Tableau1[#All],9,FALSE))</f>
        <v/>
      </c>
      <c r="J75" s="13" t="str">
        <f>IF(Tableau1345678910[[#This Row],[Repère]]="","",VLOOKUP(Tableau1345678910[[#This Row],[Repère]],Tableau1[#All],10,FALSE))</f>
        <v/>
      </c>
      <c r="K75" s="13" t="str">
        <f>IF(Tableau1345678910[[#This Row],[Repère]]="","",VLOOKUP(Tableau1345678910[[#This Row],[Repère]],Tableau1[#All],11,FALSE))</f>
        <v/>
      </c>
      <c r="L75" s="14" t="str">
        <f>IF(Tableau1345678910[[#This Row],[Repère]]="","",VLOOKUP(Tableau1345678910[[#This Row],[Repère]],Tableau1[#All],12,FALSE))</f>
        <v/>
      </c>
    </row>
    <row r="76" spans="1:12" x14ac:dyDescent="0.3">
      <c r="A76" s="18"/>
      <c r="B76" s="19"/>
      <c r="C76" s="13" t="str">
        <f>IF(Tableau1345678910[[#This Row],[Repère]]="","",VLOOKUP(Tableau1345678910[[#This Row],[Repère]],Tableau1[#All],3,FALSE))</f>
        <v/>
      </c>
      <c r="D76" s="13" t="str">
        <f>IF(Tableau1345678910[[#This Row],[Repère]]="","",VLOOKUP(Tableau1345678910[[#This Row],[Repère]],Tableau1[#All],4,FALSE))</f>
        <v/>
      </c>
      <c r="E76" s="13" t="str">
        <f>IF(Tableau1345678910[[#This Row],[Repère]]="","",VLOOKUP(Tableau1345678910[[#This Row],[Repère]],Tableau1[#All],5,FALSE))</f>
        <v/>
      </c>
      <c r="F76" s="13" t="str">
        <f>IF(Tableau1345678910[[#This Row],[Repère]]="","",VLOOKUP(Tableau1345678910[[#This Row],[Repère]],Tableau1[#All],6,FALSE))</f>
        <v/>
      </c>
      <c r="G76" s="13" t="str">
        <f>IF(Tableau1345678910[[#This Row],[Repère]]="","",VLOOKUP(Tableau1345678910[[#This Row],[Repère]],Tableau1[#All],7,FALSE))</f>
        <v/>
      </c>
      <c r="H76" s="13" t="str">
        <f>IF(Tableau1345678910[[#This Row],[Repère]]="","",VLOOKUP(Tableau1345678910[[#This Row],[Repère]],Tableau1[#All],8,FALSE))</f>
        <v/>
      </c>
      <c r="I76" s="13" t="str">
        <f>IF(Tableau1345678910[[#This Row],[Repère]]="","",VLOOKUP(Tableau1345678910[[#This Row],[Repère]],Tableau1[#All],9,FALSE))</f>
        <v/>
      </c>
      <c r="J76" s="13" t="str">
        <f>IF(Tableau1345678910[[#This Row],[Repère]]="","",VLOOKUP(Tableau1345678910[[#This Row],[Repère]],Tableau1[#All],10,FALSE))</f>
        <v/>
      </c>
      <c r="K76" s="13" t="str">
        <f>IF(Tableau1345678910[[#This Row],[Repère]]="","",VLOOKUP(Tableau1345678910[[#This Row],[Repère]],Tableau1[#All],11,FALSE))</f>
        <v/>
      </c>
      <c r="L76" s="14" t="str">
        <f>IF(Tableau1345678910[[#This Row],[Repère]]="","",VLOOKUP(Tableau1345678910[[#This Row],[Repère]],Tableau1[#All],12,FALSE))</f>
        <v/>
      </c>
    </row>
    <row r="77" spans="1:12" x14ac:dyDescent="0.3">
      <c r="A77" s="18"/>
      <c r="B77" s="19"/>
      <c r="C77" s="13" t="str">
        <f>IF(Tableau1345678910[[#This Row],[Repère]]="","",VLOOKUP(Tableau1345678910[[#This Row],[Repère]],Tableau1[#All],3,FALSE))</f>
        <v/>
      </c>
      <c r="D77" s="13" t="str">
        <f>IF(Tableau1345678910[[#This Row],[Repère]]="","",VLOOKUP(Tableau1345678910[[#This Row],[Repère]],Tableau1[#All],4,FALSE))</f>
        <v/>
      </c>
      <c r="E77" s="13" t="str">
        <f>IF(Tableau1345678910[[#This Row],[Repère]]="","",VLOOKUP(Tableau1345678910[[#This Row],[Repère]],Tableau1[#All],5,FALSE))</f>
        <v/>
      </c>
      <c r="F77" s="13" t="str">
        <f>IF(Tableau1345678910[[#This Row],[Repère]]="","",VLOOKUP(Tableau1345678910[[#This Row],[Repère]],Tableau1[#All],6,FALSE))</f>
        <v/>
      </c>
      <c r="G77" s="13" t="str">
        <f>IF(Tableau1345678910[[#This Row],[Repère]]="","",VLOOKUP(Tableau1345678910[[#This Row],[Repère]],Tableau1[#All],7,FALSE))</f>
        <v/>
      </c>
      <c r="H77" s="13" t="str">
        <f>IF(Tableau1345678910[[#This Row],[Repère]]="","",VLOOKUP(Tableau1345678910[[#This Row],[Repère]],Tableau1[#All],8,FALSE))</f>
        <v/>
      </c>
      <c r="I77" s="13" t="str">
        <f>IF(Tableau1345678910[[#This Row],[Repère]]="","",VLOOKUP(Tableau1345678910[[#This Row],[Repère]],Tableau1[#All],9,FALSE))</f>
        <v/>
      </c>
      <c r="J77" s="13" t="str">
        <f>IF(Tableau1345678910[[#This Row],[Repère]]="","",VLOOKUP(Tableau1345678910[[#This Row],[Repère]],Tableau1[#All],10,FALSE))</f>
        <v/>
      </c>
      <c r="K77" s="13" t="str">
        <f>IF(Tableau1345678910[[#This Row],[Repère]]="","",VLOOKUP(Tableau1345678910[[#This Row],[Repère]],Tableau1[#All],11,FALSE))</f>
        <v/>
      </c>
      <c r="L77" s="14" t="str">
        <f>IF(Tableau1345678910[[#This Row],[Repère]]="","",VLOOKUP(Tableau1345678910[[#This Row],[Repère]],Tableau1[#All],12,FALSE))</f>
        <v/>
      </c>
    </row>
    <row r="78" spans="1:12" x14ac:dyDescent="0.3">
      <c r="A78" s="18"/>
      <c r="B78" s="19"/>
      <c r="C78" s="13" t="str">
        <f>IF(Tableau1345678910[[#This Row],[Repère]]="","",VLOOKUP(Tableau1345678910[[#This Row],[Repère]],Tableau1[#All],3,FALSE))</f>
        <v/>
      </c>
      <c r="D78" s="13" t="str">
        <f>IF(Tableau1345678910[[#This Row],[Repère]]="","",VLOOKUP(Tableau1345678910[[#This Row],[Repère]],Tableau1[#All],4,FALSE))</f>
        <v/>
      </c>
      <c r="E78" s="13" t="str">
        <f>IF(Tableau1345678910[[#This Row],[Repère]]="","",VLOOKUP(Tableau1345678910[[#This Row],[Repère]],Tableau1[#All],5,FALSE))</f>
        <v/>
      </c>
      <c r="F78" s="13" t="str">
        <f>IF(Tableau1345678910[[#This Row],[Repère]]="","",VLOOKUP(Tableau1345678910[[#This Row],[Repère]],Tableau1[#All],6,FALSE))</f>
        <v/>
      </c>
      <c r="G78" s="13" t="str">
        <f>IF(Tableau1345678910[[#This Row],[Repère]]="","",VLOOKUP(Tableau1345678910[[#This Row],[Repère]],Tableau1[#All],7,FALSE))</f>
        <v/>
      </c>
      <c r="H78" s="13" t="str">
        <f>IF(Tableau1345678910[[#This Row],[Repère]]="","",VLOOKUP(Tableau1345678910[[#This Row],[Repère]],Tableau1[#All],8,FALSE))</f>
        <v/>
      </c>
      <c r="I78" s="13" t="str">
        <f>IF(Tableau1345678910[[#This Row],[Repère]]="","",VLOOKUP(Tableau1345678910[[#This Row],[Repère]],Tableau1[#All],9,FALSE))</f>
        <v/>
      </c>
      <c r="J78" s="13" t="str">
        <f>IF(Tableau1345678910[[#This Row],[Repère]]="","",VLOOKUP(Tableau1345678910[[#This Row],[Repère]],Tableau1[#All],10,FALSE))</f>
        <v/>
      </c>
      <c r="K78" s="13" t="str">
        <f>IF(Tableau1345678910[[#This Row],[Repère]]="","",VLOOKUP(Tableau1345678910[[#This Row],[Repère]],Tableau1[#All],11,FALSE))</f>
        <v/>
      </c>
      <c r="L78" s="14" t="str">
        <f>IF(Tableau1345678910[[#This Row],[Repère]]="","",VLOOKUP(Tableau1345678910[[#This Row],[Repère]],Tableau1[#All],12,FALSE))</f>
        <v/>
      </c>
    </row>
    <row r="79" spans="1:12" x14ac:dyDescent="0.3">
      <c r="A79" s="18"/>
      <c r="B79" s="19"/>
      <c r="C79" s="13" t="str">
        <f>IF(Tableau1345678910[[#This Row],[Repère]]="","",VLOOKUP(Tableau1345678910[[#This Row],[Repère]],Tableau1[#All],3,FALSE))</f>
        <v/>
      </c>
      <c r="D79" s="13" t="str">
        <f>IF(Tableau1345678910[[#This Row],[Repère]]="","",VLOOKUP(Tableau1345678910[[#This Row],[Repère]],Tableau1[#All],4,FALSE))</f>
        <v/>
      </c>
      <c r="E79" s="13" t="str">
        <f>IF(Tableau1345678910[[#This Row],[Repère]]="","",VLOOKUP(Tableau1345678910[[#This Row],[Repère]],Tableau1[#All],5,FALSE))</f>
        <v/>
      </c>
      <c r="F79" s="13" t="str">
        <f>IF(Tableau1345678910[[#This Row],[Repère]]="","",VLOOKUP(Tableau1345678910[[#This Row],[Repère]],Tableau1[#All],6,FALSE))</f>
        <v/>
      </c>
      <c r="G79" s="13" t="str">
        <f>IF(Tableau1345678910[[#This Row],[Repère]]="","",VLOOKUP(Tableau1345678910[[#This Row],[Repère]],Tableau1[#All],7,FALSE))</f>
        <v/>
      </c>
      <c r="H79" s="13" t="str">
        <f>IF(Tableau1345678910[[#This Row],[Repère]]="","",VLOOKUP(Tableau1345678910[[#This Row],[Repère]],Tableau1[#All],8,FALSE))</f>
        <v/>
      </c>
      <c r="I79" s="13" t="str">
        <f>IF(Tableau1345678910[[#This Row],[Repère]]="","",VLOOKUP(Tableau1345678910[[#This Row],[Repère]],Tableau1[#All],9,FALSE))</f>
        <v/>
      </c>
      <c r="J79" s="13" t="str">
        <f>IF(Tableau1345678910[[#This Row],[Repère]]="","",VLOOKUP(Tableau1345678910[[#This Row],[Repère]],Tableau1[#All],10,FALSE))</f>
        <v/>
      </c>
      <c r="K79" s="13" t="str">
        <f>IF(Tableau1345678910[[#This Row],[Repère]]="","",VLOOKUP(Tableau1345678910[[#This Row],[Repère]],Tableau1[#All],11,FALSE))</f>
        <v/>
      </c>
      <c r="L79" s="14" t="str">
        <f>IF(Tableau1345678910[[#This Row],[Repère]]="","",VLOOKUP(Tableau1345678910[[#This Row],[Repère]],Tableau1[#All],12,FALSE))</f>
        <v/>
      </c>
    </row>
    <row r="80" spans="1:12" x14ac:dyDescent="0.3">
      <c r="A80" s="18"/>
      <c r="B80" s="19"/>
      <c r="C80" s="13" t="str">
        <f>IF(Tableau1345678910[[#This Row],[Repère]]="","",VLOOKUP(Tableau1345678910[[#This Row],[Repère]],Tableau1[#All],3,FALSE))</f>
        <v/>
      </c>
      <c r="D80" s="13" t="str">
        <f>IF(Tableau1345678910[[#This Row],[Repère]]="","",VLOOKUP(Tableau1345678910[[#This Row],[Repère]],Tableau1[#All],4,FALSE))</f>
        <v/>
      </c>
      <c r="E80" s="13" t="str">
        <f>IF(Tableau1345678910[[#This Row],[Repère]]="","",VLOOKUP(Tableau1345678910[[#This Row],[Repère]],Tableau1[#All],5,FALSE))</f>
        <v/>
      </c>
      <c r="F80" s="13" t="str">
        <f>IF(Tableau1345678910[[#This Row],[Repère]]="","",VLOOKUP(Tableau1345678910[[#This Row],[Repère]],Tableau1[#All],6,FALSE))</f>
        <v/>
      </c>
      <c r="G80" s="13" t="str">
        <f>IF(Tableau1345678910[[#This Row],[Repère]]="","",VLOOKUP(Tableau1345678910[[#This Row],[Repère]],Tableau1[#All],7,FALSE))</f>
        <v/>
      </c>
      <c r="H80" s="13" t="str">
        <f>IF(Tableau1345678910[[#This Row],[Repère]]="","",VLOOKUP(Tableau1345678910[[#This Row],[Repère]],Tableau1[#All],8,FALSE))</f>
        <v/>
      </c>
      <c r="I80" s="13" t="str">
        <f>IF(Tableau1345678910[[#This Row],[Repère]]="","",VLOOKUP(Tableau1345678910[[#This Row],[Repère]],Tableau1[#All],9,FALSE))</f>
        <v/>
      </c>
      <c r="J80" s="13" t="str">
        <f>IF(Tableau1345678910[[#This Row],[Repère]]="","",VLOOKUP(Tableau1345678910[[#This Row],[Repère]],Tableau1[#All],10,FALSE))</f>
        <v/>
      </c>
      <c r="K80" s="13" t="str">
        <f>IF(Tableau1345678910[[#This Row],[Repère]]="","",VLOOKUP(Tableau1345678910[[#This Row],[Repère]],Tableau1[#All],11,FALSE))</f>
        <v/>
      </c>
      <c r="L80" s="14" t="str">
        <f>IF(Tableau1345678910[[#This Row],[Repère]]="","",VLOOKUP(Tableau1345678910[[#This Row],[Repère]],Tableau1[#All],12,FALSE))</f>
        <v/>
      </c>
    </row>
    <row r="81" spans="1:12" x14ac:dyDescent="0.3">
      <c r="A81" s="18"/>
      <c r="B81" s="19"/>
      <c r="C81" s="13" t="str">
        <f>IF(Tableau1345678910[[#This Row],[Repère]]="","",VLOOKUP(Tableau1345678910[[#This Row],[Repère]],Tableau1[#All],3,FALSE))</f>
        <v/>
      </c>
      <c r="D81" s="13" t="str">
        <f>IF(Tableau1345678910[[#This Row],[Repère]]="","",VLOOKUP(Tableau1345678910[[#This Row],[Repère]],Tableau1[#All],4,FALSE))</f>
        <v/>
      </c>
      <c r="E81" s="13" t="str">
        <f>IF(Tableau1345678910[[#This Row],[Repère]]="","",VLOOKUP(Tableau1345678910[[#This Row],[Repère]],Tableau1[#All],5,FALSE))</f>
        <v/>
      </c>
      <c r="F81" s="13" t="str">
        <f>IF(Tableau1345678910[[#This Row],[Repère]]="","",VLOOKUP(Tableau1345678910[[#This Row],[Repère]],Tableau1[#All],6,FALSE))</f>
        <v/>
      </c>
      <c r="G81" s="13" t="str">
        <f>IF(Tableau1345678910[[#This Row],[Repère]]="","",VLOOKUP(Tableau1345678910[[#This Row],[Repère]],Tableau1[#All],7,FALSE))</f>
        <v/>
      </c>
      <c r="H81" s="13" t="str">
        <f>IF(Tableau1345678910[[#This Row],[Repère]]="","",VLOOKUP(Tableau1345678910[[#This Row],[Repère]],Tableau1[#All],8,FALSE))</f>
        <v/>
      </c>
      <c r="I81" s="13" t="str">
        <f>IF(Tableau1345678910[[#This Row],[Repère]]="","",VLOOKUP(Tableau1345678910[[#This Row],[Repère]],Tableau1[#All],9,FALSE))</f>
        <v/>
      </c>
      <c r="J81" s="13" t="str">
        <f>IF(Tableau1345678910[[#This Row],[Repère]]="","",VLOOKUP(Tableau1345678910[[#This Row],[Repère]],Tableau1[#All],10,FALSE))</f>
        <v/>
      </c>
      <c r="K81" s="13" t="str">
        <f>IF(Tableau1345678910[[#This Row],[Repère]]="","",VLOOKUP(Tableau1345678910[[#This Row],[Repère]],Tableau1[#All],11,FALSE))</f>
        <v/>
      </c>
      <c r="L81" s="14" t="str">
        <f>IF(Tableau1345678910[[#This Row],[Repère]]="","",VLOOKUP(Tableau1345678910[[#This Row],[Repère]],Tableau1[#All],12,FALSE))</f>
        <v/>
      </c>
    </row>
    <row r="82" spans="1:12" x14ac:dyDescent="0.3">
      <c r="A82" s="18"/>
      <c r="B82" s="19"/>
      <c r="C82" s="13" t="str">
        <f>IF(Tableau1345678910[[#This Row],[Repère]]="","",VLOOKUP(Tableau1345678910[[#This Row],[Repère]],Tableau1[#All],3,FALSE))</f>
        <v/>
      </c>
      <c r="D82" s="13" t="str">
        <f>IF(Tableau1345678910[[#This Row],[Repère]]="","",VLOOKUP(Tableau1345678910[[#This Row],[Repère]],Tableau1[#All],4,FALSE))</f>
        <v/>
      </c>
      <c r="E82" s="13" t="str">
        <f>IF(Tableau1345678910[[#This Row],[Repère]]="","",VLOOKUP(Tableau1345678910[[#This Row],[Repère]],Tableau1[#All],5,FALSE))</f>
        <v/>
      </c>
      <c r="F82" s="13" t="str">
        <f>IF(Tableau1345678910[[#This Row],[Repère]]="","",VLOOKUP(Tableau1345678910[[#This Row],[Repère]],Tableau1[#All],6,FALSE))</f>
        <v/>
      </c>
      <c r="G82" s="13" t="str">
        <f>IF(Tableau1345678910[[#This Row],[Repère]]="","",VLOOKUP(Tableau1345678910[[#This Row],[Repère]],Tableau1[#All],7,FALSE))</f>
        <v/>
      </c>
      <c r="H82" s="13" t="str">
        <f>IF(Tableau1345678910[[#This Row],[Repère]]="","",VLOOKUP(Tableau1345678910[[#This Row],[Repère]],Tableau1[#All],8,FALSE))</f>
        <v/>
      </c>
      <c r="I82" s="13" t="str">
        <f>IF(Tableau1345678910[[#This Row],[Repère]]="","",VLOOKUP(Tableau1345678910[[#This Row],[Repère]],Tableau1[#All],9,FALSE))</f>
        <v/>
      </c>
      <c r="J82" s="13" t="str">
        <f>IF(Tableau1345678910[[#This Row],[Repère]]="","",VLOOKUP(Tableau1345678910[[#This Row],[Repère]],Tableau1[#All],10,FALSE))</f>
        <v/>
      </c>
      <c r="K82" s="13" t="str">
        <f>IF(Tableau1345678910[[#This Row],[Repère]]="","",VLOOKUP(Tableau1345678910[[#This Row],[Repère]],Tableau1[#All],11,FALSE))</f>
        <v/>
      </c>
      <c r="L82" s="14" t="str">
        <f>IF(Tableau1345678910[[#This Row],[Repère]]="","",VLOOKUP(Tableau1345678910[[#This Row],[Repère]],Tableau1[#All],12,FALSE))</f>
        <v/>
      </c>
    </row>
    <row r="83" spans="1:12" x14ac:dyDescent="0.3">
      <c r="A83" s="18"/>
      <c r="B83" s="19"/>
      <c r="C83" s="13" t="str">
        <f>IF(Tableau1345678910[[#This Row],[Repère]]="","",VLOOKUP(Tableau1345678910[[#This Row],[Repère]],Tableau1[#All],3,FALSE))</f>
        <v/>
      </c>
      <c r="D83" s="13" t="str">
        <f>IF(Tableau1345678910[[#This Row],[Repère]]="","",VLOOKUP(Tableau1345678910[[#This Row],[Repère]],Tableau1[#All],4,FALSE))</f>
        <v/>
      </c>
      <c r="E83" s="13" t="str">
        <f>IF(Tableau1345678910[[#This Row],[Repère]]="","",VLOOKUP(Tableau1345678910[[#This Row],[Repère]],Tableau1[#All],5,FALSE))</f>
        <v/>
      </c>
      <c r="F83" s="13" t="str">
        <f>IF(Tableau1345678910[[#This Row],[Repère]]="","",VLOOKUP(Tableau1345678910[[#This Row],[Repère]],Tableau1[#All],6,FALSE))</f>
        <v/>
      </c>
      <c r="G83" s="13" t="str">
        <f>IF(Tableau1345678910[[#This Row],[Repère]]="","",VLOOKUP(Tableau1345678910[[#This Row],[Repère]],Tableau1[#All],7,FALSE))</f>
        <v/>
      </c>
      <c r="H83" s="13" t="str">
        <f>IF(Tableau1345678910[[#This Row],[Repère]]="","",VLOOKUP(Tableau1345678910[[#This Row],[Repère]],Tableau1[#All],8,FALSE))</f>
        <v/>
      </c>
      <c r="I83" s="13" t="str">
        <f>IF(Tableau1345678910[[#This Row],[Repère]]="","",VLOOKUP(Tableau1345678910[[#This Row],[Repère]],Tableau1[#All],9,FALSE))</f>
        <v/>
      </c>
      <c r="J83" s="13" t="str">
        <f>IF(Tableau1345678910[[#This Row],[Repère]]="","",VLOOKUP(Tableau1345678910[[#This Row],[Repère]],Tableau1[#All],10,FALSE))</f>
        <v/>
      </c>
      <c r="K83" s="13" t="str">
        <f>IF(Tableau1345678910[[#This Row],[Repère]]="","",VLOOKUP(Tableau1345678910[[#This Row],[Repère]],Tableau1[#All],11,FALSE))</f>
        <v/>
      </c>
      <c r="L83" s="14" t="str">
        <f>IF(Tableau1345678910[[#This Row],[Repère]]="","",VLOOKUP(Tableau1345678910[[#This Row],[Repère]],Tableau1[#All],12,FALSE))</f>
        <v/>
      </c>
    </row>
    <row r="84" spans="1:12" x14ac:dyDescent="0.3">
      <c r="A84" s="18"/>
      <c r="B84" s="19"/>
      <c r="C84" s="13" t="str">
        <f>IF(Tableau1345678910[[#This Row],[Repère]]="","",VLOOKUP(Tableau1345678910[[#This Row],[Repère]],Tableau1[#All],3,FALSE))</f>
        <v/>
      </c>
      <c r="D84" s="13" t="str">
        <f>IF(Tableau1345678910[[#This Row],[Repère]]="","",VLOOKUP(Tableau1345678910[[#This Row],[Repère]],Tableau1[#All],4,FALSE))</f>
        <v/>
      </c>
      <c r="E84" s="13" t="str">
        <f>IF(Tableau1345678910[[#This Row],[Repère]]="","",VLOOKUP(Tableau1345678910[[#This Row],[Repère]],Tableau1[#All],5,FALSE))</f>
        <v/>
      </c>
      <c r="F84" s="13" t="str">
        <f>IF(Tableau1345678910[[#This Row],[Repère]]="","",VLOOKUP(Tableau1345678910[[#This Row],[Repère]],Tableau1[#All],6,FALSE))</f>
        <v/>
      </c>
      <c r="G84" s="13" t="str">
        <f>IF(Tableau1345678910[[#This Row],[Repère]]="","",VLOOKUP(Tableau1345678910[[#This Row],[Repère]],Tableau1[#All],7,FALSE))</f>
        <v/>
      </c>
      <c r="H84" s="13" t="str">
        <f>IF(Tableau1345678910[[#This Row],[Repère]]="","",VLOOKUP(Tableau1345678910[[#This Row],[Repère]],Tableau1[#All],8,FALSE))</f>
        <v/>
      </c>
      <c r="I84" s="13" t="str">
        <f>IF(Tableau1345678910[[#This Row],[Repère]]="","",VLOOKUP(Tableau1345678910[[#This Row],[Repère]],Tableau1[#All],9,FALSE))</f>
        <v/>
      </c>
      <c r="J84" s="13" t="str">
        <f>IF(Tableau1345678910[[#This Row],[Repère]]="","",VLOOKUP(Tableau1345678910[[#This Row],[Repère]],Tableau1[#All],10,FALSE))</f>
        <v/>
      </c>
      <c r="K84" s="13" t="str">
        <f>IF(Tableau1345678910[[#This Row],[Repère]]="","",VLOOKUP(Tableau1345678910[[#This Row],[Repère]],Tableau1[#All],11,FALSE))</f>
        <v/>
      </c>
      <c r="L84" s="14" t="str">
        <f>IF(Tableau1345678910[[#This Row],[Repère]]="","",VLOOKUP(Tableau1345678910[[#This Row],[Repère]],Tableau1[#All],12,FALSE))</f>
        <v/>
      </c>
    </row>
    <row r="85" spans="1:12" x14ac:dyDescent="0.3">
      <c r="A85" s="18"/>
      <c r="B85" s="19"/>
      <c r="C85" s="13" t="str">
        <f>IF(Tableau1345678910[[#This Row],[Repère]]="","",VLOOKUP(Tableau1345678910[[#This Row],[Repère]],Tableau1[#All],3,FALSE))</f>
        <v/>
      </c>
      <c r="D85" s="13" t="str">
        <f>IF(Tableau1345678910[[#This Row],[Repère]]="","",VLOOKUP(Tableau1345678910[[#This Row],[Repère]],Tableau1[#All],4,FALSE))</f>
        <v/>
      </c>
      <c r="E85" s="13" t="str">
        <f>IF(Tableau1345678910[[#This Row],[Repère]]="","",VLOOKUP(Tableau1345678910[[#This Row],[Repère]],Tableau1[#All],5,FALSE))</f>
        <v/>
      </c>
      <c r="F85" s="13" t="str">
        <f>IF(Tableau1345678910[[#This Row],[Repère]]="","",VLOOKUP(Tableau1345678910[[#This Row],[Repère]],Tableau1[#All],6,FALSE))</f>
        <v/>
      </c>
      <c r="G85" s="13" t="str">
        <f>IF(Tableau1345678910[[#This Row],[Repère]]="","",VLOOKUP(Tableau1345678910[[#This Row],[Repère]],Tableau1[#All],7,FALSE))</f>
        <v/>
      </c>
      <c r="H85" s="13" t="str">
        <f>IF(Tableau1345678910[[#This Row],[Repère]]="","",VLOOKUP(Tableau1345678910[[#This Row],[Repère]],Tableau1[#All],8,FALSE))</f>
        <v/>
      </c>
      <c r="I85" s="13" t="str">
        <f>IF(Tableau1345678910[[#This Row],[Repère]]="","",VLOOKUP(Tableau1345678910[[#This Row],[Repère]],Tableau1[#All],9,FALSE))</f>
        <v/>
      </c>
      <c r="J85" s="13" t="str">
        <f>IF(Tableau1345678910[[#This Row],[Repère]]="","",VLOOKUP(Tableau1345678910[[#This Row],[Repère]],Tableau1[#All],10,FALSE))</f>
        <v/>
      </c>
      <c r="K85" s="13" t="str">
        <f>IF(Tableau1345678910[[#This Row],[Repère]]="","",VLOOKUP(Tableau1345678910[[#This Row],[Repère]],Tableau1[#All],11,FALSE))</f>
        <v/>
      </c>
      <c r="L85" s="14" t="str">
        <f>IF(Tableau1345678910[[#This Row],[Repère]]="","",VLOOKUP(Tableau1345678910[[#This Row],[Repère]],Tableau1[#All],12,FALSE))</f>
        <v/>
      </c>
    </row>
    <row r="86" spans="1:12" x14ac:dyDescent="0.3">
      <c r="A86" s="18"/>
      <c r="B86" s="19"/>
      <c r="C86" s="13" t="str">
        <f>IF(Tableau1345678910[[#This Row],[Repère]]="","",VLOOKUP(Tableau1345678910[[#This Row],[Repère]],Tableau1[#All],3,FALSE))</f>
        <v/>
      </c>
      <c r="D86" s="13" t="str">
        <f>IF(Tableau1345678910[[#This Row],[Repère]]="","",VLOOKUP(Tableau1345678910[[#This Row],[Repère]],Tableau1[#All],4,FALSE))</f>
        <v/>
      </c>
      <c r="E86" s="13" t="str">
        <f>IF(Tableau1345678910[[#This Row],[Repère]]="","",VLOOKUP(Tableau1345678910[[#This Row],[Repère]],Tableau1[#All],5,FALSE))</f>
        <v/>
      </c>
      <c r="F86" s="13" t="str">
        <f>IF(Tableau1345678910[[#This Row],[Repère]]="","",VLOOKUP(Tableau1345678910[[#This Row],[Repère]],Tableau1[#All],6,FALSE))</f>
        <v/>
      </c>
      <c r="G86" s="13" t="str">
        <f>IF(Tableau1345678910[[#This Row],[Repère]]="","",VLOOKUP(Tableau1345678910[[#This Row],[Repère]],Tableau1[#All],7,FALSE))</f>
        <v/>
      </c>
      <c r="H86" s="13" t="str">
        <f>IF(Tableau1345678910[[#This Row],[Repère]]="","",VLOOKUP(Tableau1345678910[[#This Row],[Repère]],Tableau1[#All],8,FALSE))</f>
        <v/>
      </c>
      <c r="I86" s="13" t="str">
        <f>IF(Tableau1345678910[[#This Row],[Repère]]="","",VLOOKUP(Tableau1345678910[[#This Row],[Repère]],Tableau1[#All],9,FALSE))</f>
        <v/>
      </c>
      <c r="J86" s="13" t="str">
        <f>IF(Tableau1345678910[[#This Row],[Repère]]="","",VLOOKUP(Tableau1345678910[[#This Row],[Repère]],Tableau1[#All],10,FALSE))</f>
        <v/>
      </c>
      <c r="K86" s="13" t="str">
        <f>IF(Tableau1345678910[[#This Row],[Repère]]="","",VLOOKUP(Tableau1345678910[[#This Row],[Repère]],Tableau1[#All],11,FALSE))</f>
        <v/>
      </c>
      <c r="L86" s="14" t="str">
        <f>IF(Tableau1345678910[[#This Row],[Repère]]="","",VLOOKUP(Tableau1345678910[[#This Row],[Repère]],Tableau1[#All],12,FALSE))</f>
        <v/>
      </c>
    </row>
    <row r="87" spans="1:12" x14ac:dyDescent="0.3">
      <c r="A87" s="18"/>
      <c r="B87" s="19"/>
      <c r="C87" s="13" t="str">
        <f>IF(Tableau1345678910[[#This Row],[Repère]]="","",VLOOKUP(Tableau1345678910[[#This Row],[Repère]],Tableau1[#All],3,FALSE))</f>
        <v/>
      </c>
      <c r="D87" s="13" t="str">
        <f>IF(Tableau1345678910[[#This Row],[Repère]]="","",VLOOKUP(Tableau1345678910[[#This Row],[Repère]],Tableau1[#All],4,FALSE))</f>
        <v/>
      </c>
      <c r="E87" s="13" t="str">
        <f>IF(Tableau1345678910[[#This Row],[Repère]]="","",VLOOKUP(Tableau1345678910[[#This Row],[Repère]],Tableau1[#All],5,FALSE))</f>
        <v/>
      </c>
      <c r="F87" s="13" t="str">
        <f>IF(Tableau1345678910[[#This Row],[Repère]]="","",VLOOKUP(Tableau1345678910[[#This Row],[Repère]],Tableau1[#All],6,FALSE))</f>
        <v/>
      </c>
      <c r="G87" s="13" t="str">
        <f>IF(Tableau1345678910[[#This Row],[Repère]]="","",VLOOKUP(Tableau1345678910[[#This Row],[Repère]],Tableau1[#All],7,FALSE))</f>
        <v/>
      </c>
      <c r="H87" s="13" t="str">
        <f>IF(Tableau1345678910[[#This Row],[Repère]]="","",VLOOKUP(Tableau1345678910[[#This Row],[Repère]],Tableau1[#All],8,FALSE))</f>
        <v/>
      </c>
      <c r="I87" s="13" t="str">
        <f>IF(Tableau1345678910[[#This Row],[Repère]]="","",VLOOKUP(Tableau1345678910[[#This Row],[Repère]],Tableau1[#All],9,FALSE))</f>
        <v/>
      </c>
      <c r="J87" s="13" t="str">
        <f>IF(Tableau1345678910[[#This Row],[Repère]]="","",VLOOKUP(Tableau1345678910[[#This Row],[Repère]],Tableau1[#All],10,FALSE))</f>
        <v/>
      </c>
      <c r="K87" s="13" t="str">
        <f>IF(Tableau1345678910[[#This Row],[Repère]]="","",VLOOKUP(Tableau1345678910[[#This Row],[Repère]],Tableau1[#All],11,FALSE))</f>
        <v/>
      </c>
      <c r="L87" s="14" t="str">
        <f>IF(Tableau1345678910[[#This Row],[Repère]]="","",VLOOKUP(Tableau1345678910[[#This Row],[Repère]],Tableau1[#All],12,FALSE))</f>
        <v/>
      </c>
    </row>
    <row r="88" spans="1:12" x14ac:dyDescent="0.3">
      <c r="A88" s="18"/>
      <c r="B88" s="19"/>
      <c r="C88" s="13" t="str">
        <f>IF(Tableau1345678910[[#This Row],[Repère]]="","",VLOOKUP(Tableau1345678910[[#This Row],[Repère]],Tableau1[#All],3,FALSE))</f>
        <v/>
      </c>
      <c r="D88" s="13" t="str">
        <f>IF(Tableau1345678910[[#This Row],[Repère]]="","",VLOOKUP(Tableau1345678910[[#This Row],[Repère]],Tableau1[#All],4,FALSE))</f>
        <v/>
      </c>
      <c r="E88" s="13" t="str">
        <f>IF(Tableau1345678910[[#This Row],[Repère]]="","",VLOOKUP(Tableau1345678910[[#This Row],[Repère]],Tableau1[#All],5,FALSE))</f>
        <v/>
      </c>
      <c r="F88" s="13" t="str">
        <f>IF(Tableau1345678910[[#This Row],[Repère]]="","",VLOOKUP(Tableau1345678910[[#This Row],[Repère]],Tableau1[#All],6,FALSE))</f>
        <v/>
      </c>
      <c r="G88" s="13" t="str">
        <f>IF(Tableau1345678910[[#This Row],[Repère]]="","",VLOOKUP(Tableau1345678910[[#This Row],[Repère]],Tableau1[#All],7,FALSE))</f>
        <v/>
      </c>
      <c r="H88" s="13" t="str">
        <f>IF(Tableau1345678910[[#This Row],[Repère]]="","",VLOOKUP(Tableau1345678910[[#This Row],[Repère]],Tableau1[#All],8,FALSE))</f>
        <v/>
      </c>
      <c r="I88" s="13" t="str">
        <f>IF(Tableau1345678910[[#This Row],[Repère]]="","",VLOOKUP(Tableau1345678910[[#This Row],[Repère]],Tableau1[#All],9,FALSE))</f>
        <v/>
      </c>
      <c r="J88" s="13" t="str">
        <f>IF(Tableau1345678910[[#This Row],[Repère]]="","",VLOOKUP(Tableau1345678910[[#This Row],[Repère]],Tableau1[#All],10,FALSE))</f>
        <v/>
      </c>
      <c r="K88" s="13" t="str">
        <f>IF(Tableau1345678910[[#This Row],[Repère]]="","",VLOOKUP(Tableau1345678910[[#This Row],[Repère]],Tableau1[#All],11,FALSE))</f>
        <v/>
      </c>
      <c r="L88" s="14" t="str">
        <f>IF(Tableau1345678910[[#This Row],[Repère]]="","",VLOOKUP(Tableau1345678910[[#This Row],[Repère]],Tableau1[#All],12,FALSE))</f>
        <v/>
      </c>
    </row>
    <row r="89" spans="1:12" x14ac:dyDescent="0.3">
      <c r="A89" s="18"/>
      <c r="B89" s="19"/>
      <c r="C89" s="13" t="str">
        <f>IF(Tableau1345678910[[#This Row],[Repère]]="","",VLOOKUP(Tableau1345678910[[#This Row],[Repère]],Tableau1[#All],3,FALSE))</f>
        <v/>
      </c>
      <c r="D89" s="13" t="str">
        <f>IF(Tableau1345678910[[#This Row],[Repère]]="","",VLOOKUP(Tableau1345678910[[#This Row],[Repère]],Tableau1[#All],4,FALSE))</f>
        <v/>
      </c>
      <c r="E89" s="13" t="str">
        <f>IF(Tableau1345678910[[#This Row],[Repère]]="","",VLOOKUP(Tableau1345678910[[#This Row],[Repère]],Tableau1[#All],5,FALSE))</f>
        <v/>
      </c>
      <c r="F89" s="13" t="str">
        <f>IF(Tableau1345678910[[#This Row],[Repère]]="","",VLOOKUP(Tableau1345678910[[#This Row],[Repère]],Tableau1[#All],6,FALSE))</f>
        <v/>
      </c>
      <c r="G89" s="13" t="str">
        <f>IF(Tableau1345678910[[#This Row],[Repère]]="","",VLOOKUP(Tableau1345678910[[#This Row],[Repère]],Tableau1[#All],7,FALSE))</f>
        <v/>
      </c>
      <c r="H89" s="13" t="str">
        <f>IF(Tableau1345678910[[#This Row],[Repère]]="","",VLOOKUP(Tableau1345678910[[#This Row],[Repère]],Tableau1[#All],8,FALSE))</f>
        <v/>
      </c>
      <c r="I89" s="13" t="str">
        <f>IF(Tableau1345678910[[#This Row],[Repère]]="","",VLOOKUP(Tableau1345678910[[#This Row],[Repère]],Tableau1[#All],9,FALSE))</f>
        <v/>
      </c>
      <c r="J89" s="13" t="str">
        <f>IF(Tableau1345678910[[#This Row],[Repère]]="","",VLOOKUP(Tableau1345678910[[#This Row],[Repère]],Tableau1[#All],10,FALSE))</f>
        <v/>
      </c>
      <c r="K89" s="13" t="str">
        <f>IF(Tableau1345678910[[#This Row],[Repère]]="","",VLOOKUP(Tableau1345678910[[#This Row],[Repère]],Tableau1[#All],11,FALSE))</f>
        <v/>
      </c>
      <c r="L89" s="14" t="str">
        <f>IF(Tableau1345678910[[#This Row],[Repère]]="","",VLOOKUP(Tableau1345678910[[#This Row],[Repère]],Tableau1[#All],12,FALSE))</f>
        <v/>
      </c>
    </row>
    <row r="90" spans="1:12" x14ac:dyDescent="0.3">
      <c r="A90" s="18"/>
      <c r="B90" s="19"/>
      <c r="C90" s="13" t="str">
        <f>IF(Tableau1345678910[[#This Row],[Repère]]="","",VLOOKUP(Tableau1345678910[[#This Row],[Repère]],Tableau1[#All],3,FALSE))</f>
        <v/>
      </c>
      <c r="D90" s="13" t="str">
        <f>IF(Tableau1345678910[[#This Row],[Repère]]="","",VLOOKUP(Tableau1345678910[[#This Row],[Repère]],Tableau1[#All],4,FALSE))</f>
        <v/>
      </c>
      <c r="E90" s="13" t="str">
        <f>IF(Tableau1345678910[[#This Row],[Repère]]="","",VLOOKUP(Tableau1345678910[[#This Row],[Repère]],Tableau1[#All],5,FALSE))</f>
        <v/>
      </c>
      <c r="F90" s="13" t="str">
        <f>IF(Tableau1345678910[[#This Row],[Repère]]="","",VLOOKUP(Tableau1345678910[[#This Row],[Repère]],Tableau1[#All],6,FALSE))</f>
        <v/>
      </c>
      <c r="G90" s="13" t="str">
        <f>IF(Tableau1345678910[[#This Row],[Repère]]="","",VLOOKUP(Tableau1345678910[[#This Row],[Repère]],Tableau1[#All],7,FALSE))</f>
        <v/>
      </c>
      <c r="H90" s="13" t="str">
        <f>IF(Tableau1345678910[[#This Row],[Repère]]="","",VLOOKUP(Tableau1345678910[[#This Row],[Repère]],Tableau1[#All],8,FALSE))</f>
        <v/>
      </c>
      <c r="I90" s="13" t="str">
        <f>IF(Tableau1345678910[[#This Row],[Repère]]="","",VLOOKUP(Tableau1345678910[[#This Row],[Repère]],Tableau1[#All],9,FALSE))</f>
        <v/>
      </c>
      <c r="J90" s="13" t="str">
        <f>IF(Tableau1345678910[[#This Row],[Repère]]="","",VLOOKUP(Tableau1345678910[[#This Row],[Repère]],Tableau1[#All],10,FALSE))</f>
        <v/>
      </c>
      <c r="K90" s="13" t="str">
        <f>IF(Tableau1345678910[[#This Row],[Repère]]="","",VLOOKUP(Tableau1345678910[[#This Row],[Repère]],Tableau1[#All],11,FALSE))</f>
        <v/>
      </c>
      <c r="L90" s="14" t="str">
        <f>IF(Tableau1345678910[[#This Row],[Repère]]="","",VLOOKUP(Tableau1345678910[[#This Row],[Repère]],Tableau1[#All],12,FALSE))</f>
        <v/>
      </c>
    </row>
    <row r="91" spans="1:12" x14ac:dyDescent="0.3">
      <c r="A91" s="18"/>
      <c r="B91" s="19"/>
      <c r="C91" s="13" t="str">
        <f>IF(Tableau1345678910[[#This Row],[Repère]]="","",VLOOKUP(Tableau1345678910[[#This Row],[Repère]],Tableau1[#All],3,FALSE))</f>
        <v/>
      </c>
      <c r="D91" s="13" t="str">
        <f>IF(Tableau1345678910[[#This Row],[Repère]]="","",VLOOKUP(Tableau1345678910[[#This Row],[Repère]],Tableau1[#All],4,FALSE))</f>
        <v/>
      </c>
      <c r="E91" s="13" t="str">
        <f>IF(Tableau1345678910[[#This Row],[Repère]]="","",VLOOKUP(Tableau1345678910[[#This Row],[Repère]],Tableau1[#All],5,FALSE))</f>
        <v/>
      </c>
      <c r="F91" s="13" t="str">
        <f>IF(Tableau1345678910[[#This Row],[Repère]]="","",VLOOKUP(Tableau1345678910[[#This Row],[Repère]],Tableau1[#All],6,FALSE))</f>
        <v/>
      </c>
      <c r="G91" s="13" t="str">
        <f>IF(Tableau1345678910[[#This Row],[Repère]]="","",VLOOKUP(Tableau1345678910[[#This Row],[Repère]],Tableau1[#All],7,FALSE))</f>
        <v/>
      </c>
      <c r="H91" s="13" t="str">
        <f>IF(Tableau1345678910[[#This Row],[Repère]]="","",VLOOKUP(Tableau1345678910[[#This Row],[Repère]],Tableau1[#All],8,FALSE))</f>
        <v/>
      </c>
      <c r="I91" s="13" t="str">
        <f>IF(Tableau1345678910[[#This Row],[Repère]]="","",VLOOKUP(Tableau1345678910[[#This Row],[Repère]],Tableau1[#All],9,FALSE))</f>
        <v/>
      </c>
      <c r="J91" s="13" t="str">
        <f>IF(Tableau1345678910[[#This Row],[Repère]]="","",VLOOKUP(Tableau1345678910[[#This Row],[Repère]],Tableau1[#All],10,FALSE))</f>
        <v/>
      </c>
      <c r="K91" s="13" t="str">
        <f>IF(Tableau1345678910[[#This Row],[Repère]]="","",VLOOKUP(Tableau1345678910[[#This Row],[Repère]],Tableau1[#All],11,FALSE))</f>
        <v/>
      </c>
      <c r="L91" s="14" t="str">
        <f>IF(Tableau1345678910[[#This Row],[Repère]]="","",VLOOKUP(Tableau1345678910[[#This Row],[Repère]],Tableau1[#All],12,FALSE))</f>
        <v/>
      </c>
    </row>
    <row r="92" spans="1:12" x14ac:dyDescent="0.3">
      <c r="A92" s="18"/>
      <c r="B92" s="19"/>
      <c r="C92" s="13" t="str">
        <f>IF(Tableau1345678910[[#This Row],[Repère]]="","",VLOOKUP(Tableau1345678910[[#This Row],[Repère]],Tableau1[#All],3,FALSE))</f>
        <v/>
      </c>
      <c r="D92" s="13" t="str">
        <f>IF(Tableau1345678910[[#This Row],[Repère]]="","",VLOOKUP(Tableau1345678910[[#This Row],[Repère]],Tableau1[#All],4,FALSE))</f>
        <v/>
      </c>
      <c r="E92" s="13" t="str">
        <f>IF(Tableau1345678910[[#This Row],[Repère]]="","",VLOOKUP(Tableau1345678910[[#This Row],[Repère]],Tableau1[#All],5,FALSE))</f>
        <v/>
      </c>
      <c r="F92" s="13" t="str">
        <f>IF(Tableau1345678910[[#This Row],[Repère]]="","",VLOOKUP(Tableau1345678910[[#This Row],[Repère]],Tableau1[#All],6,FALSE))</f>
        <v/>
      </c>
      <c r="G92" s="13" t="str">
        <f>IF(Tableau1345678910[[#This Row],[Repère]]="","",VLOOKUP(Tableau1345678910[[#This Row],[Repère]],Tableau1[#All],7,FALSE))</f>
        <v/>
      </c>
      <c r="H92" s="13" t="str">
        <f>IF(Tableau1345678910[[#This Row],[Repère]]="","",VLOOKUP(Tableau1345678910[[#This Row],[Repère]],Tableau1[#All],8,FALSE))</f>
        <v/>
      </c>
      <c r="I92" s="13" t="str">
        <f>IF(Tableau1345678910[[#This Row],[Repère]]="","",VLOOKUP(Tableau1345678910[[#This Row],[Repère]],Tableau1[#All],9,FALSE))</f>
        <v/>
      </c>
      <c r="J92" s="13" t="str">
        <f>IF(Tableau1345678910[[#This Row],[Repère]]="","",VLOOKUP(Tableau1345678910[[#This Row],[Repère]],Tableau1[#All],10,FALSE))</f>
        <v/>
      </c>
      <c r="K92" s="13" t="str">
        <f>IF(Tableau1345678910[[#This Row],[Repère]]="","",VLOOKUP(Tableau1345678910[[#This Row],[Repère]],Tableau1[#All],11,FALSE))</f>
        <v/>
      </c>
      <c r="L92" s="14" t="str">
        <f>IF(Tableau1345678910[[#This Row],[Repère]]="","",VLOOKUP(Tableau1345678910[[#This Row],[Repère]],Tableau1[#All],12,FALSE))</f>
        <v/>
      </c>
    </row>
    <row r="93" spans="1:12" x14ac:dyDescent="0.3">
      <c r="A93" s="18"/>
      <c r="B93" s="19"/>
      <c r="C93" s="13" t="str">
        <f>IF(Tableau1345678910[[#This Row],[Repère]]="","",VLOOKUP(Tableau1345678910[[#This Row],[Repère]],Tableau1[#All],3,FALSE))</f>
        <v/>
      </c>
      <c r="D93" s="13" t="str">
        <f>IF(Tableau1345678910[[#This Row],[Repère]]="","",VLOOKUP(Tableau1345678910[[#This Row],[Repère]],Tableau1[#All],4,FALSE))</f>
        <v/>
      </c>
      <c r="E93" s="13" t="str">
        <f>IF(Tableau1345678910[[#This Row],[Repère]]="","",VLOOKUP(Tableau1345678910[[#This Row],[Repère]],Tableau1[#All],5,FALSE))</f>
        <v/>
      </c>
      <c r="F93" s="13" t="str">
        <f>IF(Tableau1345678910[[#This Row],[Repère]]="","",VLOOKUP(Tableau1345678910[[#This Row],[Repère]],Tableau1[#All],6,FALSE))</f>
        <v/>
      </c>
      <c r="G93" s="13" t="str">
        <f>IF(Tableau1345678910[[#This Row],[Repère]]="","",VLOOKUP(Tableau1345678910[[#This Row],[Repère]],Tableau1[#All],7,FALSE))</f>
        <v/>
      </c>
      <c r="H93" s="13" t="str">
        <f>IF(Tableau1345678910[[#This Row],[Repère]]="","",VLOOKUP(Tableau1345678910[[#This Row],[Repère]],Tableau1[#All],8,FALSE))</f>
        <v/>
      </c>
      <c r="I93" s="13" t="str">
        <f>IF(Tableau1345678910[[#This Row],[Repère]]="","",VLOOKUP(Tableau1345678910[[#This Row],[Repère]],Tableau1[#All],9,FALSE))</f>
        <v/>
      </c>
      <c r="J93" s="13" t="str">
        <f>IF(Tableau1345678910[[#This Row],[Repère]]="","",VLOOKUP(Tableau1345678910[[#This Row],[Repère]],Tableau1[#All],10,FALSE))</f>
        <v/>
      </c>
      <c r="K93" s="13" t="str">
        <f>IF(Tableau1345678910[[#This Row],[Repère]]="","",VLOOKUP(Tableau1345678910[[#This Row],[Repère]],Tableau1[#All],11,FALSE))</f>
        <v/>
      </c>
      <c r="L93" s="14" t="str">
        <f>IF(Tableau1345678910[[#This Row],[Repère]]="","",VLOOKUP(Tableau1345678910[[#This Row],[Repère]],Tableau1[#All],12,FALSE))</f>
        <v/>
      </c>
    </row>
    <row r="94" spans="1:12" x14ac:dyDescent="0.3">
      <c r="A94" s="18"/>
      <c r="B94" s="19"/>
      <c r="C94" s="13" t="str">
        <f>IF(Tableau1345678910[[#This Row],[Repère]]="","",VLOOKUP(Tableau1345678910[[#This Row],[Repère]],Tableau1[#All],3,FALSE))</f>
        <v/>
      </c>
      <c r="D94" s="13" t="str">
        <f>IF(Tableau1345678910[[#This Row],[Repère]]="","",VLOOKUP(Tableau1345678910[[#This Row],[Repère]],Tableau1[#All],4,FALSE))</f>
        <v/>
      </c>
      <c r="E94" s="13" t="str">
        <f>IF(Tableau1345678910[[#This Row],[Repère]]="","",VLOOKUP(Tableau1345678910[[#This Row],[Repère]],Tableau1[#All],5,FALSE))</f>
        <v/>
      </c>
      <c r="F94" s="13" t="str">
        <f>IF(Tableau1345678910[[#This Row],[Repère]]="","",VLOOKUP(Tableau1345678910[[#This Row],[Repère]],Tableau1[#All],6,FALSE))</f>
        <v/>
      </c>
      <c r="G94" s="13" t="str">
        <f>IF(Tableau1345678910[[#This Row],[Repère]]="","",VLOOKUP(Tableau1345678910[[#This Row],[Repère]],Tableau1[#All],7,FALSE))</f>
        <v/>
      </c>
      <c r="H94" s="13" t="str">
        <f>IF(Tableau1345678910[[#This Row],[Repère]]="","",VLOOKUP(Tableau1345678910[[#This Row],[Repère]],Tableau1[#All],8,FALSE))</f>
        <v/>
      </c>
      <c r="I94" s="13" t="str">
        <f>IF(Tableau1345678910[[#This Row],[Repère]]="","",VLOOKUP(Tableau1345678910[[#This Row],[Repère]],Tableau1[#All],9,FALSE))</f>
        <v/>
      </c>
      <c r="J94" s="13" t="str">
        <f>IF(Tableau1345678910[[#This Row],[Repère]]="","",VLOOKUP(Tableau1345678910[[#This Row],[Repère]],Tableau1[#All],10,FALSE))</f>
        <v/>
      </c>
      <c r="K94" s="13" t="str">
        <f>IF(Tableau1345678910[[#This Row],[Repère]]="","",VLOOKUP(Tableau1345678910[[#This Row],[Repère]],Tableau1[#All],11,FALSE))</f>
        <v/>
      </c>
      <c r="L94" s="14" t="str">
        <f>IF(Tableau1345678910[[#This Row],[Repère]]="","",VLOOKUP(Tableau1345678910[[#This Row],[Repère]],Tableau1[#All],12,FALSE))</f>
        <v/>
      </c>
    </row>
    <row r="95" spans="1:12" x14ac:dyDescent="0.3">
      <c r="A95" s="18"/>
      <c r="B95" s="19"/>
      <c r="C95" s="13" t="str">
        <f>IF(Tableau1345678910[[#This Row],[Repère]]="","",VLOOKUP(Tableau1345678910[[#This Row],[Repère]],Tableau1[#All],3,FALSE))</f>
        <v/>
      </c>
      <c r="D95" s="13" t="str">
        <f>IF(Tableau1345678910[[#This Row],[Repère]]="","",VLOOKUP(Tableau1345678910[[#This Row],[Repère]],Tableau1[#All],4,FALSE))</f>
        <v/>
      </c>
      <c r="E95" s="13" t="str">
        <f>IF(Tableau1345678910[[#This Row],[Repère]]="","",VLOOKUP(Tableau1345678910[[#This Row],[Repère]],Tableau1[#All],5,FALSE))</f>
        <v/>
      </c>
      <c r="F95" s="13" t="str">
        <f>IF(Tableau1345678910[[#This Row],[Repère]]="","",VLOOKUP(Tableau1345678910[[#This Row],[Repère]],Tableau1[#All],6,FALSE))</f>
        <v/>
      </c>
      <c r="G95" s="13" t="str">
        <f>IF(Tableau1345678910[[#This Row],[Repère]]="","",VLOOKUP(Tableau1345678910[[#This Row],[Repère]],Tableau1[#All],7,FALSE))</f>
        <v/>
      </c>
      <c r="H95" s="13" t="str">
        <f>IF(Tableau1345678910[[#This Row],[Repère]]="","",VLOOKUP(Tableau1345678910[[#This Row],[Repère]],Tableau1[#All],8,FALSE))</f>
        <v/>
      </c>
      <c r="I95" s="13" t="str">
        <f>IF(Tableau1345678910[[#This Row],[Repère]]="","",VLOOKUP(Tableau1345678910[[#This Row],[Repère]],Tableau1[#All],9,FALSE))</f>
        <v/>
      </c>
      <c r="J95" s="13" t="str">
        <f>IF(Tableau1345678910[[#This Row],[Repère]]="","",VLOOKUP(Tableau1345678910[[#This Row],[Repère]],Tableau1[#All],10,FALSE))</f>
        <v/>
      </c>
      <c r="K95" s="13" t="str">
        <f>IF(Tableau1345678910[[#This Row],[Repère]]="","",VLOOKUP(Tableau1345678910[[#This Row],[Repère]],Tableau1[#All],11,FALSE))</f>
        <v/>
      </c>
      <c r="L95" s="14" t="str">
        <f>IF(Tableau1345678910[[#This Row],[Repère]]="","",VLOOKUP(Tableau1345678910[[#This Row],[Repère]],Tableau1[#All],12,FALSE))</f>
        <v/>
      </c>
    </row>
    <row r="96" spans="1:12" x14ac:dyDescent="0.3">
      <c r="A96" s="18"/>
      <c r="B96" s="19"/>
      <c r="C96" s="13" t="str">
        <f>IF(Tableau1345678910[[#This Row],[Repère]]="","",VLOOKUP(Tableau1345678910[[#This Row],[Repère]],Tableau1[#All],3,FALSE))</f>
        <v/>
      </c>
      <c r="D96" s="13" t="str">
        <f>IF(Tableau1345678910[[#This Row],[Repère]]="","",VLOOKUP(Tableau1345678910[[#This Row],[Repère]],Tableau1[#All],4,FALSE))</f>
        <v/>
      </c>
      <c r="E96" s="13" t="str">
        <f>IF(Tableau1345678910[[#This Row],[Repère]]="","",VLOOKUP(Tableau1345678910[[#This Row],[Repère]],Tableau1[#All],5,FALSE))</f>
        <v/>
      </c>
      <c r="F96" s="13" t="str">
        <f>IF(Tableau1345678910[[#This Row],[Repère]]="","",VLOOKUP(Tableau1345678910[[#This Row],[Repère]],Tableau1[#All],6,FALSE))</f>
        <v/>
      </c>
      <c r="G96" s="13" t="str">
        <f>IF(Tableau1345678910[[#This Row],[Repère]]="","",VLOOKUP(Tableau1345678910[[#This Row],[Repère]],Tableau1[#All],7,FALSE))</f>
        <v/>
      </c>
      <c r="H96" s="13" t="str">
        <f>IF(Tableau1345678910[[#This Row],[Repère]]="","",VLOOKUP(Tableau1345678910[[#This Row],[Repère]],Tableau1[#All],8,FALSE))</f>
        <v/>
      </c>
      <c r="I96" s="13" t="str">
        <f>IF(Tableau1345678910[[#This Row],[Repère]]="","",VLOOKUP(Tableau1345678910[[#This Row],[Repère]],Tableau1[#All],9,FALSE))</f>
        <v/>
      </c>
      <c r="J96" s="13" t="str">
        <f>IF(Tableau1345678910[[#This Row],[Repère]]="","",VLOOKUP(Tableau1345678910[[#This Row],[Repère]],Tableau1[#All],10,FALSE))</f>
        <v/>
      </c>
      <c r="K96" s="13" t="str">
        <f>IF(Tableau1345678910[[#This Row],[Repère]]="","",VLOOKUP(Tableau1345678910[[#This Row],[Repère]],Tableau1[#All],11,FALSE))</f>
        <v/>
      </c>
      <c r="L96" s="14" t="str">
        <f>IF(Tableau1345678910[[#This Row],[Repère]]="","",VLOOKUP(Tableau1345678910[[#This Row],[Repère]],Tableau1[#All],12,FALSE))</f>
        <v/>
      </c>
    </row>
    <row r="97" spans="1:12" x14ac:dyDescent="0.3">
      <c r="A97" s="18"/>
      <c r="B97" s="19"/>
      <c r="C97" s="13" t="str">
        <f>IF(Tableau1345678910[[#This Row],[Repère]]="","",VLOOKUP(Tableau1345678910[[#This Row],[Repère]],Tableau1[#All],3,FALSE))</f>
        <v/>
      </c>
      <c r="D97" s="13" t="str">
        <f>IF(Tableau1345678910[[#This Row],[Repère]]="","",VLOOKUP(Tableau1345678910[[#This Row],[Repère]],Tableau1[#All],4,FALSE))</f>
        <v/>
      </c>
      <c r="E97" s="13" t="str">
        <f>IF(Tableau1345678910[[#This Row],[Repère]]="","",VLOOKUP(Tableau1345678910[[#This Row],[Repère]],Tableau1[#All],5,FALSE))</f>
        <v/>
      </c>
      <c r="F97" s="13" t="str">
        <f>IF(Tableau1345678910[[#This Row],[Repère]]="","",VLOOKUP(Tableau1345678910[[#This Row],[Repère]],Tableau1[#All],6,FALSE))</f>
        <v/>
      </c>
      <c r="G97" s="13" t="str">
        <f>IF(Tableau1345678910[[#This Row],[Repère]]="","",VLOOKUP(Tableau1345678910[[#This Row],[Repère]],Tableau1[#All],7,FALSE))</f>
        <v/>
      </c>
      <c r="H97" s="13" t="str">
        <f>IF(Tableau1345678910[[#This Row],[Repère]]="","",VLOOKUP(Tableau1345678910[[#This Row],[Repère]],Tableau1[#All],8,FALSE))</f>
        <v/>
      </c>
      <c r="I97" s="13" t="str">
        <f>IF(Tableau1345678910[[#This Row],[Repère]]="","",VLOOKUP(Tableau1345678910[[#This Row],[Repère]],Tableau1[#All],9,FALSE))</f>
        <v/>
      </c>
      <c r="J97" s="13" t="str">
        <f>IF(Tableau1345678910[[#This Row],[Repère]]="","",VLOOKUP(Tableau1345678910[[#This Row],[Repère]],Tableau1[#All],10,FALSE))</f>
        <v/>
      </c>
      <c r="K97" s="13" t="str">
        <f>IF(Tableau1345678910[[#This Row],[Repère]]="","",VLOOKUP(Tableau1345678910[[#This Row],[Repère]],Tableau1[#All],11,FALSE))</f>
        <v/>
      </c>
      <c r="L97" s="14" t="str">
        <f>IF(Tableau1345678910[[#This Row],[Repère]]="","",VLOOKUP(Tableau1345678910[[#This Row],[Repère]],Tableau1[#All],12,FALSE))</f>
        <v/>
      </c>
    </row>
    <row r="98" spans="1:12" x14ac:dyDescent="0.3">
      <c r="A98" s="18"/>
      <c r="B98" s="19"/>
      <c r="C98" s="13" t="str">
        <f>IF(Tableau1345678910[[#This Row],[Repère]]="","",VLOOKUP(Tableau1345678910[[#This Row],[Repère]],Tableau1[#All],3,FALSE))</f>
        <v/>
      </c>
      <c r="D98" s="13" t="str">
        <f>IF(Tableau1345678910[[#This Row],[Repère]]="","",VLOOKUP(Tableau1345678910[[#This Row],[Repère]],Tableau1[#All],4,FALSE))</f>
        <v/>
      </c>
      <c r="E98" s="13" t="str">
        <f>IF(Tableau1345678910[[#This Row],[Repère]]="","",VLOOKUP(Tableau1345678910[[#This Row],[Repère]],Tableau1[#All],5,FALSE))</f>
        <v/>
      </c>
      <c r="F98" s="13" t="str">
        <f>IF(Tableau1345678910[[#This Row],[Repère]]="","",VLOOKUP(Tableau1345678910[[#This Row],[Repère]],Tableau1[#All],6,FALSE))</f>
        <v/>
      </c>
      <c r="G98" s="13" t="str">
        <f>IF(Tableau1345678910[[#This Row],[Repère]]="","",VLOOKUP(Tableau1345678910[[#This Row],[Repère]],Tableau1[#All],7,FALSE))</f>
        <v/>
      </c>
      <c r="H98" s="13" t="str">
        <f>IF(Tableau1345678910[[#This Row],[Repère]]="","",VLOOKUP(Tableau1345678910[[#This Row],[Repère]],Tableau1[#All],8,FALSE))</f>
        <v/>
      </c>
      <c r="I98" s="13" t="str">
        <f>IF(Tableau1345678910[[#This Row],[Repère]]="","",VLOOKUP(Tableau1345678910[[#This Row],[Repère]],Tableau1[#All],9,FALSE))</f>
        <v/>
      </c>
      <c r="J98" s="13" t="str">
        <f>IF(Tableau1345678910[[#This Row],[Repère]]="","",VLOOKUP(Tableau1345678910[[#This Row],[Repère]],Tableau1[#All],10,FALSE))</f>
        <v/>
      </c>
      <c r="K98" s="13" t="str">
        <f>IF(Tableau1345678910[[#This Row],[Repère]]="","",VLOOKUP(Tableau1345678910[[#This Row],[Repère]],Tableau1[#All],11,FALSE))</f>
        <v/>
      </c>
      <c r="L98" s="14" t="str">
        <f>IF(Tableau1345678910[[#This Row],[Repère]]="","",VLOOKUP(Tableau1345678910[[#This Row],[Repère]],Tableau1[#All],12,FALSE))</f>
        <v/>
      </c>
    </row>
    <row r="99" spans="1:12" x14ac:dyDescent="0.3">
      <c r="A99" s="18"/>
      <c r="B99" s="19"/>
      <c r="C99" s="13" t="str">
        <f>IF(Tableau1345678910[[#This Row],[Repère]]="","",VLOOKUP(Tableau1345678910[[#This Row],[Repère]],Tableau1[#All],3,FALSE))</f>
        <v/>
      </c>
      <c r="D99" s="13" t="str">
        <f>IF(Tableau1345678910[[#This Row],[Repère]]="","",VLOOKUP(Tableau1345678910[[#This Row],[Repère]],Tableau1[#All],4,FALSE))</f>
        <v/>
      </c>
      <c r="E99" s="13" t="str">
        <f>IF(Tableau1345678910[[#This Row],[Repère]]="","",VLOOKUP(Tableau1345678910[[#This Row],[Repère]],Tableau1[#All],5,FALSE))</f>
        <v/>
      </c>
      <c r="F99" s="13" t="str">
        <f>IF(Tableau1345678910[[#This Row],[Repère]]="","",VLOOKUP(Tableau1345678910[[#This Row],[Repère]],Tableau1[#All],6,FALSE))</f>
        <v/>
      </c>
      <c r="G99" s="13" t="str">
        <f>IF(Tableau1345678910[[#This Row],[Repère]]="","",VLOOKUP(Tableau1345678910[[#This Row],[Repère]],Tableau1[#All],7,FALSE))</f>
        <v/>
      </c>
      <c r="H99" s="13" t="str">
        <f>IF(Tableau1345678910[[#This Row],[Repère]]="","",VLOOKUP(Tableau1345678910[[#This Row],[Repère]],Tableau1[#All],8,FALSE))</f>
        <v/>
      </c>
      <c r="I99" s="13" t="str">
        <f>IF(Tableau1345678910[[#This Row],[Repère]]="","",VLOOKUP(Tableau1345678910[[#This Row],[Repère]],Tableau1[#All],9,FALSE))</f>
        <v/>
      </c>
      <c r="J99" s="13" t="str">
        <f>IF(Tableau1345678910[[#This Row],[Repère]]="","",VLOOKUP(Tableau1345678910[[#This Row],[Repère]],Tableau1[#All],10,FALSE))</f>
        <v/>
      </c>
      <c r="K99" s="13" t="str">
        <f>IF(Tableau1345678910[[#This Row],[Repère]]="","",VLOOKUP(Tableau1345678910[[#This Row],[Repère]],Tableau1[#All],11,FALSE))</f>
        <v/>
      </c>
      <c r="L99" s="14" t="str">
        <f>IF(Tableau1345678910[[#This Row],[Repère]]="","",VLOOKUP(Tableau1345678910[[#This Row],[Repère]],Tableau1[#All],12,FALSE))</f>
        <v/>
      </c>
    </row>
    <row r="100" spans="1:12" x14ac:dyDescent="0.3">
      <c r="A100" s="18"/>
      <c r="B100" s="19"/>
      <c r="C100" s="13" t="str">
        <f>IF(Tableau1345678910[[#This Row],[Repère]]="","",VLOOKUP(Tableau1345678910[[#This Row],[Repère]],Tableau1[#All],3,FALSE))</f>
        <v/>
      </c>
      <c r="D100" s="13" t="str">
        <f>IF(Tableau1345678910[[#This Row],[Repère]]="","",VLOOKUP(Tableau1345678910[[#This Row],[Repère]],Tableau1[#All],4,FALSE))</f>
        <v/>
      </c>
      <c r="E100" s="13" t="str">
        <f>IF(Tableau1345678910[[#This Row],[Repère]]="","",VLOOKUP(Tableau1345678910[[#This Row],[Repère]],Tableau1[#All],5,FALSE))</f>
        <v/>
      </c>
      <c r="F100" s="13" t="str">
        <f>IF(Tableau1345678910[[#This Row],[Repère]]="","",VLOOKUP(Tableau1345678910[[#This Row],[Repère]],Tableau1[#All],6,FALSE))</f>
        <v/>
      </c>
      <c r="G100" s="13" t="str">
        <f>IF(Tableau1345678910[[#This Row],[Repère]]="","",VLOOKUP(Tableau1345678910[[#This Row],[Repère]],Tableau1[#All],7,FALSE))</f>
        <v/>
      </c>
      <c r="H100" s="13" t="str">
        <f>IF(Tableau1345678910[[#This Row],[Repère]]="","",VLOOKUP(Tableau1345678910[[#This Row],[Repère]],Tableau1[#All],8,FALSE))</f>
        <v/>
      </c>
      <c r="I100" s="13" t="str">
        <f>IF(Tableau1345678910[[#This Row],[Repère]]="","",VLOOKUP(Tableau1345678910[[#This Row],[Repère]],Tableau1[#All],9,FALSE))</f>
        <v/>
      </c>
      <c r="J100" s="13" t="str">
        <f>IF(Tableau1345678910[[#This Row],[Repère]]="","",VLOOKUP(Tableau1345678910[[#This Row],[Repère]],Tableau1[#All],10,FALSE))</f>
        <v/>
      </c>
      <c r="K100" s="13" t="str">
        <f>IF(Tableau1345678910[[#This Row],[Repère]]="","",VLOOKUP(Tableau1345678910[[#This Row],[Repère]],Tableau1[#All],11,FALSE))</f>
        <v/>
      </c>
      <c r="L100" s="14" t="str">
        <f>IF(Tableau1345678910[[#This Row],[Repère]]="","",VLOOKUP(Tableau1345678910[[#This Row],[Repère]],Tableau1[#All],12,FALSE))</f>
        <v/>
      </c>
    </row>
    <row r="101" spans="1:12" x14ac:dyDescent="0.3">
      <c r="A101" s="18"/>
      <c r="B101" s="19"/>
      <c r="C101" s="13" t="str">
        <f>IF(Tableau1345678910[[#This Row],[Repère]]="","",VLOOKUP(Tableau1345678910[[#This Row],[Repère]],Tableau1[#All],3,FALSE))</f>
        <v/>
      </c>
      <c r="D101" s="13" t="str">
        <f>IF(Tableau1345678910[[#This Row],[Repère]]="","",VLOOKUP(Tableau1345678910[[#This Row],[Repère]],Tableau1[#All],4,FALSE))</f>
        <v/>
      </c>
      <c r="E101" s="13" t="str">
        <f>IF(Tableau1345678910[[#This Row],[Repère]]="","",VLOOKUP(Tableau1345678910[[#This Row],[Repère]],Tableau1[#All],5,FALSE))</f>
        <v/>
      </c>
      <c r="F101" s="13" t="str">
        <f>IF(Tableau1345678910[[#This Row],[Repère]]="","",VLOOKUP(Tableau1345678910[[#This Row],[Repère]],Tableau1[#All],6,FALSE))</f>
        <v/>
      </c>
      <c r="G101" s="13" t="str">
        <f>IF(Tableau1345678910[[#This Row],[Repère]]="","",VLOOKUP(Tableau1345678910[[#This Row],[Repère]],Tableau1[#All],7,FALSE))</f>
        <v/>
      </c>
      <c r="H101" s="13" t="str">
        <f>IF(Tableau1345678910[[#This Row],[Repère]]="","",VLOOKUP(Tableau1345678910[[#This Row],[Repère]],Tableau1[#All],8,FALSE))</f>
        <v/>
      </c>
      <c r="I101" s="13" t="str">
        <f>IF(Tableau1345678910[[#This Row],[Repère]]="","",VLOOKUP(Tableau1345678910[[#This Row],[Repère]],Tableau1[#All],9,FALSE))</f>
        <v/>
      </c>
      <c r="J101" s="13" t="str">
        <f>IF(Tableau1345678910[[#This Row],[Repère]]="","",VLOOKUP(Tableau1345678910[[#This Row],[Repère]],Tableau1[#All],10,FALSE))</f>
        <v/>
      </c>
      <c r="K101" s="13" t="str">
        <f>IF(Tableau1345678910[[#This Row],[Repère]]="","",VLOOKUP(Tableau1345678910[[#This Row],[Repère]],Tableau1[#All],11,FALSE))</f>
        <v/>
      </c>
      <c r="L101" s="14" t="str">
        <f>IF(Tableau1345678910[[#This Row],[Repère]]="","",VLOOKUP(Tableau1345678910[[#This Row],[Repère]],Tableau1[#All],12,FALSE))</f>
        <v/>
      </c>
    </row>
  </sheetData>
  <sheetProtection algorithmName="SHA-512" hashValue="BGzT/r8PZXx5gu/mQ3wMFkO3fFfcmmrURCm2XP/YPDigkkaGimxzmBNX8+zjunppbGYokUApFi4/7Js79K2rKg==" saltValue="btRmC4lOjSdKimA5/1+njw==" spinCount="100000" sheet="1" objects="1" scenarios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BD9C-223B-4199-A624-2C01E23124A4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IF(Tableau13456789101112[[#This Row],[Repère]]="","",VLOOKUP(Tableau13456789101112[[#This Row],[Repère]],Tableau1[#All],3,FALSE))</f>
        <v/>
      </c>
      <c r="D2" s="13" t="str">
        <f>IF(Tableau13456789101112[[#This Row],[Repère]]="","",VLOOKUP(Tableau13456789101112[[#This Row],[Repère]],Tableau1[#All],4,FALSE))</f>
        <v/>
      </c>
      <c r="E2" s="13" t="str">
        <f>IF(Tableau13456789101112[[#This Row],[Repère]]="","",VLOOKUP(Tableau13456789101112[[#This Row],[Repère]],Tableau1[#All],5,FALSE))</f>
        <v/>
      </c>
      <c r="F2" s="13" t="str">
        <f>IF(Tableau13456789101112[[#This Row],[Repère]]="","",VLOOKUP(Tableau13456789101112[[#This Row],[Repère]],Tableau1[#All],6,FALSE))</f>
        <v/>
      </c>
      <c r="G2" s="13" t="str">
        <f>IF(Tableau13456789101112[[#This Row],[Repère]]="","",VLOOKUP(Tableau13456789101112[[#This Row],[Repère]],Tableau1[#All],7,FALSE))</f>
        <v/>
      </c>
      <c r="H2" s="13" t="str">
        <f>IF(Tableau13456789101112[[#This Row],[Repère]]="","",VLOOKUP(Tableau13456789101112[[#This Row],[Repère]],Tableau1[#All],8,FALSE))</f>
        <v/>
      </c>
      <c r="I2" s="13" t="str">
        <f>IF(Tableau13456789101112[[#This Row],[Repère]]="","",VLOOKUP(Tableau13456789101112[[#This Row],[Repère]],Tableau1[#All],9,FALSE))</f>
        <v/>
      </c>
      <c r="J2" s="13" t="str">
        <f>IF(Tableau13456789101112[[#This Row],[Repère]]="","",VLOOKUP(Tableau13456789101112[[#This Row],[Repère]],Tableau1[#All],10,FALSE))</f>
        <v/>
      </c>
      <c r="K2" s="13" t="str">
        <f>IF(Tableau13456789101112[[#This Row],[Repère]]="","",VLOOKUP(Tableau13456789101112[[#This Row],[Repère]],Tableau1[#All],11,FALSE))</f>
        <v/>
      </c>
      <c r="L2" s="13" t="str">
        <f>IF(Tableau13456789101112[[#This Row],[Repère]]="","",VLOOKUP(Tableau13456789101112[[#This Row],[Repère]],Tableau1[#All],12,FALSE))</f>
        <v/>
      </c>
    </row>
    <row r="3" spans="1:12" x14ac:dyDescent="0.3">
      <c r="A3" s="18"/>
      <c r="B3" s="19"/>
      <c r="C3" s="13" t="str">
        <f>IF(Tableau13456789101112[[#This Row],[Repère]]="","",VLOOKUP(Tableau13456789101112[[#This Row],[Repère]],Tableau1[#All],3,FALSE))</f>
        <v/>
      </c>
      <c r="D3" s="13" t="str">
        <f>IF(Tableau13456789101112[[#This Row],[Repère]]="","",VLOOKUP(Tableau13456789101112[[#This Row],[Repère]],Tableau1[#All],4,FALSE))</f>
        <v/>
      </c>
      <c r="E3" s="13" t="str">
        <f>IF(Tableau13456789101112[[#This Row],[Repère]]="","",VLOOKUP(Tableau13456789101112[[#This Row],[Repère]],Tableau1[#All],5,FALSE))</f>
        <v/>
      </c>
      <c r="F3" s="13" t="str">
        <f>IF(Tableau13456789101112[[#This Row],[Repère]]="","",VLOOKUP(Tableau13456789101112[[#This Row],[Repère]],Tableau1[#All],6,FALSE))</f>
        <v/>
      </c>
      <c r="G3" s="13" t="str">
        <f>IF(Tableau13456789101112[[#This Row],[Repère]]="","",VLOOKUP(Tableau13456789101112[[#This Row],[Repère]],Tableau1[#All],7,FALSE))</f>
        <v/>
      </c>
      <c r="H3" s="13" t="str">
        <f>IF(Tableau13456789101112[[#This Row],[Repère]]="","",VLOOKUP(Tableau13456789101112[[#This Row],[Repère]],Tableau1[#All],8,FALSE))</f>
        <v/>
      </c>
      <c r="I3" s="13" t="str">
        <f>IF(Tableau13456789101112[[#This Row],[Repère]]="","",VLOOKUP(Tableau13456789101112[[#This Row],[Repère]],Tableau1[#All],9,FALSE))</f>
        <v/>
      </c>
      <c r="J3" s="13" t="str">
        <f>IF(Tableau13456789101112[[#This Row],[Repère]]="","",VLOOKUP(Tableau13456789101112[[#This Row],[Repère]],Tableau1[#All],10,FALSE))</f>
        <v/>
      </c>
      <c r="K3" s="13" t="str">
        <f>IF(Tableau13456789101112[[#This Row],[Repère]]="","",VLOOKUP(Tableau13456789101112[[#This Row],[Repère]],Tableau1[#All],11,FALSE))</f>
        <v/>
      </c>
      <c r="L3" s="14" t="str">
        <f>IF(Tableau13456789101112[[#This Row],[Repère]]="","",VLOOKUP(Tableau13456789101112[[#This Row],[Repère]],Tableau1[#All],12,FALSE))</f>
        <v/>
      </c>
    </row>
    <row r="4" spans="1:12" x14ac:dyDescent="0.3">
      <c r="A4" s="18"/>
      <c r="B4" s="19"/>
      <c r="C4" s="13" t="str">
        <f>IF(Tableau13456789101112[[#This Row],[Repère]]="","",VLOOKUP(Tableau13456789101112[[#This Row],[Repère]],Tableau1[#All],3,FALSE))</f>
        <v/>
      </c>
      <c r="D4" s="13" t="str">
        <f>IF(Tableau13456789101112[[#This Row],[Repère]]="","",VLOOKUP(Tableau13456789101112[[#This Row],[Repère]],Tableau1[#All],4,FALSE))</f>
        <v/>
      </c>
      <c r="E4" s="13" t="str">
        <f>IF(Tableau13456789101112[[#This Row],[Repère]]="","",VLOOKUP(Tableau13456789101112[[#This Row],[Repère]],Tableau1[#All],5,FALSE))</f>
        <v/>
      </c>
      <c r="F4" s="13" t="str">
        <f>IF(Tableau13456789101112[[#This Row],[Repère]]="","",VLOOKUP(Tableau13456789101112[[#This Row],[Repère]],Tableau1[#All],6,FALSE))</f>
        <v/>
      </c>
      <c r="G4" s="13" t="str">
        <f>IF(Tableau13456789101112[[#This Row],[Repère]]="","",VLOOKUP(Tableau13456789101112[[#This Row],[Repère]],Tableau1[#All],7,FALSE))</f>
        <v/>
      </c>
      <c r="H4" s="13" t="str">
        <f>IF(Tableau13456789101112[[#This Row],[Repère]]="","",VLOOKUP(Tableau13456789101112[[#This Row],[Repère]],Tableau1[#All],8,FALSE))</f>
        <v/>
      </c>
      <c r="I4" s="13" t="str">
        <f>IF(Tableau13456789101112[[#This Row],[Repère]]="","",VLOOKUP(Tableau13456789101112[[#This Row],[Repère]],Tableau1[#All],9,FALSE))</f>
        <v/>
      </c>
      <c r="J4" s="13" t="str">
        <f>IF(Tableau13456789101112[[#This Row],[Repère]]="","",VLOOKUP(Tableau13456789101112[[#This Row],[Repère]],Tableau1[#All],10,FALSE))</f>
        <v/>
      </c>
      <c r="K4" s="13" t="str">
        <f>IF(Tableau13456789101112[[#This Row],[Repère]]="","",VLOOKUP(Tableau13456789101112[[#This Row],[Repère]],Tableau1[#All],11,FALSE))</f>
        <v/>
      </c>
      <c r="L4" s="14" t="str">
        <f>IF(Tableau13456789101112[[#This Row],[Repère]]="","",VLOOKUP(Tableau13456789101112[[#This Row],[Repère]],Tableau1[#All],12,FALSE))</f>
        <v/>
      </c>
    </row>
    <row r="5" spans="1:12" x14ac:dyDescent="0.3">
      <c r="A5" s="18"/>
      <c r="B5" s="19"/>
      <c r="C5" s="13" t="str">
        <f>IF(Tableau13456789101112[[#This Row],[Repère]]="","",VLOOKUP(Tableau13456789101112[[#This Row],[Repère]],Tableau1[#All],3,FALSE))</f>
        <v/>
      </c>
      <c r="D5" s="13" t="str">
        <f>IF(Tableau13456789101112[[#This Row],[Repère]]="","",VLOOKUP(Tableau13456789101112[[#This Row],[Repère]],Tableau1[#All],4,FALSE))</f>
        <v/>
      </c>
      <c r="E5" s="13" t="str">
        <f>IF(Tableau13456789101112[[#This Row],[Repère]]="","",VLOOKUP(Tableau13456789101112[[#This Row],[Repère]],Tableau1[#All],5,FALSE))</f>
        <v/>
      </c>
      <c r="F5" s="13" t="str">
        <f>IF(Tableau13456789101112[[#This Row],[Repère]]="","",VLOOKUP(Tableau13456789101112[[#This Row],[Repère]],Tableau1[#All],6,FALSE))</f>
        <v/>
      </c>
      <c r="G5" s="13" t="str">
        <f>IF(Tableau13456789101112[[#This Row],[Repère]]="","",VLOOKUP(Tableau13456789101112[[#This Row],[Repère]],Tableau1[#All],7,FALSE))</f>
        <v/>
      </c>
      <c r="H5" s="13" t="str">
        <f>IF(Tableau13456789101112[[#This Row],[Repère]]="","",VLOOKUP(Tableau13456789101112[[#This Row],[Repère]],Tableau1[#All],8,FALSE))</f>
        <v/>
      </c>
      <c r="I5" s="13" t="str">
        <f>IF(Tableau13456789101112[[#This Row],[Repère]]="","",VLOOKUP(Tableau13456789101112[[#This Row],[Repère]],Tableau1[#All],9,FALSE))</f>
        <v/>
      </c>
      <c r="J5" s="13" t="str">
        <f>IF(Tableau13456789101112[[#This Row],[Repère]]="","",VLOOKUP(Tableau13456789101112[[#This Row],[Repère]],Tableau1[#All],10,FALSE))</f>
        <v/>
      </c>
      <c r="K5" s="13" t="str">
        <f>IF(Tableau13456789101112[[#This Row],[Repère]]="","",VLOOKUP(Tableau13456789101112[[#This Row],[Repère]],Tableau1[#All],11,FALSE))</f>
        <v/>
      </c>
      <c r="L5" s="14" t="str">
        <f>IF(Tableau13456789101112[[#This Row],[Repère]]="","",VLOOKUP(Tableau13456789101112[[#This Row],[Repère]],Tableau1[#All],12,FALSE))</f>
        <v/>
      </c>
    </row>
    <row r="6" spans="1:12" x14ac:dyDescent="0.3">
      <c r="A6" s="18"/>
      <c r="B6" s="19"/>
      <c r="C6" s="13" t="str">
        <f>IF(Tableau13456789101112[[#This Row],[Repère]]="","",VLOOKUP(Tableau13456789101112[[#This Row],[Repère]],Tableau1[#All],3,FALSE))</f>
        <v/>
      </c>
      <c r="D6" s="13" t="str">
        <f>IF(Tableau13456789101112[[#This Row],[Repère]]="","",VLOOKUP(Tableau13456789101112[[#This Row],[Repère]],Tableau1[#All],4,FALSE))</f>
        <v/>
      </c>
      <c r="E6" s="13" t="str">
        <f>IF(Tableau13456789101112[[#This Row],[Repère]]="","",VLOOKUP(Tableau13456789101112[[#This Row],[Repère]],Tableau1[#All],5,FALSE))</f>
        <v/>
      </c>
      <c r="F6" s="13" t="str">
        <f>IF(Tableau13456789101112[[#This Row],[Repère]]="","",VLOOKUP(Tableau13456789101112[[#This Row],[Repère]],Tableau1[#All],6,FALSE))</f>
        <v/>
      </c>
      <c r="G6" s="13" t="str">
        <f>IF(Tableau13456789101112[[#This Row],[Repère]]="","",VLOOKUP(Tableau13456789101112[[#This Row],[Repère]],Tableau1[#All],7,FALSE))</f>
        <v/>
      </c>
      <c r="H6" s="13" t="str">
        <f>IF(Tableau13456789101112[[#This Row],[Repère]]="","",VLOOKUP(Tableau13456789101112[[#This Row],[Repère]],Tableau1[#All],8,FALSE))</f>
        <v/>
      </c>
      <c r="I6" s="13" t="str">
        <f>IF(Tableau13456789101112[[#This Row],[Repère]]="","",VLOOKUP(Tableau13456789101112[[#This Row],[Repère]],Tableau1[#All],9,FALSE))</f>
        <v/>
      </c>
      <c r="J6" s="13" t="str">
        <f>IF(Tableau13456789101112[[#This Row],[Repère]]="","",VLOOKUP(Tableau13456789101112[[#This Row],[Repère]],Tableau1[#All],10,FALSE))</f>
        <v/>
      </c>
      <c r="K6" s="13" t="str">
        <f>IF(Tableau13456789101112[[#This Row],[Repère]]="","",VLOOKUP(Tableau13456789101112[[#This Row],[Repère]],Tableau1[#All],11,FALSE))</f>
        <v/>
      </c>
      <c r="L6" s="14" t="str">
        <f>IF(Tableau13456789101112[[#This Row],[Repère]]="","",VLOOKUP(Tableau13456789101112[[#This Row],[Repère]],Tableau1[#All],12,FALSE))</f>
        <v/>
      </c>
    </row>
    <row r="7" spans="1:12" x14ac:dyDescent="0.3">
      <c r="A7" s="18"/>
      <c r="B7" s="19"/>
      <c r="C7" s="13" t="str">
        <f>IF(Tableau13456789101112[[#This Row],[Repère]]="","",VLOOKUP(Tableau13456789101112[[#This Row],[Repère]],Tableau1[#All],3,FALSE))</f>
        <v/>
      </c>
      <c r="D7" s="13" t="str">
        <f>IF(Tableau13456789101112[[#This Row],[Repère]]="","",VLOOKUP(Tableau13456789101112[[#This Row],[Repère]],Tableau1[#All],4,FALSE))</f>
        <v/>
      </c>
      <c r="E7" s="13" t="str">
        <f>IF(Tableau13456789101112[[#This Row],[Repère]]="","",VLOOKUP(Tableau13456789101112[[#This Row],[Repère]],Tableau1[#All],5,FALSE))</f>
        <v/>
      </c>
      <c r="F7" s="13" t="str">
        <f>IF(Tableau13456789101112[[#This Row],[Repère]]="","",VLOOKUP(Tableau13456789101112[[#This Row],[Repère]],Tableau1[#All],6,FALSE))</f>
        <v/>
      </c>
      <c r="G7" s="13" t="str">
        <f>IF(Tableau13456789101112[[#This Row],[Repère]]="","",VLOOKUP(Tableau13456789101112[[#This Row],[Repère]],Tableau1[#All],7,FALSE))</f>
        <v/>
      </c>
      <c r="H7" s="13" t="str">
        <f>IF(Tableau13456789101112[[#This Row],[Repère]]="","",VLOOKUP(Tableau13456789101112[[#This Row],[Repère]],Tableau1[#All],8,FALSE))</f>
        <v/>
      </c>
      <c r="I7" s="13" t="str">
        <f>IF(Tableau13456789101112[[#This Row],[Repère]]="","",VLOOKUP(Tableau13456789101112[[#This Row],[Repère]],Tableau1[#All],9,FALSE))</f>
        <v/>
      </c>
      <c r="J7" s="13" t="str">
        <f>IF(Tableau13456789101112[[#This Row],[Repère]]="","",VLOOKUP(Tableau13456789101112[[#This Row],[Repère]],Tableau1[#All],10,FALSE))</f>
        <v/>
      </c>
      <c r="K7" s="13" t="str">
        <f>IF(Tableau13456789101112[[#This Row],[Repère]]="","",VLOOKUP(Tableau13456789101112[[#This Row],[Repère]],Tableau1[#All],11,FALSE))</f>
        <v/>
      </c>
      <c r="L7" s="14" t="str">
        <f>IF(Tableau13456789101112[[#This Row],[Repère]]="","",VLOOKUP(Tableau13456789101112[[#This Row],[Repère]],Tableau1[#All],12,FALSE))</f>
        <v/>
      </c>
    </row>
    <row r="8" spans="1:12" x14ac:dyDescent="0.3">
      <c r="A8" s="18"/>
      <c r="B8" s="19"/>
      <c r="C8" s="13" t="str">
        <f>IF(Tableau13456789101112[[#This Row],[Repère]]="","",VLOOKUP(Tableau13456789101112[[#This Row],[Repère]],Tableau1[#All],3,FALSE))</f>
        <v/>
      </c>
      <c r="D8" s="13" t="str">
        <f>IF(Tableau13456789101112[[#This Row],[Repère]]="","",VLOOKUP(Tableau13456789101112[[#This Row],[Repère]],Tableau1[#All],4,FALSE))</f>
        <v/>
      </c>
      <c r="E8" s="13" t="str">
        <f>IF(Tableau13456789101112[[#This Row],[Repère]]="","",VLOOKUP(Tableau13456789101112[[#This Row],[Repère]],Tableau1[#All],5,FALSE))</f>
        <v/>
      </c>
      <c r="F8" s="13" t="str">
        <f>IF(Tableau13456789101112[[#This Row],[Repère]]="","",VLOOKUP(Tableau13456789101112[[#This Row],[Repère]],Tableau1[#All],6,FALSE))</f>
        <v/>
      </c>
      <c r="G8" s="13" t="str">
        <f>IF(Tableau13456789101112[[#This Row],[Repère]]="","",VLOOKUP(Tableau13456789101112[[#This Row],[Repère]],Tableau1[#All],7,FALSE))</f>
        <v/>
      </c>
      <c r="H8" s="13" t="str">
        <f>IF(Tableau13456789101112[[#This Row],[Repère]]="","",VLOOKUP(Tableau13456789101112[[#This Row],[Repère]],Tableau1[#All],8,FALSE))</f>
        <v/>
      </c>
      <c r="I8" s="13" t="str">
        <f>IF(Tableau13456789101112[[#This Row],[Repère]]="","",VLOOKUP(Tableau13456789101112[[#This Row],[Repère]],Tableau1[#All],9,FALSE))</f>
        <v/>
      </c>
      <c r="J8" s="13" t="str">
        <f>IF(Tableau13456789101112[[#This Row],[Repère]]="","",VLOOKUP(Tableau13456789101112[[#This Row],[Repère]],Tableau1[#All],10,FALSE))</f>
        <v/>
      </c>
      <c r="K8" s="13" t="str">
        <f>IF(Tableau13456789101112[[#This Row],[Repère]]="","",VLOOKUP(Tableau13456789101112[[#This Row],[Repère]],Tableau1[#All],11,FALSE))</f>
        <v/>
      </c>
      <c r="L8" s="14" t="str">
        <f>IF(Tableau13456789101112[[#This Row],[Repère]]="","",VLOOKUP(Tableau13456789101112[[#This Row],[Repère]],Tableau1[#All],12,FALSE))</f>
        <v/>
      </c>
    </row>
    <row r="9" spans="1:12" x14ac:dyDescent="0.3">
      <c r="A9" s="18"/>
      <c r="B9" s="19"/>
      <c r="C9" s="13" t="str">
        <f>IF(Tableau13456789101112[[#This Row],[Repère]]="","",VLOOKUP(Tableau13456789101112[[#This Row],[Repère]],Tableau1[#All],3,FALSE))</f>
        <v/>
      </c>
      <c r="D9" s="13" t="str">
        <f>IF(Tableau13456789101112[[#This Row],[Repère]]="","",VLOOKUP(Tableau13456789101112[[#This Row],[Repère]],Tableau1[#All],4,FALSE))</f>
        <v/>
      </c>
      <c r="E9" s="13" t="str">
        <f>IF(Tableau13456789101112[[#This Row],[Repère]]="","",VLOOKUP(Tableau13456789101112[[#This Row],[Repère]],Tableau1[#All],5,FALSE))</f>
        <v/>
      </c>
      <c r="F9" s="13" t="str">
        <f>IF(Tableau13456789101112[[#This Row],[Repère]]="","",VLOOKUP(Tableau13456789101112[[#This Row],[Repère]],Tableau1[#All],6,FALSE))</f>
        <v/>
      </c>
      <c r="G9" s="13" t="str">
        <f>IF(Tableau13456789101112[[#This Row],[Repère]]="","",VLOOKUP(Tableau13456789101112[[#This Row],[Repère]],Tableau1[#All],7,FALSE))</f>
        <v/>
      </c>
      <c r="H9" s="13" t="str">
        <f>IF(Tableau13456789101112[[#This Row],[Repère]]="","",VLOOKUP(Tableau13456789101112[[#This Row],[Repère]],Tableau1[#All],8,FALSE))</f>
        <v/>
      </c>
      <c r="I9" s="13" t="str">
        <f>IF(Tableau13456789101112[[#This Row],[Repère]]="","",VLOOKUP(Tableau13456789101112[[#This Row],[Repère]],Tableau1[#All],9,FALSE))</f>
        <v/>
      </c>
      <c r="J9" s="13" t="str">
        <f>IF(Tableau13456789101112[[#This Row],[Repère]]="","",VLOOKUP(Tableau13456789101112[[#This Row],[Repère]],Tableau1[#All],10,FALSE))</f>
        <v/>
      </c>
      <c r="K9" s="13" t="str">
        <f>IF(Tableau13456789101112[[#This Row],[Repère]]="","",VLOOKUP(Tableau13456789101112[[#This Row],[Repère]],Tableau1[#All],11,FALSE))</f>
        <v/>
      </c>
      <c r="L9" s="14" t="str">
        <f>IF(Tableau13456789101112[[#This Row],[Repère]]="","",VLOOKUP(Tableau13456789101112[[#This Row],[Repère]],Tableau1[#All],12,FALSE))</f>
        <v/>
      </c>
    </row>
    <row r="10" spans="1:12" x14ac:dyDescent="0.3">
      <c r="A10" s="18"/>
      <c r="B10" s="19"/>
      <c r="C10" s="13" t="str">
        <f>IF(Tableau13456789101112[[#This Row],[Repère]]="","",VLOOKUP(Tableau13456789101112[[#This Row],[Repère]],Tableau1[#All],3,FALSE))</f>
        <v/>
      </c>
      <c r="D10" s="13" t="str">
        <f>IF(Tableau13456789101112[[#This Row],[Repère]]="","",VLOOKUP(Tableau13456789101112[[#This Row],[Repère]],Tableau1[#All],4,FALSE))</f>
        <v/>
      </c>
      <c r="E10" s="13" t="str">
        <f>IF(Tableau13456789101112[[#This Row],[Repère]]="","",VLOOKUP(Tableau13456789101112[[#This Row],[Repère]],Tableau1[#All],5,FALSE))</f>
        <v/>
      </c>
      <c r="F10" s="13" t="str">
        <f>IF(Tableau13456789101112[[#This Row],[Repère]]="","",VLOOKUP(Tableau13456789101112[[#This Row],[Repère]],Tableau1[#All],6,FALSE))</f>
        <v/>
      </c>
      <c r="G10" s="13" t="str">
        <f>IF(Tableau13456789101112[[#This Row],[Repère]]="","",VLOOKUP(Tableau13456789101112[[#This Row],[Repère]],Tableau1[#All],7,FALSE))</f>
        <v/>
      </c>
      <c r="H10" s="13" t="str">
        <f>IF(Tableau13456789101112[[#This Row],[Repère]]="","",VLOOKUP(Tableau13456789101112[[#This Row],[Repère]],Tableau1[#All],8,FALSE))</f>
        <v/>
      </c>
      <c r="I10" s="13" t="str">
        <f>IF(Tableau13456789101112[[#This Row],[Repère]]="","",VLOOKUP(Tableau13456789101112[[#This Row],[Repère]],Tableau1[#All],9,FALSE))</f>
        <v/>
      </c>
      <c r="J10" s="13" t="str">
        <f>IF(Tableau13456789101112[[#This Row],[Repère]]="","",VLOOKUP(Tableau13456789101112[[#This Row],[Repère]],Tableau1[#All],10,FALSE))</f>
        <v/>
      </c>
      <c r="K10" s="13" t="str">
        <f>IF(Tableau13456789101112[[#This Row],[Repère]]="","",VLOOKUP(Tableau13456789101112[[#This Row],[Repère]],Tableau1[#All],11,FALSE))</f>
        <v/>
      </c>
      <c r="L10" s="14" t="str">
        <f>IF(Tableau13456789101112[[#This Row],[Repère]]="","",VLOOKUP(Tableau13456789101112[[#This Row],[Repère]],Tableau1[#All],12,FALSE))</f>
        <v/>
      </c>
    </row>
    <row r="11" spans="1:12" x14ac:dyDescent="0.3">
      <c r="A11" s="18"/>
      <c r="B11" s="19"/>
      <c r="C11" s="13" t="str">
        <f>IF(Tableau13456789101112[[#This Row],[Repère]]="","",VLOOKUP(Tableau13456789101112[[#This Row],[Repère]],Tableau1[#All],3,FALSE))</f>
        <v/>
      </c>
      <c r="D11" s="13" t="str">
        <f>IF(Tableau13456789101112[[#This Row],[Repère]]="","",VLOOKUP(Tableau13456789101112[[#This Row],[Repère]],Tableau1[#All],4,FALSE))</f>
        <v/>
      </c>
      <c r="E11" s="13" t="str">
        <f>IF(Tableau13456789101112[[#This Row],[Repère]]="","",VLOOKUP(Tableau13456789101112[[#This Row],[Repère]],Tableau1[#All],5,FALSE))</f>
        <v/>
      </c>
      <c r="F11" s="13" t="str">
        <f>IF(Tableau13456789101112[[#This Row],[Repère]]="","",VLOOKUP(Tableau13456789101112[[#This Row],[Repère]],Tableau1[#All],6,FALSE))</f>
        <v/>
      </c>
      <c r="G11" s="13" t="str">
        <f>IF(Tableau13456789101112[[#This Row],[Repère]]="","",VLOOKUP(Tableau13456789101112[[#This Row],[Repère]],Tableau1[#All],7,FALSE))</f>
        <v/>
      </c>
      <c r="H11" s="13" t="str">
        <f>IF(Tableau13456789101112[[#This Row],[Repère]]="","",VLOOKUP(Tableau13456789101112[[#This Row],[Repère]],Tableau1[#All],8,FALSE))</f>
        <v/>
      </c>
      <c r="I11" s="13" t="str">
        <f>IF(Tableau13456789101112[[#This Row],[Repère]]="","",VLOOKUP(Tableau13456789101112[[#This Row],[Repère]],Tableau1[#All],9,FALSE))</f>
        <v/>
      </c>
      <c r="J11" s="13" t="str">
        <f>IF(Tableau13456789101112[[#This Row],[Repère]]="","",VLOOKUP(Tableau13456789101112[[#This Row],[Repère]],Tableau1[#All],10,FALSE))</f>
        <v/>
      </c>
      <c r="K11" s="13" t="str">
        <f>IF(Tableau13456789101112[[#This Row],[Repère]]="","",VLOOKUP(Tableau13456789101112[[#This Row],[Repère]],Tableau1[#All],11,FALSE))</f>
        <v/>
      </c>
      <c r="L11" s="14" t="str">
        <f>IF(Tableau13456789101112[[#This Row],[Repère]]="","",VLOOKUP(Tableau13456789101112[[#This Row],[Repère]],Tableau1[#All],12,FALSE))</f>
        <v/>
      </c>
    </row>
    <row r="12" spans="1:12" x14ac:dyDescent="0.3">
      <c r="A12" s="18"/>
      <c r="B12" s="19"/>
      <c r="C12" s="13" t="str">
        <f>IF(Tableau13456789101112[[#This Row],[Repère]]="","",VLOOKUP(Tableau13456789101112[[#This Row],[Repère]],Tableau1[#All],3,FALSE))</f>
        <v/>
      </c>
      <c r="D12" s="13" t="str">
        <f>IF(Tableau13456789101112[[#This Row],[Repère]]="","",VLOOKUP(Tableau13456789101112[[#This Row],[Repère]],Tableau1[#All],4,FALSE))</f>
        <v/>
      </c>
      <c r="E12" s="13" t="str">
        <f>IF(Tableau13456789101112[[#This Row],[Repère]]="","",VLOOKUP(Tableau13456789101112[[#This Row],[Repère]],Tableau1[#All],5,FALSE))</f>
        <v/>
      </c>
      <c r="F12" s="13" t="str">
        <f>IF(Tableau13456789101112[[#This Row],[Repère]]="","",VLOOKUP(Tableau13456789101112[[#This Row],[Repère]],Tableau1[#All],6,FALSE))</f>
        <v/>
      </c>
      <c r="G12" s="13" t="str">
        <f>IF(Tableau13456789101112[[#This Row],[Repère]]="","",VLOOKUP(Tableau13456789101112[[#This Row],[Repère]],Tableau1[#All],7,FALSE))</f>
        <v/>
      </c>
      <c r="H12" s="13" t="str">
        <f>IF(Tableau13456789101112[[#This Row],[Repère]]="","",VLOOKUP(Tableau13456789101112[[#This Row],[Repère]],Tableau1[#All],8,FALSE))</f>
        <v/>
      </c>
      <c r="I12" s="13" t="str">
        <f>IF(Tableau13456789101112[[#This Row],[Repère]]="","",VLOOKUP(Tableau13456789101112[[#This Row],[Repère]],Tableau1[#All],9,FALSE))</f>
        <v/>
      </c>
      <c r="J12" s="13" t="str">
        <f>IF(Tableau13456789101112[[#This Row],[Repère]]="","",VLOOKUP(Tableau13456789101112[[#This Row],[Repère]],Tableau1[#All],10,FALSE))</f>
        <v/>
      </c>
      <c r="K12" s="13" t="str">
        <f>IF(Tableau13456789101112[[#This Row],[Repère]]="","",VLOOKUP(Tableau13456789101112[[#This Row],[Repère]],Tableau1[#All],11,FALSE))</f>
        <v/>
      </c>
      <c r="L12" s="14" t="str">
        <f>IF(Tableau13456789101112[[#This Row],[Repère]]="","",VLOOKUP(Tableau13456789101112[[#This Row],[Repère]],Tableau1[#All],12,FALSE))</f>
        <v/>
      </c>
    </row>
    <row r="13" spans="1:12" x14ac:dyDescent="0.3">
      <c r="A13" s="18"/>
      <c r="B13" s="19"/>
      <c r="C13" s="13" t="str">
        <f>IF(Tableau13456789101112[[#This Row],[Repère]]="","",VLOOKUP(Tableau13456789101112[[#This Row],[Repère]],Tableau1[#All],3,FALSE))</f>
        <v/>
      </c>
      <c r="D13" s="13" t="str">
        <f>IF(Tableau13456789101112[[#This Row],[Repère]]="","",VLOOKUP(Tableau13456789101112[[#This Row],[Repère]],Tableau1[#All],4,FALSE))</f>
        <v/>
      </c>
      <c r="E13" s="13" t="str">
        <f>IF(Tableau13456789101112[[#This Row],[Repère]]="","",VLOOKUP(Tableau13456789101112[[#This Row],[Repère]],Tableau1[#All],5,FALSE))</f>
        <v/>
      </c>
      <c r="F13" s="13" t="str">
        <f>IF(Tableau13456789101112[[#This Row],[Repère]]="","",VLOOKUP(Tableau13456789101112[[#This Row],[Repère]],Tableau1[#All],6,FALSE))</f>
        <v/>
      </c>
      <c r="G13" s="13" t="str">
        <f>IF(Tableau13456789101112[[#This Row],[Repère]]="","",VLOOKUP(Tableau13456789101112[[#This Row],[Repère]],Tableau1[#All],7,FALSE))</f>
        <v/>
      </c>
      <c r="H13" s="13" t="str">
        <f>IF(Tableau13456789101112[[#This Row],[Repère]]="","",VLOOKUP(Tableau13456789101112[[#This Row],[Repère]],Tableau1[#All],8,FALSE))</f>
        <v/>
      </c>
      <c r="I13" s="13" t="str">
        <f>IF(Tableau13456789101112[[#This Row],[Repère]]="","",VLOOKUP(Tableau13456789101112[[#This Row],[Repère]],Tableau1[#All],9,FALSE))</f>
        <v/>
      </c>
      <c r="J13" s="13" t="str">
        <f>IF(Tableau13456789101112[[#This Row],[Repère]]="","",VLOOKUP(Tableau13456789101112[[#This Row],[Repère]],Tableau1[#All],10,FALSE))</f>
        <v/>
      </c>
      <c r="K13" s="13" t="str">
        <f>IF(Tableau13456789101112[[#This Row],[Repère]]="","",VLOOKUP(Tableau13456789101112[[#This Row],[Repère]],Tableau1[#All],11,FALSE))</f>
        <v/>
      </c>
      <c r="L13" s="14" t="str">
        <f>IF(Tableau13456789101112[[#This Row],[Repère]]="","",VLOOKUP(Tableau13456789101112[[#This Row],[Repère]],Tableau1[#All],12,FALSE))</f>
        <v/>
      </c>
    </row>
    <row r="14" spans="1:12" x14ac:dyDescent="0.3">
      <c r="A14" s="18"/>
      <c r="B14" s="19"/>
      <c r="C14" s="13" t="str">
        <f>IF(Tableau13456789101112[[#This Row],[Repère]]="","",VLOOKUP(Tableau13456789101112[[#This Row],[Repère]],Tableau1[#All],3,FALSE))</f>
        <v/>
      </c>
      <c r="D14" s="13" t="str">
        <f>IF(Tableau13456789101112[[#This Row],[Repère]]="","",VLOOKUP(Tableau13456789101112[[#This Row],[Repère]],Tableau1[#All],4,FALSE))</f>
        <v/>
      </c>
      <c r="E14" s="13" t="str">
        <f>IF(Tableau13456789101112[[#This Row],[Repère]]="","",VLOOKUP(Tableau13456789101112[[#This Row],[Repère]],Tableau1[#All],5,FALSE))</f>
        <v/>
      </c>
      <c r="F14" s="13" t="str">
        <f>IF(Tableau13456789101112[[#This Row],[Repère]]="","",VLOOKUP(Tableau13456789101112[[#This Row],[Repère]],Tableau1[#All],6,FALSE))</f>
        <v/>
      </c>
      <c r="G14" s="13" t="str">
        <f>IF(Tableau13456789101112[[#This Row],[Repère]]="","",VLOOKUP(Tableau13456789101112[[#This Row],[Repère]],Tableau1[#All],7,FALSE))</f>
        <v/>
      </c>
      <c r="H14" s="13" t="str">
        <f>IF(Tableau13456789101112[[#This Row],[Repère]]="","",VLOOKUP(Tableau13456789101112[[#This Row],[Repère]],Tableau1[#All],8,FALSE))</f>
        <v/>
      </c>
      <c r="I14" s="13" t="str">
        <f>IF(Tableau13456789101112[[#This Row],[Repère]]="","",VLOOKUP(Tableau13456789101112[[#This Row],[Repère]],Tableau1[#All],9,FALSE))</f>
        <v/>
      </c>
      <c r="J14" s="13" t="str">
        <f>IF(Tableau13456789101112[[#This Row],[Repère]]="","",VLOOKUP(Tableau13456789101112[[#This Row],[Repère]],Tableau1[#All],10,FALSE))</f>
        <v/>
      </c>
      <c r="K14" s="13" t="str">
        <f>IF(Tableau13456789101112[[#This Row],[Repère]]="","",VLOOKUP(Tableau13456789101112[[#This Row],[Repère]],Tableau1[#All],11,FALSE))</f>
        <v/>
      </c>
      <c r="L14" s="14" t="str">
        <f>IF(Tableau13456789101112[[#This Row],[Repère]]="","",VLOOKUP(Tableau13456789101112[[#This Row],[Repère]],Tableau1[#All],12,FALSE))</f>
        <v/>
      </c>
    </row>
    <row r="15" spans="1:12" x14ac:dyDescent="0.3">
      <c r="A15" s="18"/>
      <c r="B15" s="19"/>
      <c r="C15" s="13" t="str">
        <f>IF(Tableau13456789101112[[#This Row],[Repère]]="","",VLOOKUP(Tableau13456789101112[[#This Row],[Repère]],Tableau1[#All],3,FALSE))</f>
        <v/>
      </c>
      <c r="D15" s="13" t="str">
        <f>IF(Tableau13456789101112[[#This Row],[Repère]]="","",VLOOKUP(Tableau13456789101112[[#This Row],[Repère]],Tableau1[#All],4,FALSE))</f>
        <v/>
      </c>
      <c r="E15" s="13" t="str">
        <f>IF(Tableau13456789101112[[#This Row],[Repère]]="","",VLOOKUP(Tableau13456789101112[[#This Row],[Repère]],Tableau1[#All],5,FALSE))</f>
        <v/>
      </c>
      <c r="F15" s="13" t="str">
        <f>IF(Tableau13456789101112[[#This Row],[Repère]]="","",VLOOKUP(Tableau13456789101112[[#This Row],[Repère]],Tableau1[#All],6,FALSE))</f>
        <v/>
      </c>
      <c r="G15" s="13" t="str">
        <f>IF(Tableau13456789101112[[#This Row],[Repère]]="","",VLOOKUP(Tableau13456789101112[[#This Row],[Repère]],Tableau1[#All],7,FALSE))</f>
        <v/>
      </c>
      <c r="H15" s="13" t="str">
        <f>IF(Tableau13456789101112[[#This Row],[Repère]]="","",VLOOKUP(Tableau13456789101112[[#This Row],[Repère]],Tableau1[#All],8,FALSE))</f>
        <v/>
      </c>
      <c r="I15" s="13" t="str">
        <f>IF(Tableau13456789101112[[#This Row],[Repère]]="","",VLOOKUP(Tableau13456789101112[[#This Row],[Repère]],Tableau1[#All],9,FALSE))</f>
        <v/>
      </c>
      <c r="J15" s="13" t="str">
        <f>IF(Tableau13456789101112[[#This Row],[Repère]]="","",VLOOKUP(Tableau13456789101112[[#This Row],[Repère]],Tableau1[#All],10,FALSE))</f>
        <v/>
      </c>
      <c r="K15" s="13" t="str">
        <f>IF(Tableau13456789101112[[#This Row],[Repère]]="","",VLOOKUP(Tableau13456789101112[[#This Row],[Repère]],Tableau1[#All],11,FALSE))</f>
        <v/>
      </c>
      <c r="L15" s="14" t="str">
        <f>IF(Tableau13456789101112[[#This Row],[Repère]]="","",VLOOKUP(Tableau13456789101112[[#This Row],[Repère]],Tableau1[#All],12,FALSE))</f>
        <v/>
      </c>
    </row>
    <row r="16" spans="1:12" x14ac:dyDescent="0.3">
      <c r="A16" s="18"/>
      <c r="B16" s="19"/>
      <c r="C16" s="13" t="str">
        <f>IF(Tableau13456789101112[[#This Row],[Repère]]="","",VLOOKUP(Tableau13456789101112[[#This Row],[Repère]],Tableau1[#All],3,FALSE))</f>
        <v/>
      </c>
      <c r="D16" s="13" t="str">
        <f>IF(Tableau13456789101112[[#This Row],[Repère]]="","",VLOOKUP(Tableau13456789101112[[#This Row],[Repère]],Tableau1[#All],4,FALSE))</f>
        <v/>
      </c>
      <c r="E16" s="13" t="str">
        <f>IF(Tableau13456789101112[[#This Row],[Repère]]="","",VLOOKUP(Tableau13456789101112[[#This Row],[Repère]],Tableau1[#All],5,FALSE))</f>
        <v/>
      </c>
      <c r="F16" s="13" t="str">
        <f>IF(Tableau13456789101112[[#This Row],[Repère]]="","",VLOOKUP(Tableau13456789101112[[#This Row],[Repère]],Tableau1[#All],6,FALSE))</f>
        <v/>
      </c>
      <c r="G16" s="13" t="str">
        <f>IF(Tableau13456789101112[[#This Row],[Repère]]="","",VLOOKUP(Tableau13456789101112[[#This Row],[Repère]],Tableau1[#All],7,FALSE))</f>
        <v/>
      </c>
      <c r="H16" s="13" t="str">
        <f>IF(Tableau13456789101112[[#This Row],[Repère]]="","",VLOOKUP(Tableau13456789101112[[#This Row],[Repère]],Tableau1[#All],8,FALSE))</f>
        <v/>
      </c>
      <c r="I16" s="13" t="str">
        <f>IF(Tableau13456789101112[[#This Row],[Repère]]="","",VLOOKUP(Tableau13456789101112[[#This Row],[Repère]],Tableau1[#All],9,FALSE))</f>
        <v/>
      </c>
      <c r="J16" s="13" t="str">
        <f>IF(Tableau13456789101112[[#This Row],[Repère]]="","",VLOOKUP(Tableau13456789101112[[#This Row],[Repère]],Tableau1[#All],10,FALSE))</f>
        <v/>
      </c>
      <c r="K16" s="13" t="str">
        <f>IF(Tableau13456789101112[[#This Row],[Repère]]="","",VLOOKUP(Tableau13456789101112[[#This Row],[Repère]],Tableau1[#All],11,FALSE))</f>
        <v/>
      </c>
      <c r="L16" s="14" t="str">
        <f>IF(Tableau13456789101112[[#This Row],[Repère]]="","",VLOOKUP(Tableau13456789101112[[#This Row],[Repère]],Tableau1[#All],12,FALSE))</f>
        <v/>
      </c>
    </row>
    <row r="17" spans="1:12" x14ac:dyDescent="0.3">
      <c r="A17" s="18"/>
      <c r="B17" s="19"/>
      <c r="C17" s="13" t="str">
        <f>IF(Tableau13456789101112[[#This Row],[Repère]]="","",VLOOKUP(Tableau13456789101112[[#This Row],[Repère]],Tableau1[#All],3,FALSE))</f>
        <v/>
      </c>
      <c r="D17" s="13" t="str">
        <f>IF(Tableau13456789101112[[#This Row],[Repère]]="","",VLOOKUP(Tableau13456789101112[[#This Row],[Repère]],Tableau1[#All],4,FALSE))</f>
        <v/>
      </c>
      <c r="E17" s="13" t="str">
        <f>IF(Tableau13456789101112[[#This Row],[Repère]]="","",VLOOKUP(Tableau13456789101112[[#This Row],[Repère]],Tableau1[#All],5,FALSE))</f>
        <v/>
      </c>
      <c r="F17" s="13" t="str">
        <f>IF(Tableau13456789101112[[#This Row],[Repère]]="","",VLOOKUP(Tableau13456789101112[[#This Row],[Repère]],Tableau1[#All],6,FALSE))</f>
        <v/>
      </c>
      <c r="G17" s="13" t="str">
        <f>IF(Tableau13456789101112[[#This Row],[Repère]]="","",VLOOKUP(Tableau13456789101112[[#This Row],[Repère]],Tableau1[#All],7,FALSE))</f>
        <v/>
      </c>
      <c r="H17" s="13" t="str">
        <f>IF(Tableau13456789101112[[#This Row],[Repère]]="","",VLOOKUP(Tableau13456789101112[[#This Row],[Repère]],Tableau1[#All],8,FALSE))</f>
        <v/>
      </c>
      <c r="I17" s="13" t="str">
        <f>IF(Tableau13456789101112[[#This Row],[Repère]]="","",VLOOKUP(Tableau13456789101112[[#This Row],[Repère]],Tableau1[#All],9,FALSE))</f>
        <v/>
      </c>
      <c r="J17" s="13" t="str">
        <f>IF(Tableau13456789101112[[#This Row],[Repère]]="","",VLOOKUP(Tableau13456789101112[[#This Row],[Repère]],Tableau1[#All],10,FALSE))</f>
        <v/>
      </c>
      <c r="K17" s="13" t="str">
        <f>IF(Tableau13456789101112[[#This Row],[Repère]]="","",VLOOKUP(Tableau13456789101112[[#This Row],[Repère]],Tableau1[#All],11,FALSE))</f>
        <v/>
      </c>
      <c r="L17" s="14" t="str">
        <f>IF(Tableau13456789101112[[#This Row],[Repère]]="","",VLOOKUP(Tableau13456789101112[[#This Row],[Repère]],Tableau1[#All],12,FALSE))</f>
        <v/>
      </c>
    </row>
    <row r="18" spans="1:12" x14ac:dyDescent="0.3">
      <c r="A18" s="18"/>
      <c r="B18" s="19"/>
      <c r="C18" s="13" t="str">
        <f>IF(Tableau13456789101112[[#This Row],[Repère]]="","",VLOOKUP(Tableau13456789101112[[#This Row],[Repère]],Tableau1[#All],3,FALSE))</f>
        <v/>
      </c>
      <c r="D18" s="13" t="str">
        <f>IF(Tableau13456789101112[[#This Row],[Repère]]="","",VLOOKUP(Tableau13456789101112[[#This Row],[Repère]],Tableau1[#All],4,FALSE))</f>
        <v/>
      </c>
      <c r="E18" s="13" t="str">
        <f>IF(Tableau13456789101112[[#This Row],[Repère]]="","",VLOOKUP(Tableau13456789101112[[#This Row],[Repère]],Tableau1[#All],5,FALSE))</f>
        <v/>
      </c>
      <c r="F18" s="13" t="str">
        <f>IF(Tableau13456789101112[[#This Row],[Repère]]="","",VLOOKUP(Tableau13456789101112[[#This Row],[Repère]],Tableau1[#All],6,FALSE))</f>
        <v/>
      </c>
      <c r="G18" s="13" t="str">
        <f>IF(Tableau13456789101112[[#This Row],[Repère]]="","",VLOOKUP(Tableau13456789101112[[#This Row],[Repère]],Tableau1[#All],7,FALSE))</f>
        <v/>
      </c>
      <c r="H18" s="13" t="str">
        <f>IF(Tableau13456789101112[[#This Row],[Repère]]="","",VLOOKUP(Tableau13456789101112[[#This Row],[Repère]],Tableau1[#All],8,FALSE))</f>
        <v/>
      </c>
      <c r="I18" s="13" t="str">
        <f>IF(Tableau13456789101112[[#This Row],[Repère]]="","",VLOOKUP(Tableau13456789101112[[#This Row],[Repère]],Tableau1[#All],9,FALSE))</f>
        <v/>
      </c>
      <c r="J18" s="13" t="str">
        <f>IF(Tableau13456789101112[[#This Row],[Repère]]="","",VLOOKUP(Tableau13456789101112[[#This Row],[Repère]],Tableau1[#All],10,FALSE))</f>
        <v/>
      </c>
      <c r="K18" s="13" t="str">
        <f>IF(Tableau13456789101112[[#This Row],[Repère]]="","",VLOOKUP(Tableau13456789101112[[#This Row],[Repère]],Tableau1[#All],11,FALSE))</f>
        <v/>
      </c>
      <c r="L18" s="14" t="str">
        <f>IF(Tableau13456789101112[[#This Row],[Repère]]="","",VLOOKUP(Tableau13456789101112[[#This Row],[Repère]],Tableau1[#All],12,FALSE))</f>
        <v/>
      </c>
    </row>
    <row r="19" spans="1:12" x14ac:dyDescent="0.3">
      <c r="A19" s="18"/>
      <c r="B19" s="19"/>
      <c r="C19" s="13" t="str">
        <f>IF(Tableau13456789101112[[#This Row],[Repère]]="","",VLOOKUP(Tableau13456789101112[[#This Row],[Repère]],Tableau1[#All],3,FALSE))</f>
        <v/>
      </c>
      <c r="D19" s="13" t="str">
        <f>IF(Tableau13456789101112[[#This Row],[Repère]]="","",VLOOKUP(Tableau13456789101112[[#This Row],[Repère]],Tableau1[#All],4,FALSE))</f>
        <v/>
      </c>
      <c r="E19" s="13" t="str">
        <f>IF(Tableau13456789101112[[#This Row],[Repère]]="","",VLOOKUP(Tableau13456789101112[[#This Row],[Repère]],Tableau1[#All],5,FALSE))</f>
        <v/>
      </c>
      <c r="F19" s="13" t="str">
        <f>IF(Tableau13456789101112[[#This Row],[Repère]]="","",VLOOKUP(Tableau13456789101112[[#This Row],[Repère]],Tableau1[#All],6,FALSE))</f>
        <v/>
      </c>
      <c r="G19" s="13" t="str">
        <f>IF(Tableau13456789101112[[#This Row],[Repère]]="","",VLOOKUP(Tableau13456789101112[[#This Row],[Repère]],Tableau1[#All],7,FALSE))</f>
        <v/>
      </c>
      <c r="H19" s="13" t="str">
        <f>IF(Tableau13456789101112[[#This Row],[Repère]]="","",VLOOKUP(Tableau13456789101112[[#This Row],[Repère]],Tableau1[#All],8,FALSE))</f>
        <v/>
      </c>
      <c r="I19" s="13" t="str">
        <f>IF(Tableau13456789101112[[#This Row],[Repère]]="","",VLOOKUP(Tableau13456789101112[[#This Row],[Repère]],Tableau1[#All],9,FALSE))</f>
        <v/>
      </c>
      <c r="J19" s="13" t="str">
        <f>IF(Tableau13456789101112[[#This Row],[Repère]]="","",VLOOKUP(Tableau13456789101112[[#This Row],[Repère]],Tableau1[#All],10,FALSE))</f>
        <v/>
      </c>
      <c r="K19" s="13" t="str">
        <f>IF(Tableau13456789101112[[#This Row],[Repère]]="","",VLOOKUP(Tableau13456789101112[[#This Row],[Repère]],Tableau1[#All],11,FALSE))</f>
        <v/>
      </c>
      <c r="L19" s="14" t="str">
        <f>IF(Tableau13456789101112[[#This Row],[Repère]]="","",VLOOKUP(Tableau13456789101112[[#This Row],[Repère]],Tableau1[#All],12,FALSE))</f>
        <v/>
      </c>
    </row>
    <row r="20" spans="1:12" x14ac:dyDescent="0.3">
      <c r="A20" s="18"/>
      <c r="B20" s="19"/>
      <c r="C20" s="13" t="str">
        <f>IF(Tableau13456789101112[[#This Row],[Repère]]="","",VLOOKUP(Tableau13456789101112[[#This Row],[Repère]],Tableau1[#All],3,FALSE))</f>
        <v/>
      </c>
      <c r="D20" s="13" t="str">
        <f>IF(Tableau13456789101112[[#This Row],[Repère]]="","",VLOOKUP(Tableau13456789101112[[#This Row],[Repère]],Tableau1[#All],4,FALSE))</f>
        <v/>
      </c>
      <c r="E20" s="13" t="str">
        <f>IF(Tableau13456789101112[[#This Row],[Repère]]="","",VLOOKUP(Tableau13456789101112[[#This Row],[Repère]],Tableau1[#All],5,FALSE))</f>
        <v/>
      </c>
      <c r="F20" s="13" t="str">
        <f>IF(Tableau13456789101112[[#This Row],[Repère]]="","",VLOOKUP(Tableau13456789101112[[#This Row],[Repère]],Tableau1[#All],6,FALSE))</f>
        <v/>
      </c>
      <c r="G20" s="13" t="str">
        <f>IF(Tableau13456789101112[[#This Row],[Repère]]="","",VLOOKUP(Tableau13456789101112[[#This Row],[Repère]],Tableau1[#All],7,FALSE))</f>
        <v/>
      </c>
      <c r="H20" s="13" t="str">
        <f>IF(Tableau13456789101112[[#This Row],[Repère]]="","",VLOOKUP(Tableau13456789101112[[#This Row],[Repère]],Tableau1[#All],8,FALSE))</f>
        <v/>
      </c>
      <c r="I20" s="13" t="str">
        <f>IF(Tableau13456789101112[[#This Row],[Repère]]="","",VLOOKUP(Tableau13456789101112[[#This Row],[Repère]],Tableau1[#All],9,FALSE))</f>
        <v/>
      </c>
      <c r="J20" s="13" t="str">
        <f>IF(Tableau13456789101112[[#This Row],[Repère]]="","",VLOOKUP(Tableau13456789101112[[#This Row],[Repère]],Tableau1[#All],10,FALSE))</f>
        <v/>
      </c>
      <c r="K20" s="13" t="str">
        <f>IF(Tableau13456789101112[[#This Row],[Repère]]="","",VLOOKUP(Tableau13456789101112[[#This Row],[Repère]],Tableau1[#All],11,FALSE))</f>
        <v/>
      </c>
      <c r="L20" s="14" t="str">
        <f>IF(Tableau13456789101112[[#This Row],[Repère]]="","",VLOOKUP(Tableau13456789101112[[#This Row],[Repère]],Tableau1[#All],12,FALSE))</f>
        <v/>
      </c>
    </row>
    <row r="21" spans="1:12" x14ac:dyDescent="0.3">
      <c r="A21" s="18"/>
      <c r="B21" s="19"/>
      <c r="C21" s="13" t="str">
        <f>IF(Tableau13456789101112[[#This Row],[Repère]]="","",VLOOKUP(Tableau13456789101112[[#This Row],[Repère]],Tableau1[#All],3,FALSE))</f>
        <v/>
      </c>
      <c r="D21" s="13" t="str">
        <f>IF(Tableau13456789101112[[#This Row],[Repère]]="","",VLOOKUP(Tableau13456789101112[[#This Row],[Repère]],Tableau1[#All],4,FALSE))</f>
        <v/>
      </c>
      <c r="E21" s="13" t="str">
        <f>IF(Tableau13456789101112[[#This Row],[Repère]]="","",VLOOKUP(Tableau13456789101112[[#This Row],[Repère]],Tableau1[#All],5,FALSE))</f>
        <v/>
      </c>
      <c r="F21" s="13" t="str">
        <f>IF(Tableau13456789101112[[#This Row],[Repère]]="","",VLOOKUP(Tableau13456789101112[[#This Row],[Repère]],Tableau1[#All],6,FALSE))</f>
        <v/>
      </c>
      <c r="G21" s="13" t="str">
        <f>IF(Tableau13456789101112[[#This Row],[Repère]]="","",VLOOKUP(Tableau13456789101112[[#This Row],[Repère]],Tableau1[#All],7,FALSE))</f>
        <v/>
      </c>
      <c r="H21" s="13" t="str">
        <f>IF(Tableau13456789101112[[#This Row],[Repère]]="","",VLOOKUP(Tableau13456789101112[[#This Row],[Repère]],Tableau1[#All],8,FALSE))</f>
        <v/>
      </c>
      <c r="I21" s="13" t="str">
        <f>IF(Tableau13456789101112[[#This Row],[Repère]]="","",VLOOKUP(Tableau13456789101112[[#This Row],[Repère]],Tableau1[#All],9,FALSE))</f>
        <v/>
      </c>
      <c r="J21" s="13" t="str">
        <f>IF(Tableau13456789101112[[#This Row],[Repère]]="","",VLOOKUP(Tableau13456789101112[[#This Row],[Repère]],Tableau1[#All],10,FALSE))</f>
        <v/>
      </c>
      <c r="K21" s="13" t="str">
        <f>IF(Tableau13456789101112[[#This Row],[Repère]]="","",VLOOKUP(Tableau13456789101112[[#This Row],[Repère]],Tableau1[#All],11,FALSE))</f>
        <v/>
      </c>
      <c r="L21" s="14" t="str">
        <f>IF(Tableau13456789101112[[#This Row],[Repère]]="","",VLOOKUP(Tableau13456789101112[[#This Row],[Repère]],Tableau1[#All],12,FALSE))</f>
        <v/>
      </c>
    </row>
    <row r="22" spans="1:12" x14ac:dyDescent="0.3">
      <c r="A22" s="18"/>
      <c r="B22" s="19"/>
      <c r="C22" s="13" t="str">
        <f>IF(Tableau13456789101112[[#This Row],[Repère]]="","",VLOOKUP(Tableau13456789101112[[#This Row],[Repère]],Tableau1[#All],3,FALSE))</f>
        <v/>
      </c>
      <c r="D22" s="13" t="str">
        <f>IF(Tableau13456789101112[[#This Row],[Repère]]="","",VLOOKUP(Tableau13456789101112[[#This Row],[Repère]],Tableau1[#All],4,FALSE))</f>
        <v/>
      </c>
      <c r="E22" s="13" t="str">
        <f>IF(Tableau13456789101112[[#This Row],[Repère]]="","",VLOOKUP(Tableau13456789101112[[#This Row],[Repère]],Tableau1[#All],5,FALSE))</f>
        <v/>
      </c>
      <c r="F22" s="13" t="str">
        <f>IF(Tableau13456789101112[[#This Row],[Repère]]="","",VLOOKUP(Tableau13456789101112[[#This Row],[Repère]],Tableau1[#All],6,FALSE))</f>
        <v/>
      </c>
      <c r="G22" s="13" t="str">
        <f>IF(Tableau13456789101112[[#This Row],[Repère]]="","",VLOOKUP(Tableau13456789101112[[#This Row],[Repère]],Tableau1[#All],7,FALSE))</f>
        <v/>
      </c>
      <c r="H22" s="13" t="str">
        <f>IF(Tableau13456789101112[[#This Row],[Repère]]="","",VLOOKUP(Tableau13456789101112[[#This Row],[Repère]],Tableau1[#All],8,FALSE))</f>
        <v/>
      </c>
      <c r="I22" s="13" t="str">
        <f>IF(Tableau13456789101112[[#This Row],[Repère]]="","",VLOOKUP(Tableau13456789101112[[#This Row],[Repère]],Tableau1[#All],9,FALSE))</f>
        <v/>
      </c>
      <c r="J22" s="13" t="str">
        <f>IF(Tableau13456789101112[[#This Row],[Repère]]="","",VLOOKUP(Tableau13456789101112[[#This Row],[Repère]],Tableau1[#All],10,FALSE))</f>
        <v/>
      </c>
      <c r="K22" s="13" t="str">
        <f>IF(Tableau13456789101112[[#This Row],[Repère]]="","",VLOOKUP(Tableau13456789101112[[#This Row],[Repère]],Tableau1[#All],11,FALSE))</f>
        <v/>
      </c>
      <c r="L22" s="14" t="str">
        <f>IF(Tableau13456789101112[[#This Row],[Repère]]="","",VLOOKUP(Tableau13456789101112[[#This Row],[Repère]],Tableau1[#All],12,FALSE))</f>
        <v/>
      </c>
    </row>
    <row r="23" spans="1:12" x14ac:dyDescent="0.3">
      <c r="A23" s="18"/>
      <c r="B23" s="19"/>
      <c r="C23" s="13" t="str">
        <f>IF(Tableau13456789101112[[#This Row],[Repère]]="","",VLOOKUP(Tableau13456789101112[[#This Row],[Repère]],Tableau1[#All],3,FALSE))</f>
        <v/>
      </c>
      <c r="D23" s="13" t="str">
        <f>IF(Tableau13456789101112[[#This Row],[Repère]]="","",VLOOKUP(Tableau13456789101112[[#This Row],[Repère]],Tableau1[#All],4,FALSE))</f>
        <v/>
      </c>
      <c r="E23" s="13" t="str">
        <f>IF(Tableau13456789101112[[#This Row],[Repère]]="","",VLOOKUP(Tableau13456789101112[[#This Row],[Repère]],Tableau1[#All],5,FALSE))</f>
        <v/>
      </c>
      <c r="F23" s="13" t="str">
        <f>IF(Tableau13456789101112[[#This Row],[Repère]]="","",VLOOKUP(Tableau13456789101112[[#This Row],[Repère]],Tableau1[#All],6,FALSE))</f>
        <v/>
      </c>
      <c r="G23" s="13" t="str">
        <f>IF(Tableau13456789101112[[#This Row],[Repère]]="","",VLOOKUP(Tableau13456789101112[[#This Row],[Repère]],Tableau1[#All],7,FALSE))</f>
        <v/>
      </c>
      <c r="H23" s="13" t="str">
        <f>IF(Tableau13456789101112[[#This Row],[Repère]]="","",VLOOKUP(Tableau13456789101112[[#This Row],[Repère]],Tableau1[#All],8,FALSE))</f>
        <v/>
      </c>
      <c r="I23" s="13" t="str">
        <f>IF(Tableau13456789101112[[#This Row],[Repère]]="","",VLOOKUP(Tableau13456789101112[[#This Row],[Repère]],Tableau1[#All],9,FALSE))</f>
        <v/>
      </c>
      <c r="J23" s="13" t="str">
        <f>IF(Tableau13456789101112[[#This Row],[Repère]]="","",VLOOKUP(Tableau13456789101112[[#This Row],[Repère]],Tableau1[#All],10,FALSE))</f>
        <v/>
      </c>
      <c r="K23" s="13" t="str">
        <f>IF(Tableau13456789101112[[#This Row],[Repère]]="","",VLOOKUP(Tableau13456789101112[[#This Row],[Repère]],Tableau1[#All],11,FALSE))</f>
        <v/>
      </c>
      <c r="L23" s="14" t="str">
        <f>IF(Tableau13456789101112[[#This Row],[Repère]]="","",VLOOKUP(Tableau13456789101112[[#This Row],[Repère]],Tableau1[#All],12,FALSE))</f>
        <v/>
      </c>
    </row>
    <row r="24" spans="1:12" x14ac:dyDescent="0.3">
      <c r="A24" s="18"/>
      <c r="B24" s="19"/>
      <c r="C24" s="13" t="str">
        <f>IF(Tableau13456789101112[[#This Row],[Repère]]="","",VLOOKUP(Tableau13456789101112[[#This Row],[Repère]],Tableau1[#All],3,FALSE))</f>
        <v/>
      </c>
      <c r="D24" s="13" t="str">
        <f>IF(Tableau13456789101112[[#This Row],[Repère]]="","",VLOOKUP(Tableau13456789101112[[#This Row],[Repère]],Tableau1[#All],4,FALSE))</f>
        <v/>
      </c>
      <c r="E24" s="13" t="str">
        <f>IF(Tableau13456789101112[[#This Row],[Repère]]="","",VLOOKUP(Tableau13456789101112[[#This Row],[Repère]],Tableau1[#All],5,FALSE))</f>
        <v/>
      </c>
      <c r="F24" s="13" t="str">
        <f>IF(Tableau13456789101112[[#This Row],[Repère]]="","",VLOOKUP(Tableau13456789101112[[#This Row],[Repère]],Tableau1[#All],6,FALSE))</f>
        <v/>
      </c>
      <c r="G24" s="13" t="str">
        <f>IF(Tableau13456789101112[[#This Row],[Repère]]="","",VLOOKUP(Tableau13456789101112[[#This Row],[Repère]],Tableau1[#All],7,FALSE))</f>
        <v/>
      </c>
      <c r="H24" s="13" t="str">
        <f>IF(Tableau13456789101112[[#This Row],[Repère]]="","",VLOOKUP(Tableau13456789101112[[#This Row],[Repère]],Tableau1[#All],8,FALSE))</f>
        <v/>
      </c>
      <c r="I24" s="13" t="str">
        <f>IF(Tableau13456789101112[[#This Row],[Repère]]="","",VLOOKUP(Tableau13456789101112[[#This Row],[Repère]],Tableau1[#All],9,FALSE))</f>
        <v/>
      </c>
      <c r="J24" s="13" t="str">
        <f>IF(Tableau13456789101112[[#This Row],[Repère]]="","",VLOOKUP(Tableau13456789101112[[#This Row],[Repère]],Tableau1[#All],10,FALSE))</f>
        <v/>
      </c>
      <c r="K24" s="13" t="str">
        <f>IF(Tableau13456789101112[[#This Row],[Repère]]="","",VLOOKUP(Tableau13456789101112[[#This Row],[Repère]],Tableau1[#All],11,FALSE))</f>
        <v/>
      </c>
      <c r="L24" s="14" t="str">
        <f>IF(Tableau13456789101112[[#This Row],[Repère]]="","",VLOOKUP(Tableau13456789101112[[#This Row],[Repère]],Tableau1[#All],12,FALSE))</f>
        <v/>
      </c>
    </row>
    <row r="25" spans="1:12" x14ac:dyDescent="0.3">
      <c r="A25" s="18"/>
      <c r="B25" s="19"/>
      <c r="C25" s="13" t="str">
        <f>IF(Tableau13456789101112[[#This Row],[Repère]]="","",VLOOKUP(Tableau13456789101112[[#This Row],[Repère]],Tableau1[#All],3,FALSE))</f>
        <v/>
      </c>
      <c r="D25" s="13" t="str">
        <f>IF(Tableau13456789101112[[#This Row],[Repère]]="","",VLOOKUP(Tableau13456789101112[[#This Row],[Repère]],Tableau1[#All],4,FALSE))</f>
        <v/>
      </c>
      <c r="E25" s="13" t="str">
        <f>IF(Tableau13456789101112[[#This Row],[Repère]]="","",VLOOKUP(Tableau13456789101112[[#This Row],[Repère]],Tableau1[#All],5,FALSE))</f>
        <v/>
      </c>
      <c r="F25" s="13" t="str">
        <f>IF(Tableau13456789101112[[#This Row],[Repère]]="","",VLOOKUP(Tableau13456789101112[[#This Row],[Repère]],Tableau1[#All],6,FALSE))</f>
        <v/>
      </c>
      <c r="G25" s="13" t="str">
        <f>IF(Tableau13456789101112[[#This Row],[Repère]]="","",VLOOKUP(Tableau13456789101112[[#This Row],[Repère]],Tableau1[#All],7,FALSE))</f>
        <v/>
      </c>
      <c r="H25" s="13" t="str">
        <f>IF(Tableau13456789101112[[#This Row],[Repère]]="","",VLOOKUP(Tableau13456789101112[[#This Row],[Repère]],Tableau1[#All],8,FALSE))</f>
        <v/>
      </c>
      <c r="I25" s="13" t="str">
        <f>IF(Tableau13456789101112[[#This Row],[Repère]]="","",VLOOKUP(Tableau13456789101112[[#This Row],[Repère]],Tableau1[#All],9,FALSE))</f>
        <v/>
      </c>
      <c r="J25" s="13" t="str">
        <f>IF(Tableau13456789101112[[#This Row],[Repère]]="","",VLOOKUP(Tableau13456789101112[[#This Row],[Repère]],Tableau1[#All],10,FALSE))</f>
        <v/>
      </c>
      <c r="K25" s="13" t="str">
        <f>IF(Tableau13456789101112[[#This Row],[Repère]]="","",VLOOKUP(Tableau13456789101112[[#This Row],[Repère]],Tableau1[#All],11,FALSE))</f>
        <v/>
      </c>
      <c r="L25" s="14" t="str">
        <f>IF(Tableau13456789101112[[#This Row],[Repère]]="","",VLOOKUP(Tableau13456789101112[[#This Row],[Repère]],Tableau1[#All],12,FALSE))</f>
        <v/>
      </c>
    </row>
    <row r="26" spans="1:12" x14ac:dyDescent="0.3">
      <c r="A26" s="18"/>
      <c r="B26" s="19"/>
      <c r="C26" s="13" t="str">
        <f>IF(Tableau13456789101112[[#This Row],[Repère]]="","",VLOOKUP(Tableau13456789101112[[#This Row],[Repère]],Tableau1[#All],3,FALSE))</f>
        <v/>
      </c>
      <c r="D26" s="13" t="str">
        <f>IF(Tableau13456789101112[[#This Row],[Repère]]="","",VLOOKUP(Tableau13456789101112[[#This Row],[Repère]],Tableau1[#All],4,FALSE))</f>
        <v/>
      </c>
      <c r="E26" s="13" t="str">
        <f>IF(Tableau13456789101112[[#This Row],[Repère]]="","",VLOOKUP(Tableau13456789101112[[#This Row],[Repère]],Tableau1[#All],5,FALSE))</f>
        <v/>
      </c>
      <c r="F26" s="13" t="str">
        <f>IF(Tableau13456789101112[[#This Row],[Repère]]="","",VLOOKUP(Tableau13456789101112[[#This Row],[Repère]],Tableau1[#All],6,FALSE))</f>
        <v/>
      </c>
      <c r="G26" s="13" t="str">
        <f>IF(Tableau13456789101112[[#This Row],[Repère]]="","",VLOOKUP(Tableau13456789101112[[#This Row],[Repère]],Tableau1[#All],7,FALSE))</f>
        <v/>
      </c>
      <c r="H26" s="13" t="str">
        <f>IF(Tableau13456789101112[[#This Row],[Repère]]="","",VLOOKUP(Tableau13456789101112[[#This Row],[Repère]],Tableau1[#All],8,FALSE))</f>
        <v/>
      </c>
      <c r="I26" s="13" t="str">
        <f>IF(Tableau13456789101112[[#This Row],[Repère]]="","",VLOOKUP(Tableau13456789101112[[#This Row],[Repère]],Tableau1[#All],9,FALSE))</f>
        <v/>
      </c>
      <c r="J26" s="13" t="str">
        <f>IF(Tableau13456789101112[[#This Row],[Repère]]="","",VLOOKUP(Tableau13456789101112[[#This Row],[Repère]],Tableau1[#All],10,FALSE))</f>
        <v/>
      </c>
      <c r="K26" s="13" t="str">
        <f>IF(Tableau13456789101112[[#This Row],[Repère]]="","",VLOOKUP(Tableau13456789101112[[#This Row],[Repère]],Tableau1[#All],11,FALSE))</f>
        <v/>
      </c>
      <c r="L26" s="14" t="str">
        <f>IF(Tableau13456789101112[[#This Row],[Repère]]="","",VLOOKUP(Tableau13456789101112[[#This Row],[Repère]],Tableau1[#All],12,FALSE))</f>
        <v/>
      </c>
    </row>
    <row r="27" spans="1:12" x14ac:dyDescent="0.3">
      <c r="A27" s="18"/>
      <c r="B27" s="19"/>
      <c r="C27" s="13" t="str">
        <f>IF(Tableau13456789101112[[#This Row],[Repère]]="","",VLOOKUP(Tableau13456789101112[[#This Row],[Repère]],Tableau1[#All],3,FALSE))</f>
        <v/>
      </c>
      <c r="D27" s="13" t="str">
        <f>IF(Tableau13456789101112[[#This Row],[Repère]]="","",VLOOKUP(Tableau13456789101112[[#This Row],[Repère]],Tableau1[#All],4,FALSE))</f>
        <v/>
      </c>
      <c r="E27" s="13" t="str">
        <f>IF(Tableau13456789101112[[#This Row],[Repère]]="","",VLOOKUP(Tableau13456789101112[[#This Row],[Repère]],Tableau1[#All],5,FALSE))</f>
        <v/>
      </c>
      <c r="F27" s="13" t="str">
        <f>IF(Tableau13456789101112[[#This Row],[Repère]]="","",VLOOKUP(Tableau13456789101112[[#This Row],[Repère]],Tableau1[#All],6,FALSE))</f>
        <v/>
      </c>
      <c r="G27" s="13" t="str">
        <f>IF(Tableau13456789101112[[#This Row],[Repère]]="","",VLOOKUP(Tableau13456789101112[[#This Row],[Repère]],Tableau1[#All],7,FALSE))</f>
        <v/>
      </c>
      <c r="H27" s="13" t="str">
        <f>IF(Tableau13456789101112[[#This Row],[Repère]]="","",VLOOKUP(Tableau13456789101112[[#This Row],[Repère]],Tableau1[#All],8,FALSE))</f>
        <v/>
      </c>
      <c r="I27" s="13" t="str">
        <f>IF(Tableau13456789101112[[#This Row],[Repère]]="","",VLOOKUP(Tableau13456789101112[[#This Row],[Repère]],Tableau1[#All],9,FALSE))</f>
        <v/>
      </c>
      <c r="J27" s="13" t="str">
        <f>IF(Tableau13456789101112[[#This Row],[Repère]]="","",VLOOKUP(Tableau13456789101112[[#This Row],[Repère]],Tableau1[#All],10,FALSE))</f>
        <v/>
      </c>
      <c r="K27" s="13" t="str">
        <f>IF(Tableau13456789101112[[#This Row],[Repère]]="","",VLOOKUP(Tableau13456789101112[[#This Row],[Repère]],Tableau1[#All],11,FALSE))</f>
        <v/>
      </c>
      <c r="L27" s="14" t="str">
        <f>IF(Tableau13456789101112[[#This Row],[Repère]]="","",VLOOKUP(Tableau13456789101112[[#This Row],[Repère]],Tableau1[#All],12,FALSE))</f>
        <v/>
      </c>
    </row>
    <row r="28" spans="1:12" x14ac:dyDescent="0.3">
      <c r="A28" s="18"/>
      <c r="B28" s="19"/>
      <c r="C28" s="13" t="str">
        <f>IF(Tableau13456789101112[[#This Row],[Repère]]="","",VLOOKUP(Tableau13456789101112[[#This Row],[Repère]],Tableau1[#All],3,FALSE))</f>
        <v/>
      </c>
      <c r="D28" s="13" t="str">
        <f>IF(Tableau13456789101112[[#This Row],[Repère]]="","",VLOOKUP(Tableau13456789101112[[#This Row],[Repère]],Tableau1[#All],4,FALSE))</f>
        <v/>
      </c>
      <c r="E28" s="13" t="str">
        <f>IF(Tableau13456789101112[[#This Row],[Repère]]="","",VLOOKUP(Tableau13456789101112[[#This Row],[Repère]],Tableau1[#All],5,FALSE))</f>
        <v/>
      </c>
      <c r="F28" s="13" t="str">
        <f>IF(Tableau13456789101112[[#This Row],[Repère]]="","",VLOOKUP(Tableau13456789101112[[#This Row],[Repère]],Tableau1[#All],6,FALSE))</f>
        <v/>
      </c>
      <c r="G28" s="13" t="str">
        <f>IF(Tableau13456789101112[[#This Row],[Repère]]="","",VLOOKUP(Tableau13456789101112[[#This Row],[Repère]],Tableau1[#All],7,FALSE))</f>
        <v/>
      </c>
      <c r="H28" s="13" t="str">
        <f>IF(Tableau13456789101112[[#This Row],[Repère]]="","",VLOOKUP(Tableau13456789101112[[#This Row],[Repère]],Tableau1[#All],8,FALSE))</f>
        <v/>
      </c>
      <c r="I28" s="13" t="str">
        <f>IF(Tableau13456789101112[[#This Row],[Repère]]="","",VLOOKUP(Tableau13456789101112[[#This Row],[Repère]],Tableau1[#All],9,FALSE))</f>
        <v/>
      </c>
      <c r="J28" s="13" t="str">
        <f>IF(Tableau13456789101112[[#This Row],[Repère]]="","",VLOOKUP(Tableau13456789101112[[#This Row],[Repère]],Tableau1[#All],10,FALSE))</f>
        <v/>
      </c>
      <c r="K28" s="13" t="str">
        <f>IF(Tableau13456789101112[[#This Row],[Repère]]="","",VLOOKUP(Tableau13456789101112[[#This Row],[Repère]],Tableau1[#All],11,FALSE))</f>
        <v/>
      </c>
      <c r="L28" s="14" t="str">
        <f>IF(Tableau13456789101112[[#This Row],[Repère]]="","",VLOOKUP(Tableau13456789101112[[#This Row],[Repère]],Tableau1[#All],12,FALSE))</f>
        <v/>
      </c>
    </row>
    <row r="29" spans="1:12" x14ac:dyDescent="0.3">
      <c r="A29" s="18"/>
      <c r="B29" s="19"/>
      <c r="C29" s="13" t="str">
        <f>IF(Tableau13456789101112[[#This Row],[Repère]]="","",VLOOKUP(Tableau13456789101112[[#This Row],[Repère]],Tableau1[#All],3,FALSE))</f>
        <v/>
      </c>
      <c r="D29" s="13" t="str">
        <f>IF(Tableau13456789101112[[#This Row],[Repère]]="","",VLOOKUP(Tableau13456789101112[[#This Row],[Repère]],Tableau1[#All],4,FALSE))</f>
        <v/>
      </c>
      <c r="E29" s="13" t="str">
        <f>IF(Tableau13456789101112[[#This Row],[Repère]]="","",VLOOKUP(Tableau13456789101112[[#This Row],[Repère]],Tableau1[#All],5,FALSE))</f>
        <v/>
      </c>
      <c r="F29" s="13" t="str">
        <f>IF(Tableau13456789101112[[#This Row],[Repère]]="","",VLOOKUP(Tableau13456789101112[[#This Row],[Repère]],Tableau1[#All],6,FALSE))</f>
        <v/>
      </c>
      <c r="G29" s="13" t="str">
        <f>IF(Tableau13456789101112[[#This Row],[Repère]]="","",VLOOKUP(Tableau13456789101112[[#This Row],[Repère]],Tableau1[#All],7,FALSE))</f>
        <v/>
      </c>
      <c r="H29" s="13" t="str">
        <f>IF(Tableau13456789101112[[#This Row],[Repère]]="","",VLOOKUP(Tableau13456789101112[[#This Row],[Repère]],Tableau1[#All],8,FALSE))</f>
        <v/>
      </c>
      <c r="I29" s="13" t="str">
        <f>IF(Tableau13456789101112[[#This Row],[Repère]]="","",VLOOKUP(Tableau13456789101112[[#This Row],[Repère]],Tableau1[#All],9,FALSE))</f>
        <v/>
      </c>
      <c r="J29" s="13" t="str">
        <f>IF(Tableau13456789101112[[#This Row],[Repère]]="","",VLOOKUP(Tableau13456789101112[[#This Row],[Repère]],Tableau1[#All],10,FALSE))</f>
        <v/>
      </c>
      <c r="K29" s="13" t="str">
        <f>IF(Tableau13456789101112[[#This Row],[Repère]]="","",VLOOKUP(Tableau13456789101112[[#This Row],[Repère]],Tableau1[#All],11,FALSE))</f>
        <v/>
      </c>
      <c r="L29" s="14" t="str">
        <f>IF(Tableau13456789101112[[#This Row],[Repère]]="","",VLOOKUP(Tableau13456789101112[[#This Row],[Repère]],Tableau1[#All],12,FALSE))</f>
        <v/>
      </c>
    </row>
    <row r="30" spans="1:12" x14ac:dyDescent="0.3">
      <c r="A30" s="18"/>
      <c r="B30" s="19"/>
      <c r="C30" s="13" t="str">
        <f>IF(Tableau13456789101112[[#This Row],[Repère]]="","",VLOOKUP(Tableau13456789101112[[#This Row],[Repère]],Tableau1[#All],3,FALSE))</f>
        <v/>
      </c>
      <c r="D30" s="13" t="str">
        <f>IF(Tableau13456789101112[[#This Row],[Repère]]="","",VLOOKUP(Tableau13456789101112[[#This Row],[Repère]],Tableau1[#All],4,FALSE))</f>
        <v/>
      </c>
      <c r="E30" s="13" t="str">
        <f>IF(Tableau13456789101112[[#This Row],[Repère]]="","",VLOOKUP(Tableau13456789101112[[#This Row],[Repère]],Tableau1[#All],5,FALSE))</f>
        <v/>
      </c>
      <c r="F30" s="13" t="str">
        <f>IF(Tableau13456789101112[[#This Row],[Repère]]="","",VLOOKUP(Tableau13456789101112[[#This Row],[Repère]],Tableau1[#All],6,FALSE))</f>
        <v/>
      </c>
      <c r="G30" s="13" t="str">
        <f>IF(Tableau13456789101112[[#This Row],[Repère]]="","",VLOOKUP(Tableau13456789101112[[#This Row],[Repère]],Tableau1[#All],7,FALSE))</f>
        <v/>
      </c>
      <c r="H30" s="13" t="str">
        <f>IF(Tableau13456789101112[[#This Row],[Repère]]="","",VLOOKUP(Tableau13456789101112[[#This Row],[Repère]],Tableau1[#All],8,FALSE))</f>
        <v/>
      </c>
      <c r="I30" s="13" t="str">
        <f>IF(Tableau13456789101112[[#This Row],[Repère]]="","",VLOOKUP(Tableau13456789101112[[#This Row],[Repère]],Tableau1[#All],9,FALSE))</f>
        <v/>
      </c>
      <c r="J30" s="13" t="str">
        <f>IF(Tableau13456789101112[[#This Row],[Repère]]="","",VLOOKUP(Tableau13456789101112[[#This Row],[Repère]],Tableau1[#All],10,FALSE))</f>
        <v/>
      </c>
      <c r="K30" s="13" t="str">
        <f>IF(Tableau13456789101112[[#This Row],[Repère]]="","",VLOOKUP(Tableau13456789101112[[#This Row],[Repère]],Tableau1[#All],11,FALSE))</f>
        <v/>
      </c>
      <c r="L30" s="14" t="str">
        <f>IF(Tableau13456789101112[[#This Row],[Repère]]="","",VLOOKUP(Tableau13456789101112[[#This Row],[Repère]],Tableau1[#All],12,FALSE))</f>
        <v/>
      </c>
    </row>
    <row r="31" spans="1:12" x14ac:dyDescent="0.3">
      <c r="A31" s="18"/>
      <c r="B31" s="19"/>
      <c r="C31" s="13" t="str">
        <f>IF(Tableau13456789101112[[#This Row],[Repère]]="","",VLOOKUP(Tableau13456789101112[[#This Row],[Repère]],Tableau1[#All],3,FALSE))</f>
        <v/>
      </c>
      <c r="D31" s="13" t="str">
        <f>IF(Tableau13456789101112[[#This Row],[Repère]]="","",VLOOKUP(Tableau13456789101112[[#This Row],[Repère]],Tableau1[#All],4,FALSE))</f>
        <v/>
      </c>
      <c r="E31" s="13" t="str">
        <f>IF(Tableau13456789101112[[#This Row],[Repère]]="","",VLOOKUP(Tableau13456789101112[[#This Row],[Repère]],Tableau1[#All],5,FALSE))</f>
        <v/>
      </c>
      <c r="F31" s="13" t="str">
        <f>IF(Tableau13456789101112[[#This Row],[Repère]]="","",VLOOKUP(Tableau13456789101112[[#This Row],[Repère]],Tableau1[#All],6,FALSE))</f>
        <v/>
      </c>
      <c r="G31" s="13" t="str">
        <f>IF(Tableau13456789101112[[#This Row],[Repère]]="","",VLOOKUP(Tableau13456789101112[[#This Row],[Repère]],Tableau1[#All],7,FALSE))</f>
        <v/>
      </c>
      <c r="H31" s="13" t="str">
        <f>IF(Tableau13456789101112[[#This Row],[Repère]]="","",VLOOKUP(Tableau13456789101112[[#This Row],[Repère]],Tableau1[#All],8,FALSE))</f>
        <v/>
      </c>
      <c r="I31" s="13" t="str">
        <f>IF(Tableau13456789101112[[#This Row],[Repère]]="","",VLOOKUP(Tableau13456789101112[[#This Row],[Repère]],Tableau1[#All],9,FALSE))</f>
        <v/>
      </c>
      <c r="J31" s="13" t="str">
        <f>IF(Tableau13456789101112[[#This Row],[Repère]]="","",VLOOKUP(Tableau13456789101112[[#This Row],[Repère]],Tableau1[#All],10,FALSE))</f>
        <v/>
      </c>
      <c r="K31" s="13" t="str">
        <f>IF(Tableau13456789101112[[#This Row],[Repère]]="","",VLOOKUP(Tableau13456789101112[[#This Row],[Repère]],Tableau1[#All],11,FALSE))</f>
        <v/>
      </c>
      <c r="L31" s="14" t="str">
        <f>IF(Tableau13456789101112[[#This Row],[Repère]]="","",VLOOKUP(Tableau13456789101112[[#This Row],[Repère]],Tableau1[#All],12,FALSE))</f>
        <v/>
      </c>
    </row>
    <row r="32" spans="1:12" x14ac:dyDescent="0.3">
      <c r="A32" s="18"/>
      <c r="B32" s="19"/>
      <c r="C32" s="13" t="str">
        <f>IF(Tableau13456789101112[[#This Row],[Repère]]="","",VLOOKUP(Tableau13456789101112[[#This Row],[Repère]],Tableau1[#All],3,FALSE))</f>
        <v/>
      </c>
      <c r="D32" s="13" t="str">
        <f>IF(Tableau13456789101112[[#This Row],[Repère]]="","",VLOOKUP(Tableau13456789101112[[#This Row],[Repère]],Tableau1[#All],4,FALSE))</f>
        <v/>
      </c>
      <c r="E32" s="13" t="str">
        <f>IF(Tableau13456789101112[[#This Row],[Repère]]="","",VLOOKUP(Tableau13456789101112[[#This Row],[Repère]],Tableau1[#All],5,FALSE))</f>
        <v/>
      </c>
      <c r="F32" s="13" t="str">
        <f>IF(Tableau13456789101112[[#This Row],[Repère]]="","",VLOOKUP(Tableau13456789101112[[#This Row],[Repère]],Tableau1[#All],6,FALSE))</f>
        <v/>
      </c>
      <c r="G32" s="13" t="str">
        <f>IF(Tableau13456789101112[[#This Row],[Repère]]="","",VLOOKUP(Tableau13456789101112[[#This Row],[Repère]],Tableau1[#All],7,FALSE))</f>
        <v/>
      </c>
      <c r="H32" s="13" t="str">
        <f>IF(Tableau13456789101112[[#This Row],[Repère]]="","",VLOOKUP(Tableau13456789101112[[#This Row],[Repère]],Tableau1[#All],8,FALSE))</f>
        <v/>
      </c>
      <c r="I32" s="13" t="str">
        <f>IF(Tableau13456789101112[[#This Row],[Repère]]="","",VLOOKUP(Tableau13456789101112[[#This Row],[Repère]],Tableau1[#All],9,FALSE))</f>
        <v/>
      </c>
      <c r="J32" s="13" t="str">
        <f>IF(Tableau13456789101112[[#This Row],[Repère]]="","",VLOOKUP(Tableau13456789101112[[#This Row],[Repère]],Tableau1[#All],10,FALSE))</f>
        <v/>
      </c>
      <c r="K32" s="13" t="str">
        <f>IF(Tableau13456789101112[[#This Row],[Repère]]="","",VLOOKUP(Tableau13456789101112[[#This Row],[Repère]],Tableau1[#All],11,FALSE))</f>
        <v/>
      </c>
      <c r="L32" s="14" t="str">
        <f>IF(Tableau13456789101112[[#This Row],[Repère]]="","",VLOOKUP(Tableau13456789101112[[#This Row],[Repère]],Tableau1[#All],12,FALSE))</f>
        <v/>
      </c>
    </row>
    <row r="33" spans="1:12" x14ac:dyDescent="0.3">
      <c r="A33" s="18"/>
      <c r="B33" s="19"/>
      <c r="C33" s="13" t="str">
        <f>IF(Tableau13456789101112[[#This Row],[Repère]]="","",VLOOKUP(Tableau13456789101112[[#This Row],[Repère]],Tableau1[#All],3,FALSE))</f>
        <v/>
      </c>
      <c r="D33" s="13" t="str">
        <f>IF(Tableau13456789101112[[#This Row],[Repère]]="","",VLOOKUP(Tableau13456789101112[[#This Row],[Repère]],Tableau1[#All],4,FALSE))</f>
        <v/>
      </c>
      <c r="E33" s="13" t="str">
        <f>IF(Tableau13456789101112[[#This Row],[Repère]]="","",VLOOKUP(Tableau13456789101112[[#This Row],[Repère]],Tableau1[#All],5,FALSE))</f>
        <v/>
      </c>
      <c r="F33" s="13" t="str">
        <f>IF(Tableau13456789101112[[#This Row],[Repère]]="","",VLOOKUP(Tableau13456789101112[[#This Row],[Repère]],Tableau1[#All],6,FALSE))</f>
        <v/>
      </c>
      <c r="G33" s="13" t="str">
        <f>IF(Tableau13456789101112[[#This Row],[Repère]]="","",VLOOKUP(Tableau13456789101112[[#This Row],[Repère]],Tableau1[#All],7,FALSE))</f>
        <v/>
      </c>
      <c r="H33" s="13" t="str">
        <f>IF(Tableau13456789101112[[#This Row],[Repère]]="","",VLOOKUP(Tableau13456789101112[[#This Row],[Repère]],Tableau1[#All],8,FALSE))</f>
        <v/>
      </c>
      <c r="I33" s="13" t="str">
        <f>IF(Tableau13456789101112[[#This Row],[Repère]]="","",VLOOKUP(Tableau13456789101112[[#This Row],[Repère]],Tableau1[#All],9,FALSE))</f>
        <v/>
      </c>
      <c r="J33" s="13" t="str">
        <f>IF(Tableau13456789101112[[#This Row],[Repère]]="","",VLOOKUP(Tableau13456789101112[[#This Row],[Repère]],Tableau1[#All],10,FALSE))</f>
        <v/>
      </c>
      <c r="K33" s="13" t="str">
        <f>IF(Tableau13456789101112[[#This Row],[Repère]]="","",VLOOKUP(Tableau13456789101112[[#This Row],[Repère]],Tableau1[#All],11,FALSE))</f>
        <v/>
      </c>
      <c r="L33" s="14" t="str">
        <f>IF(Tableau13456789101112[[#This Row],[Repère]]="","",VLOOKUP(Tableau13456789101112[[#This Row],[Repère]],Tableau1[#All],12,FALSE))</f>
        <v/>
      </c>
    </row>
    <row r="34" spans="1:12" x14ac:dyDescent="0.3">
      <c r="A34" s="18"/>
      <c r="B34" s="19"/>
      <c r="C34" s="13" t="str">
        <f>IF(Tableau13456789101112[[#This Row],[Repère]]="","",VLOOKUP(Tableau13456789101112[[#This Row],[Repère]],Tableau1[#All],3,FALSE))</f>
        <v/>
      </c>
      <c r="D34" s="13" t="str">
        <f>IF(Tableau13456789101112[[#This Row],[Repère]]="","",VLOOKUP(Tableau13456789101112[[#This Row],[Repère]],Tableau1[#All],4,FALSE))</f>
        <v/>
      </c>
      <c r="E34" s="13" t="str">
        <f>IF(Tableau13456789101112[[#This Row],[Repère]]="","",VLOOKUP(Tableau13456789101112[[#This Row],[Repère]],Tableau1[#All],5,FALSE))</f>
        <v/>
      </c>
      <c r="F34" s="13" t="str">
        <f>IF(Tableau13456789101112[[#This Row],[Repère]]="","",VLOOKUP(Tableau13456789101112[[#This Row],[Repère]],Tableau1[#All],6,FALSE))</f>
        <v/>
      </c>
      <c r="G34" s="13" t="str">
        <f>IF(Tableau13456789101112[[#This Row],[Repère]]="","",VLOOKUP(Tableau13456789101112[[#This Row],[Repère]],Tableau1[#All],7,FALSE))</f>
        <v/>
      </c>
      <c r="H34" s="13" t="str">
        <f>IF(Tableau13456789101112[[#This Row],[Repère]]="","",VLOOKUP(Tableau13456789101112[[#This Row],[Repère]],Tableau1[#All],8,FALSE))</f>
        <v/>
      </c>
      <c r="I34" s="13" t="str">
        <f>IF(Tableau13456789101112[[#This Row],[Repère]]="","",VLOOKUP(Tableau13456789101112[[#This Row],[Repère]],Tableau1[#All],9,FALSE))</f>
        <v/>
      </c>
      <c r="J34" s="13" t="str">
        <f>IF(Tableau13456789101112[[#This Row],[Repère]]="","",VLOOKUP(Tableau13456789101112[[#This Row],[Repère]],Tableau1[#All],10,FALSE))</f>
        <v/>
      </c>
      <c r="K34" s="13" t="str">
        <f>IF(Tableau13456789101112[[#This Row],[Repère]]="","",VLOOKUP(Tableau13456789101112[[#This Row],[Repère]],Tableau1[#All],11,FALSE))</f>
        <v/>
      </c>
      <c r="L34" s="14" t="str">
        <f>IF(Tableau13456789101112[[#This Row],[Repère]]="","",VLOOKUP(Tableau13456789101112[[#This Row],[Repère]],Tableau1[#All],12,FALSE))</f>
        <v/>
      </c>
    </row>
    <row r="35" spans="1:12" x14ac:dyDescent="0.3">
      <c r="A35" s="18"/>
      <c r="B35" s="19"/>
      <c r="C35" s="13" t="str">
        <f>IF(Tableau13456789101112[[#This Row],[Repère]]="","",VLOOKUP(Tableau13456789101112[[#This Row],[Repère]],Tableau1[#All],3,FALSE))</f>
        <v/>
      </c>
      <c r="D35" s="13" t="str">
        <f>IF(Tableau13456789101112[[#This Row],[Repère]]="","",VLOOKUP(Tableau13456789101112[[#This Row],[Repère]],Tableau1[#All],4,FALSE))</f>
        <v/>
      </c>
      <c r="E35" s="13" t="str">
        <f>IF(Tableau13456789101112[[#This Row],[Repère]]="","",VLOOKUP(Tableau13456789101112[[#This Row],[Repère]],Tableau1[#All],5,FALSE))</f>
        <v/>
      </c>
      <c r="F35" s="13" t="str">
        <f>IF(Tableau13456789101112[[#This Row],[Repère]]="","",VLOOKUP(Tableau13456789101112[[#This Row],[Repère]],Tableau1[#All],6,FALSE))</f>
        <v/>
      </c>
      <c r="G35" s="13" t="str">
        <f>IF(Tableau13456789101112[[#This Row],[Repère]]="","",VLOOKUP(Tableau13456789101112[[#This Row],[Repère]],Tableau1[#All],7,FALSE))</f>
        <v/>
      </c>
      <c r="H35" s="13" t="str">
        <f>IF(Tableau13456789101112[[#This Row],[Repère]]="","",VLOOKUP(Tableau13456789101112[[#This Row],[Repère]],Tableau1[#All],8,FALSE))</f>
        <v/>
      </c>
      <c r="I35" s="13" t="str">
        <f>IF(Tableau13456789101112[[#This Row],[Repère]]="","",VLOOKUP(Tableau13456789101112[[#This Row],[Repère]],Tableau1[#All],9,FALSE))</f>
        <v/>
      </c>
      <c r="J35" s="13" t="str">
        <f>IF(Tableau13456789101112[[#This Row],[Repère]]="","",VLOOKUP(Tableau13456789101112[[#This Row],[Repère]],Tableau1[#All],10,FALSE))</f>
        <v/>
      </c>
      <c r="K35" s="13" t="str">
        <f>IF(Tableau13456789101112[[#This Row],[Repère]]="","",VLOOKUP(Tableau13456789101112[[#This Row],[Repère]],Tableau1[#All],11,FALSE))</f>
        <v/>
      </c>
      <c r="L35" s="14" t="str">
        <f>IF(Tableau13456789101112[[#This Row],[Repère]]="","",VLOOKUP(Tableau13456789101112[[#This Row],[Repère]],Tableau1[#All],12,FALSE))</f>
        <v/>
      </c>
    </row>
    <row r="36" spans="1:12" x14ac:dyDescent="0.3">
      <c r="A36" s="18"/>
      <c r="B36" s="19"/>
      <c r="C36" s="13" t="str">
        <f>IF(Tableau13456789101112[[#This Row],[Repère]]="","",VLOOKUP(Tableau13456789101112[[#This Row],[Repère]],Tableau1[#All],3,FALSE))</f>
        <v/>
      </c>
      <c r="D36" s="13" t="str">
        <f>IF(Tableau13456789101112[[#This Row],[Repère]]="","",VLOOKUP(Tableau13456789101112[[#This Row],[Repère]],Tableau1[#All],4,FALSE))</f>
        <v/>
      </c>
      <c r="E36" s="13" t="str">
        <f>IF(Tableau13456789101112[[#This Row],[Repère]]="","",VLOOKUP(Tableau13456789101112[[#This Row],[Repère]],Tableau1[#All],5,FALSE))</f>
        <v/>
      </c>
      <c r="F36" s="13" t="str">
        <f>IF(Tableau13456789101112[[#This Row],[Repère]]="","",VLOOKUP(Tableau13456789101112[[#This Row],[Repère]],Tableau1[#All],6,FALSE))</f>
        <v/>
      </c>
      <c r="G36" s="13" t="str">
        <f>IF(Tableau13456789101112[[#This Row],[Repère]]="","",VLOOKUP(Tableau13456789101112[[#This Row],[Repère]],Tableau1[#All],7,FALSE))</f>
        <v/>
      </c>
      <c r="H36" s="13" t="str">
        <f>IF(Tableau13456789101112[[#This Row],[Repère]]="","",VLOOKUP(Tableau13456789101112[[#This Row],[Repère]],Tableau1[#All],8,FALSE))</f>
        <v/>
      </c>
      <c r="I36" s="13" t="str">
        <f>IF(Tableau13456789101112[[#This Row],[Repère]]="","",VLOOKUP(Tableau13456789101112[[#This Row],[Repère]],Tableau1[#All],9,FALSE))</f>
        <v/>
      </c>
      <c r="J36" s="13" t="str">
        <f>IF(Tableau13456789101112[[#This Row],[Repère]]="","",VLOOKUP(Tableau13456789101112[[#This Row],[Repère]],Tableau1[#All],10,FALSE))</f>
        <v/>
      </c>
      <c r="K36" s="13" t="str">
        <f>IF(Tableau13456789101112[[#This Row],[Repère]]="","",VLOOKUP(Tableau13456789101112[[#This Row],[Repère]],Tableau1[#All],11,FALSE))</f>
        <v/>
      </c>
      <c r="L36" s="14" t="str">
        <f>IF(Tableau13456789101112[[#This Row],[Repère]]="","",VLOOKUP(Tableau13456789101112[[#This Row],[Repère]],Tableau1[#All],12,FALSE))</f>
        <v/>
      </c>
    </row>
    <row r="37" spans="1:12" x14ac:dyDescent="0.3">
      <c r="A37" s="18"/>
      <c r="B37" s="19"/>
      <c r="C37" s="13" t="str">
        <f>IF(Tableau13456789101112[[#This Row],[Repère]]="","",VLOOKUP(Tableau13456789101112[[#This Row],[Repère]],Tableau1[#All],3,FALSE))</f>
        <v/>
      </c>
      <c r="D37" s="13" t="str">
        <f>IF(Tableau13456789101112[[#This Row],[Repère]]="","",VLOOKUP(Tableau13456789101112[[#This Row],[Repère]],Tableau1[#All],4,FALSE))</f>
        <v/>
      </c>
      <c r="E37" s="13" t="str">
        <f>IF(Tableau13456789101112[[#This Row],[Repère]]="","",VLOOKUP(Tableau13456789101112[[#This Row],[Repère]],Tableau1[#All],5,FALSE))</f>
        <v/>
      </c>
      <c r="F37" s="13" t="str">
        <f>IF(Tableau13456789101112[[#This Row],[Repère]]="","",VLOOKUP(Tableau13456789101112[[#This Row],[Repère]],Tableau1[#All],6,FALSE))</f>
        <v/>
      </c>
      <c r="G37" s="13" t="str">
        <f>IF(Tableau13456789101112[[#This Row],[Repère]]="","",VLOOKUP(Tableau13456789101112[[#This Row],[Repère]],Tableau1[#All],7,FALSE))</f>
        <v/>
      </c>
      <c r="H37" s="13" t="str">
        <f>IF(Tableau13456789101112[[#This Row],[Repère]]="","",VLOOKUP(Tableau13456789101112[[#This Row],[Repère]],Tableau1[#All],8,FALSE))</f>
        <v/>
      </c>
      <c r="I37" s="13" t="str">
        <f>IF(Tableau13456789101112[[#This Row],[Repère]]="","",VLOOKUP(Tableau13456789101112[[#This Row],[Repère]],Tableau1[#All],9,FALSE))</f>
        <v/>
      </c>
      <c r="J37" s="13" t="str">
        <f>IF(Tableau13456789101112[[#This Row],[Repère]]="","",VLOOKUP(Tableau13456789101112[[#This Row],[Repère]],Tableau1[#All],10,FALSE))</f>
        <v/>
      </c>
      <c r="K37" s="13" t="str">
        <f>IF(Tableau13456789101112[[#This Row],[Repère]]="","",VLOOKUP(Tableau13456789101112[[#This Row],[Repère]],Tableau1[#All],11,FALSE))</f>
        <v/>
      </c>
      <c r="L37" s="14" t="str">
        <f>IF(Tableau13456789101112[[#This Row],[Repère]]="","",VLOOKUP(Tableau13456789101112[[#This Row],[Repère]],Tableau1[#All],12,FALSE))</f>
        <v/>
      </c>
    </row>
    <row r="38" spans="1:12" x14ac:dyDescent="0.3">
      <c r="A38" s="18"/>
      <c r="B38" s="19"/>
      <c r="C38" s="13" t="str">
        <f>IF(Tableau13456789101112[[#This Row],[Repère]]="","",VLOOKUP(Tableau13456789101112[[#This Row],[Repère]],Tableau1[#All],3,FALSE))</f>
        <v/>
      </c>
      <c r="D38" s="13" t="str">
        <f>IF(Tableau13456789101112[[#This Row],[Repère]]="","",VLOOKUP(Tableau13456789101112[[#This Row],[Repère]],Tableau1[#All],4,FALSE))</f>
        <v/>
      </c>
      <c r="E38" s="13" t="str">
        <f>IF(Tableau13456789101112[[#This Row],[Repère]]="","",VLOOKUP(Tableau13456789101112[[#This Row],[Repère]],Tableau1[#All],5,FALSE))</f>
        <v/>
      </c>
      <c r="F38" s="13" t="str">
        <f>IF(Tableau13456789101112[[#This Row],[Repère]]="","",VLOOKUP(Tableau13456789101112[[#This Row],[Repère]],Tableau1[#All],6,FALSE))</f>
        <v/>
      </c>
      <c r="G38" s="13" t="str">
        <f>IF(Tableau13456789101112[[#This Row],[Repère]]="","",VLOOKUP(Tableau13456789101112[[#This Row],[Repère]],Tableau1[#All],7,FALSE))</f>
        <v/>
      </c>
      <c r="H38" s="13" t="str">
        <f>IF(Tableau13456789101112[[#This Row],[Repère]]="","",VLOOKUP(Tableau13456789101112[[#This Row],[Repère]],Tableau1[#All],8,FALSE))</f>
        <v/>
      </c>
      <c r="I38" s="13" t="str">
        <f>IF(Tableau13456789101112[[#This Row],[Repère]]="","",VLOOKUP(Tableau13456789101112[[#This Row],[Repère]],Tableau1[#All],9,FALSE))</f>
        <v/>
      </c>
      <c r="J38" s="13" t="str">
        <f>IF(Tableau13456789101112[[#This Row],[Repère]]="","",VLOOKUP(Tableau13456789101112[[#This Row],[Repère]],Tableau1[#All],10,FALSE))</f>
        <v/>
      </c>
      <c r="K38" s="13" t="str">
        <f>IF(Tableau13456789101112[[#This Row],[Repère]]="","",VLOOKUP(Tableau13456789101112[[#This Row],[Repère]],Tableau1[#All],11,FALSE))</f>
        <v/>
      </c>
      <c r="L38" s="14" t="str">
        <f>IF(Tableau13456789101112[[#This Row],[Repère]]="","",VLOOKUP(Tableau13456789101112[[#This Row],[Repère]],Tableau1[#All],12,FALSE))</f>
        <v/>
      </c>
    </row>
    <row r="39" spans="1:12" x14ac:dyDescent="0.3">
      <c r="A39" s="18"/>
      <c r="B39" s="19"/>
      <c r="C39" s="13" t="str">
        <f>IF(Tableau13456789101112[[#This Row],[Repère]]="","",VLOOKUP(Tableau13456789101112[[#This Row],[Repère]],Tableau1[#All],3,FALSE))</f>
        <v/>
      </c>
      <c r="D39" s="13" t="str">
        <f>IF(Tableau13456789101112[[#This Row],[Repère]]="","",VLOOKUP(Tableau13456789101112[[#This Row],[Repère]],Tableau1[#All],4,FALSE))</f>
        <v/>
      </c>
      <c r="E39" s="13" t="str">
        <f>IF(Tableau13456789101112[[#This Row],[Repère]]="","",VLOOKUP(Tableau13456789101112[[#This Row],[Repère]],Tableau1[#All],5,FALSE))</f>
        <v/>
      </c>
      <c r="F39" s="13" t="str">
        <f>IF(Tableau13456789101112[[#This Row],[Repère]]="","",VLOOKUP(Tableau13456789101112[[#This Row],[Repère]],Tableau1[#All],6,FALSE))</f>
        <v/>
      </c>
      <c r="G39" s="13" t="str">
        <f>IF(Tableau13456789101112[[#This Row],[Repère]]="","",VLOOKUP(Tableau13456789101112[[#This Row],[Repère]],Tableau1[#All],7,FALSE))</f>
        <v/>
      </c>
      <c r="H39" s="13" t="str">
        <f>IF(Tableau13456789101112[[#This Row],[Repère]]="","",VLOOKUP(Tableau13456789101112[[#This Row],[Repère]],Tableau1[#All],8,FALSE))</f>
        <v/>
      </c>
      <c r="I39" s="13" t="str">
        <f>IF(Tableau13456789101112[[#This Row],[Repère]]="","",VLOOKUP(Tableau13456789101112[[#This Row],[Repère]],Tableau1[#All],9,FALSE))</f>
        <v/>
      </c>
      <c r="J39" s="13" t="str">
        <f>IF(Tableau13456789101112[[#This Row],[Repère]]="","",VLOOKUP(Tableau13456789101112[[#This Row],[Repère]],Tableau1[#All],10,FALSE))</f>
        <v/>
      </c>
      <c r="K39" s="13" t="str">
        <f>IF(Tableau13456789101112[[#This Row],[Repère]]="","",VLOOKUP(Tableau13456789101112[[#This Row],[Repère]],Tableau1[#All],11,FALSE))</f>
        <v/>
      </c>
      <c r="L39" s="14" t="str">
        <f>IF(Tableau13456789101112[[#This Row],[Repère]]="","",VLOOKUP(Tableau13456789101112[[#This Row],[Repère]],Tableau1[#All],12,FALSE))</f>
        <v/>
      </c>
    </row>
    <row r="40" spans="1:12" x14ac:dyDescent="0.3">
      <c r="A40" s="18"/>
      <c r="B40" s="19"/>
      <c r="C40" s="13" t="str">
        <f>IF(Tableau13456789101112[[#This Row],[Repère]]="","",VLOOKUP(Tableau13456789101112[[#This Row],[Repère]],Tableau1[#All],3,FALSE))</f>
        <v/>
      </c>
      <c r="D40" s="13" t="str">
        <f>IF(Tableau13456789101112[[#This Row],[Repère]]="","",VLOOKUP(Tableau13456789101112[[#This Row],[Repère]],Tableau1[#All],4,FALSE))</f>
        <v/>
      </c>
      <c r="E40" s="13" t="str">
        <f>IF(Tableau13456789101112[[#This Row],[Repère]]="","",VLOOKUP(Tableau13456789101112[[#This Row],[Repère]],Tableau1[#All],5,FALSE))</f>
        <v/>
      </c>
      <c r="F40" s="13" t="str">
        <f>IF(Tableau13456789101112[[#This Row],[Repère]]="","",VLOOKUP(Tableau13456789101112[[#This Row],[Repère]],Tableau1[#All],6,FALSE))</f>
        <v/>
      </c>
      <c r="G40" s="13" t="str">
        <f>IF(Tableau13456789101112[[#This Row],[Repère]]="","",VLOOKUP(Tableau13456789101112[[#This Row],[Repère]],Tableau1[#All],7,FALSE))</f>
        <v/>
      </c>
      <c r="H40" s="13" t="str">
        <f>IF(Tableau13456789101112[[#This Row],[Repère]]="","",VLOOKUP(Tableau13456789101112[[#This Row],[Repère]],Tableau1[#All],8,FALSE))</f>
        <v/>
      </c>
      <c r="I40" s="13" t="str">
        <f>IF(Tableau13456789101112[[#This Row],[Repère]]="","",VLOOKUP(Tableau13456789101112[[#This Row],[Repère]],Tableau1[#All],9,FALSE))</f>
        <v/>
      </c>
      <c r="J40" s="13" t="str">
        <f>IF(Tableau13456789101112[[#This Row],[Repère]]="","",VLOOKUP(Tableau13456789101112[[#This Row],[Repère]],Tableau1[#All],10,FALSE))</f>
        <v/>
      </c>
      <c r="K40" s="13" t="str">
        <f>IF(Tableau13456789101112[[#This Row],[Repère]]="","",VLOOKUP(Tableau13456789101112[[#This Row],[Repère]],Tableau1[#All],11,FALSE))</f>
        <v/>
      </c>
      <c r="L40" s="14" t="str">
        <f>IF(Tableau13456789101112[[#This Row],[Repère]]="","",VLOOKUP(Tableau13456789101112[[#This Row],[Repère]],Tableau1[#All],12,FALSE))</f>
        <v/>
      </c>
    </row>
    <row r="41" spans="1:12" x14ac:dyDescent="0.3">
      <c r="A41" s="18"/>
      <c r="B41" s="19"/>
      <c r="C41" s="13" t="str">
        <f>IF(Tableau13456789101112[[#This Row],[Repère]]="","",VLOOKUP(Tableau13456789101112[[#This Row],[Repère]],Tableau1[#All],3,FALSE))</f>
        <v/>
      </c>
      <c r="D41" s="13" t="str">
        <f>IF(Tableau13456789101112[[#This Row],[Repère]]="","",VLOOKUP(Tableau13456789101112[[#This Row],[Repère]],Tableau1[#All],4,FALSE))</f>
        <v/>
      </c>
      <c r="E41" s="13" t="str">
        <f>IF(Tableau13456789101112[[#This Row],[Repère]]="","",VLOOKUP(Tableau13456789101112[[#This Row],[Repère]],Tableau1[#All],5,FALSE))</f>
        <v/>
      </c>
      <c r="F41" s="13" t="str">
        <f>IF(Tableau13456789101112[[#This Row],[Repère]]="","",VLOOKUP(Tableau13456789101112[[#This Row],[Repère]],Tableau1[#All],6,FALSE))</f>
        <v/>
      </c>
      <c r="G41" s="13" t="str">
        <f>IF(Tableau13456789101112[[#This Row],[Repère]]="","",VLOOKUP(Tableau13456789101112[[#This Row],[Repère]],Tableau1[#All],7,FALSE))</f>
        <v/>
      </c>
      <c r="H41" s="13" t="str">
        <f>IF(Tableau13456789101112[[#This Row],[Repère]]="","",VLOOKUP(Tableau13456789101112[[#This Row],[Repère]],Tableau1[#All],8,FALSE))</f>
        <v/>
      </c>
      <c r="I41" s="13" t="str">
        <f>IF(Tableau13456789101112[[#This Row],[Repère]]="","",VLOOKUP(Tableau13456789101112[[#This Row],[Repère]],Tableau1[#All],9,FALSE))</f>
        <v/>
      </c>
      <c r="J41" s="13" t="str">
        <f>IF(Tableau13456789101112[[#This Row],[Repère]]="","",VLOOKUP(Tableau13456789101112[[#This Row],[Repère]],Tableau1[#All],10,FALSE))</f>
        <v/>
      </c>
      <c r="K41" s="13" t="str">
        <f>IF(Tableau13456789101112[[#This Row],[Repère]]="","",VLOOKUP(Tableau13456789101112[[#This Row],[Repère]],Tableau1[#All],11,FALSE))</f>
        <v/>
      </c>
      <c r="L41" s="14" t="str">
        <f>IF(Tableau13456789101112[[#This Row],[Repère]]="","",VLOOKUP(Tableau13456789101112[[#This Row],[Repère]],Tableau1[#All],12,FALSE))</f>
        <v/>
      </c>
    </row>
    <row r="42" spans="1:12" x14ac:dyDescent="0.3">
      <c r="A42" s="18"/>
      <c r="B42" s="19"/>
      <c r="C42" s="13" t="str">
        <f>IF(Tableau13456789101112[[#This Row],[Repère]]="","",VLOOKUP(Tableau13456789101112[[#This Row],[Repère]],Tableau1[#All],3,FALSE))</f>
        <v/>
      </c>
      <c r="D42" s="13" t="str">
        <f>IF(Tableau13456789101112[[#This Row],[Repère]]="","",VLOOKUP(Tableau13456789101112[[#This Row],[Repère]],Tableau1[#All],4,FALSE))</f>
        <v/>
      </c>
      <c r="E42" s="13" t="str">
        <f>IF(Tableau13456789101112[[#This Row],[Repère]]="","",VLOOKUP(Tableau13456789101112[[#This Row],[Repère]],Tableau1[#All],5,FALSE))</f>
        <v/>
      </c>
      <c r="F42" s="13" t="str">
        <f>IF(Tableau13456789101112[[#This Row],[Repère]]="","",VLOOKUP(Tableau13456789101112[[#This Row],[Repère]],Tableau1[#All],6,FALSE))</f>
        <v/>
      </c>
      <c r="G42" s="13" t="str">
        <f>IF(Tableau13456789101112[[#This Row],[Repère]]="","",VLOOKUP(Tableau13456789101112[[#This Row],[Repère]],Tableau1[#All],7,FALSE))</f>
        <v/>
      </c>
      <c r="H42" s="13" t="str">
        <f>IF(Tableau13456789101112[[#This Row],[Repère]]="","",VLOOKUP(Tableau13456789101112[[#This Row],[Repère]],Tableau1[#All],8,FALSE))</f>
        <v/>
      </c>
      <c r="I42" s="13" t="str">
        <f>IF(Tableau13456789101112[[#This Row],[Repère]]="","",VLOOKUP(Tableau13456789101112[[#This Row],[Repère]],Tableau1[#All],9,FALSE))</f>
        <v/>
      </c>
      <c r="J42" s="13" t="str">
        <f>IF(Tableau13456789101112[[#This Row],[Repère]]="","",VLOOKUP(Tableau13456789101112[[#This Row],[Repère]],Tableau1[#All],10,FALSE))</f>
        <v/>
      </c>
      <c r="K42" s="13" t="str">
        <f>IF(Tableau13456789101112[[#This Row],[Repère]]="","",VLOOKUP(Tableau13456789101112[[#This Row],[Repère]],Tableau1[#All],11,FALSE))</f>
        <v/>
      </c>
      <c r="L42" s="14" t="str">
        <f>IF(Tableau13456789101112[[#This Row],[Repère]]="","",VLOOKUP(Tableau13456789101112[[#This Row],[Repère]],Tableau1[#All],12,FALSE))</f>
        <v/>
      </c>
    </row>
    <row r="43" spans="1:12" x14ac:dyDescent="0.3">
      <c r="A43" s="18"/>
      <c r="B43" s="19"/>
      <c r="C43" s="13" t="str">
        <f>IF(Tableau13456789101112[[#This Row],[Repère]]="","",VLOOKUP(Tableau13456789101112[[#This Row],[Repère]],Tableau1[#All],3,FALSE))</f>
        <v/>
      </c>
      <c r="D43" s="13" t="str">
        <f>IF(Tableau13456789101112[[#This Row],[Repère]]="","",VLOOKUP(Tableau13456789101112[[#This Row],[Repère]],Tableau1[#All],4,FALSE))</f>
        <v/>
      </c>
      <c r="E43" s="13" t="str">
        <f>IF(Tableau13456789101112[[#This Row],[Repère]]="","",VLOOKUP(Tableau13456789101112[[#This Row],[Repère]],Tableau1[#All],5,FALSE))</f>
        <v/>
      </c>
      <c r="F43" s="13" t="str">
        <f>IF(Tableau13456789101112[[#This Row],[Repère]]="","",VLOOKUP(Tableau13456789101112[[#This Row],[Repère]],Tableau1[#All],6,FALSE))</f>
        <v/>
      </c>
      <c r="G43" s="13" t="str">
        <f>IF(Tableau13456789101112[[#This Row],[Repère]]="","",VLOOKUP(Tableau13456789101112[[#This Row],[Repère]],Tableau1[#All],7,FALSE))</f>
        <v/>
      </c>
      <c r="H43" s="13" t="str">
        <f>IF(Tableau13456789101112[[#This Row],[Repère]]="","",VLOOKUP(Tableau13456789101112[[#This Row],[Repère]],Tableau1[#All],8,FALSE))</f>
        <v/>
      </c>
      <c r="I43" s="13" t="str">
        <f>IF(Tableau13456789101112[[#This Row],[Repère]]="","",VLOOKUP(Tableau13456789101112[[#This Row],[Repère]],Tableau1[#All],9,FALSE))</f>
        <v/>
      </c>
      <c r="J43" s="13" t="str">
        <f>IF(Tableau13456789101112[[#This Row],[Repère]]="","",VLOOKUP(Tableau13456789101112[[#This Row],[Repère]],Tableau1[#All],10,FALSE))</f>
        <v/>
      </c>
      <c r="K43" s="13" t="str">
        <f>IF(Tableau13456789101112[[#This Row],[Repère]]="","",VLOOKUP(Tableau13456789101112[[#This Row],[Repère]],Tableau1[#All],11,FALSE))</f>
        <v/>
      </c>
      <c r="L43" s="14" t="str">
        <f>IF(Tableau13456789101112[[#This Row],[Repère]]="","",VLOOKUP(Tableau13456789101112[[#This Row],[Repère]],Tableau1[#All],12,FALSE))</f>
        <v/>
      </c>
    </row>
    <row r="44" spans="1:12" x14ac:dyDescent="0.3">
      <c r="A44" s="18"/>
      <c r="B44" s="19"/>
      <c r="C44" s="13" t="str">
        <f>IF(Tableau13456789101112[[#This Row],[Repère]]="","",VLOOKUP(Tableau13456789101112[[#This Row],[Repère]],Tableau1[#All],3,FALSE))</f>
        <v/>
      </c>
      <c r="D44" s="13" t="str">
        <f>IF(Tableau13456789101112[[#This Row],[Repère]]="","",VLOOKUP(Tableau13456789101112[[#This Row],[Repère]],Tableau1[#All],4,FALSE))</f>
        <v/>
      </c>
      <c r="E44" s="13" t="str">
        <f>IF(Tableau13456789101112[[#This Row],[Repère]]="","",VLOOKUP(Tableau13456789101112[[#This Row],[Repère]],Tableau1[#All],5,FALSE))</f>
        <v/>
      </c>
      <c r="F44" s="13" t="str">
        <f>IF(Tableau13456789101112[[#This Row],[Repère]]="","",VLOOKUP(Tableau13456789101112[[#This Row],[Repère]],Tableau1[#All],6,FALSE))</f>
        <v/>
      </c>
      <c r="G44" s="13" t="str">
        <f>IF(Tableau13456789101112[[#This Row],[Repère]]="","",VLOOKUP(Tableau13456789101112[[#This Row],[Repère]],Tableau1[#All],7,FALSE))</f>
        <v/>
      </c>
      <c r="H44" s="13" t="str">
        <f>IF(Tableau13456789101112[[#This Row],[Repère]]="","",VLOOKUP(Tableau13456789101112[[#This Row],[Repère]],Tableau1[#All],8,FALSE))</f>
        <v/>
      </c>
      <c r="I44" s="13" t="str">
        <f>IF(Tableau13456789101112[[#This Row],[Repère]]="","",VLOOKUP(Tableau13456789101112[[#This Row],[Repère]],Tableau1[#All],9,FALSE))</f>
        <v/>
      </c>
      <c r="J44" s="13" t="str">
        <f>IF(Tableau13456789101112[[#This Row],[Repère]]="","",VLOOKUP(Tableau13456789101112[[#This Row],[Repère]],Tableau1[#All],10,FALSE))</f>
        <v/>
      </c>
      <c r="K44" s="13" t="str">
        <f>IF(Tableau13456789101112[[#This Row],[Repère]]="","",VLOOKUP(Tableau13456789101112[[#This Row],[Repère]],Tableau1[#All],11,FALSE))</f>
        <v/>
      </c>
      <c r="L44" s="14" t="str">
        <f>IF(Tableau13456789101112[[#This Row],[Repère]]="","",VLOOKUP(Tableau13456789101112[[#This Row],[Repère]],Tableau1[#All],12,FALSE))</f>
        <v/>
      </c>
    </row>
    <row r="45" spans="1:12" x14ac:dyDescent="0.3">
      <c r="A45" s="18"/>
      <c r="B45" s="19"/>
      <c r="C45" s="13" t="str">
        <f>IF(Tableau13456789101112[[#This Row],[Repère]]="","",VLOOKUP(Tableau13456789101112[[#This Row],[Repère]],Tableau1[#All],3,FALSE))</f>
        <v/>
      </c>
      <c r="D45" s="13" t="str">
        <f>IF(Tableau13456789101112[[#This Row],[Repère]]="","",VLOOKUP(Tableau13456789101112[[#This Row],[Repère]],Tableau1[#All],4,FALSE))</f>
        <v/>
      </c>
      <c r="E45" s="13" t="str">
        <f>IF(Tableau13456789101112[[#This Row],[Repère]]="","",VLOOKUP(Tableau13456789101112[[#This Row],[Repère]],Tableau1[#All],5,FALSE))</f>
        <v/>
      </c>
      <c r="F45" s="13" t="str">
        <f>IF(Tableau13456789101112[[#This Row],[Repère]]="","",VLOOKUP(Tableau13456789101112[[#This Row],[Repère]],Tableau1[#All],6,FALSE))</f>
        <v/>
      </c>
      <c r="G45" s="13" t="str">
        <f>IF(Tableau13456789101112[[#This Row],[Repère]]="","",VLOOKUP(Tableau13456789101112[[#This Row],[Repère]],Tableau1[#All],7,FALSE))</f>
        <v/>
      </c>
      <c r="H45" s="13" t="str">
        <f>IF(Tableau13456789101112[[#This Row],[Repère]]="","",VLOOKUP(Tableau13456789101112[[#This Row],[Repère]],Tableau1[#All],8,FALSE))</f>
        <v/>
      </c>
      <c r="I45" s="13" t="str">
        <f>IF(Tableau13456789101112[[#This Row],[Repère]]="","",VLOOKUP(Tableau13456789101112[[#This Row],[Repère]],Tableau1[#All],9,FALSE))</f>
        <v/>
      </c>
      <c r="J45" s="13" t="str">
        <f>IF(Tableau13456789101112[[#This Row],[Repère]]="","",VLOOKUP(Tableau13456789101112[[#This Row],[Repère]],Tableau1[#All],10,FALSE))</f>
        <v/>
      </c>
      <c r="K45" s="13" t="str">
        <f>IF(Tableau13456789101112[[#This Row],[Repère]]="","",VLOOKUP(Tableau13456789101112[[#This Row],[Repère]],Tableau1[#All],11,FALSE))</f>
        <v/>
      </c>
      <c r="L45" s="14" t="str">
        <f>IF(Tableau13456789101112[[#This Row],[Repère]]="","",VLOOKUP(Tableau13456789101112[[#This Row],[Repère]],Tableau1[#All],12,FALSE))</f>
        <v/>
      </c>
    </row>
    <row r="46" spans="1:12" x14ac:dyDescent="0.3">
      <c r="A46" s="18"/>
      <c r="B46" s="19"/>
      <c r="C46" s="13" t="str">
        <f>IF(Tableau13456789101112[[#This Row],[Repère]]="","",VLOOKUP(Tableau13456789101112[[#This Row],[Repère]],Tableau1[#All],3,FALSE))</f>
        <v/>
      </c>
      <c r="D46" s="13" t="str">
        <f>IF(Tableau13456789101112[[#This Row],[Repère]]="","",VLOOKUP(Tableau13456789101112[[#This Row],[Repère]],Tableau1[#All],4,FALSE))</f>
        <v/>
      </c>
      <c r="E46" s="13" t="str">
        <f>IF(Tableau13456789101112[[#This Row],[Repère]]="","",VLOOKUP(Tableau13456789101112[[#This Row],[Repère]],Tableau1[#All],5,FALSE))</f>
        <v/>
      </c>
      <c r="F46" s="13" t="str">
        <f>IF(Tableau13456789101112[[#This Row],[Repère]]="","",VLOOKUP(Tableau13456789101112[[#This Row],[Repère]],Tableau1[#All],6,FALSE))</f>
        <v/>
      </c>
      <c r="G46" s="13" t="str">
        <f>IF(Tableau13456789101112[[#This Row],[Repère]]="","",VLOOKUP(Tableau13456789101112[[#This Row],[Repère]],Tableau1[#All],7,FALSE))</f>
        <v/>
      </c>
      <c r="H46" s="13" t="str">
        <f>IF(Tableau13456789101112[[#This Row],[Repère]]="","",VLOOKUP(Tableau13456789101112[[#This Row],[Repère]],Tableau1[#All],8,FALSE))</f>
        <v/>
      </c>
      <c r="I46" s="13" t="str">
        <f>IF(Tableau13456789101112[[#This Row],[Repère]]="","",VLOOKUP(Tableau13456789101112[[#This Row],[Repère]],Tableau1[#All],9,FALSE))</f>
        <v/>
      </c>
      <c r="J46" s="13" t="str">
        <f>IF(Tableau13456789101112[[#This Row],[Repère]]="","",VLOOKUP(Tableau13456789101112[[#This Row],[Repère]],Tableau1[#All],10,FALSE))</f>
        <v/>
      </c>
      <c r="K46" s="13" t="str">
        <f>IF(Tableau13456789101112[[#This Row],[Repère]]="","",VLOOKUP(Tableau13456789101112[[#This Row],[Repère]],Tableau1[#All],11,FALSE))</f>
        <v/>
      </c>
      <c r="L46" s="14" t="str">
        <f>IF(Tableau13456789101112[[#This Row],[Repère]]="","",VLOOKUP(Tableau13456789101112[[#This Row],[Repère]],Tableau1[#All],12,FALSE))</f>
        <v/>
      </c>
    </row>
    <row r="47" spans="1:12" x14ac:dyDescent="0.3">
      <c r="A47" s="18"/>
      <c r="B47" s="19"/>
      <c r="C47" s="13" t="str">
        <f>IF(Tableau13456789101112[[#This Row],[Repère]]="","",VLOOKUP(Tableau13456789101112[[#This Row],[Repère]],Tableau1[#All],3,FALSE))</f>
        <v/>
      </c>
      <c r="D47" s="13" t="str">
        <f>IF(Tableau13456789101112[[#This Row],[Repère]]="","",VLOOKUP(Tableau13456789101112[[#This Row],[Repère]],Tableau1[#All],4,FALSE))</f>
        <v/>
      </c>
      <c r="E47" s="13" t="str">
        <f>IF(Tableau13456789101112[[#This Row],[Repère]]="","",VLOOKUP(Tableau13456789101112[[#This Row],[Repère]],Tableau1[#All],5,FALSE))</f>
        <v/>
      </c>
      <c r="F47" s="13" t="str">
        <f>IF(Tableau13456789101112[[#This Row],[Repère]]="","",VLOOKUP(Tableau13456789101112[[#This Row],[Repère]],Tableau1[#All],6,FALSE))</f>
        <v/>
      </c>
      <c r="G47" s="13" t="str">
        <f>IF(Tableau13456789101112[[#This Row],[Repère]]="","",VLOOKUP(Tableau13456789101112[[#This Row],[Repère]],Tableau1[#All],7,FALSE))</f>
        <v/>
      </c>
      <c r="H47" s="13" t="str">
        <f>IF(Tableau13456789101112[[#This Row],[Repère]]="","",VLOOKUP(Tableau13456789101112[[#This Row],[Repère]],Tableau1[#All],8,FALSE))</f>
        <v/>
      </c>
      <c r="I47" s="13" t="str">
        <f>IF(Tableau13456789101112[[#This Row],[Repère]]="","",VLOOKUP(Tableau13456789101112[[#This Row],[Repère]],Tableau1[#All],9,FALSE))</f>
        <v/>
      </c>
      <c r="J47" s="13" t="str">
        <f>IF(Tableau13456789101112[[#This Row],[Repère]]="","",VLOOKUP(Tableau13456789101112[[#This Row],[Repère]],Tableau1[#All],10,FALSE))</f>
        <v/>
      </c>
      <c r="K47" s="13" t="str">
        <f>IF(Tableau13456789101112[[#This Row],[Repère]]="","",VLOOKUP(Tableau13456789101112[[#This Row],[Repère]],Tableau1[#All],11,FALSE))</f>
        <v/>
      </c>
      <c r="L47" s="14" t="str">
        <f>IF(Tableau13456789101112[[#This Row],[Repère]]="","",VLOOKUP(Tableau13456789101112[[#This Row],[Repère]],Tableau1[#All],12,FALSE))</f>
        <v/>
      </c>
    </row>
    <row r="48" spans="1:12" x14ac:dyDescent="0.3">
      <c r="A48" s="18"/>
      <c r="B48" s="19"/>
      <c r="C48" s="13" t="str">
        <f>IF(Tableau13456789101112[[#This Row],[Repère]]="","",VLOOKUP(Tableau13456789101112[[#This Row],[Repère]],Tableau1[#All],3,FALSE))</f>
        <v/>
      </c>
      <c r="D48" s="13" t="str">
        <f>IF(Tableau13456789101112[[#This Row],[Repère]]="","",VLOOKUP(Tableau13456789101112[[#This Row],[Repère]],Tableau1[#All],4,FALSE))</f>
        <v/>
      </c>
      <c r="E48" s="13" t="str">
        <f>IF(Tableau13456789101112[[#This Row],[Repère]]="","",VLOOKUP(Tableau13456789101112[[#This Row],[Repère]],Tableau1[#All],5,FALSE))</f>
        <v/>
      </c>
      <c r="F48" s="13" t="str">
        <f>IF(Tableau13456789101112[[#This Row],[Repère]]="","",VLOOKUP(Tableau13456789101112[[#This Row],[Repère]],Tableau1[#All],6,FALSE))</f>
        <v/>
      </c>
      <c r="G48" s="13" t="str">
        <f>IF(Tableau13456789101112[[#This Row],[Repère]]="","",VLOOKUP(Tableau13456789101112[[#This Row],[Repère]],Tableau1[#All],7,FALSE))</f>
        <v/>
      </c>
      <c r="H48" s="13" t="str">
        <f>IF(Tableau13456789101112[[#This Row],[Repère]]="","",VLOOKUP(Tableau13456789101112[[#This Row],[Repère]],Tableau1[#All],8,FALSE))</f>
        <v/>
      </c>
      <c r="I48" s="13" t="str">
        <f>IF(Tableau13456789101112[[#This Row],[Repère]]="","",VLOOKUP(Tableau13456789101112[[#This Row],[Repère]],Tableau1[#All],9,FALSE))</f>
        <v/>
      </c>
      <c r="J48" s="13" t="str">
        <f>IF(Tableau13456789101112[[#This Row],[Repère]]="","",VLOOKUP(Tableau13456789101112[[#This Row],[Repère]],Tableau1[#All],10,FALSE))</f>
        <v/>
      </c>
      <c r="K48" s="13" t="str">
        <f>IF(Tableau13456789101112[[#This Row],[Repère]]="","",VLOOKUP(Tableau13456789101112[[#This Row],[Repère]],Tableau1[#All],11,FALSE))</f>
        <v/>
      </c>
      <c r="L48" s="14" t="str">
        <f>IF(Tableau13456789101112[[#This Row],[Repère]]="","",VLOOKUP(Tableau13456789101112[[#This Row],[Repère]],Tableau1[#All],12,FALSE))</f>
        <v/>
      </c>
    </row>
    <row r="49" spans="1:12" x14ac:dyDescent="0.3">
      <c r="A49" s="18"/>
      <c r="B49" s="19"/>
      <c r="C49" s="13" t="str">
        <f>IF(Tableau13456789101112[[#This Row],[Repère]]="","",VLOOKUP(Tableau13456789101112[[#This Row],[Repère]],Tableau1[#All],3,FALSE))</f>
        <v/>
      </c>
      <c r="D49" s="13" t="str">
        <f>IF(Tableau13456789101112[[#This Row],[Repère]]="","",VLOOKUP(Tableau13456789101112[[#This Row],[Repère]],Tableau1[#All],4,FALSE))</f>
        <v/>
      </c>
      <c r="E49" s="13" t="str">
        <f>IF(Tableau13456789101112[[#This Row],[Repère]]="","",VLOOKUP(Tableau13456789101112[[#This Row],[Repère]],Tableau1[#All],5,FALSE))</f>
        <v/>
      </c>
      <c r="F49" s="13" t="str">
        <f>IF(Tableau13456789101112[[#This Row],[Repère]]="","",VLOOKUP(Tableau13456789101112[[#This Row],[Repère]],Tableau1[#All],6,FALSE))</f>
        <v/>
      </c>
      <c r="G49" s="13" t="str">
        <f>IF(Tableau13456789101112[[#This Row],[Repère]]="","",VLOOKUP(Tableau13456789101112[[#This Row],[Repère]],Tableau1[#All],7,FALSE))</f>
        <v/>
      </c>
      <c r="H49" s="13" t="str">
        <f>IF(Tableau13456789101112[[#This Row],[Repère]]="","",VLOOKUP(Tableau13456789101112[[#This Row],[Repère]],Tableau1[#All],8,FALSE))</f>
        <v/>
      </c>
      <c r="I49" s="13" t="str">
        <f>IF(Tableau13456789101112[[#This Row],[Repère]]="","",VLOOKUP(Tableau13456789101112[[#This Row],[Repère]],Tableau1[#All],9,FALSE))</f>
        <v/>
      </c>
      <c r="J49" s="13" t="str">
        <f>IF(Tableau13456789101112[[#This Row],[Repère]]="","",VLOOKUP(Tableau13456789101112[[#This Row],[Repère]],Tableau1[#All],10,FALSE))</f>
        <v/>
      </c>
      <c r="K49" s="13" t="str">
        <f>IF(Tableau13456789101112[[#This Row],[Repère]]="","",VLOOKUP(Tableau13456789101112[[#This Row],[Repère]],Tableau1[#All],11,FALSE))</f>
        <v/>
      </c>
      <c r="L49" s="14" t="str">
        <f>IF(Tableau13456789101112[[#This Row],[Repère]]="","",VLOOKUP(Tableau13456789101112[[#This Row],[Repère]],Tableau1[#All],12,FALSE))</f>
        <v/>
      </c>
    </row>
    <row r="50" spans="1:12" x14ac:dyDescent="0.3">
      <c r="A50" s="18"/>
      <c r="B50" s="19"/>
      <c r="C50" s="13" t="str">
        <f>IF(Tableau13456789101112[[#This Row],[Repère]]="","",VLOOKUP(Tableau13456789101112[[#This Row],[Repère]],Tableau1[#All],3,FALSE))</f>
        <v/>
      </c>
      <c r="D50" s="13" t="str">
        <f>IF(Tableau13456789101112[[#This Row],[Repère]]="","",VLOOKUP(Tableau13456789101112[[#This Row],[Repère]],Tableau1[#All],4,FALSE))</f>
        <v/>
      </c>
      <c r="E50" s="13" t="str">
        <f>IF(Tableau13456789101112[[#This Row],[Repère]]="","",VLOOKUP(Tableau13456789101112[[#This Row],[Repère]],Tableau1[#All],5,FALSE))</f>
        <v/>
      </c>
      <c r="F50" s="13" t="str">
        <f>IF(Tableau13456789101112[[#This Row],[Repère]]="","",VLOOKUP(Tableau13456789101112[[#This Row],[Repère]],Tableau1[#All],6,FALSE))</f>
        <v/>
      </c>
      <c r="G50" s="13" t="str">
        <f>IF(Tableau13456789101112[[#This Row],[Repère]]="","",VLOOKUP(Tableau13456789101112[[#This Row],[Repère]],Tableau1[#All],7,FALSE))</f>
        <v/>
      </c>
      <c r="H50" s="13" t="str">
        <f>IF(Tableau13456789101112[[#This Row],[Repère]]="","",VLOOKUP(Tableau13456789101112[[#This Row],[Repère]],Tableau1[#All],8,FALSE))</f>
        <v/>
      </c>
      <c r="I50" s="13" t="str">
        <f>IF(Tableau13456789101112[[#This Row],[Repère]]="","",VLOOKUP(Tableau13456789101112[[#This Row],[Repère]],Tableau1[#All],9,FALSE))</f>
        <v/>
      </c>
      <c r="J50" s="13" t="str">
        <f>IF(Tableau13456789101112[[#This Row],[Repère]]="","",VLOOKUP(Tableau13456789101112[[#This Row],[Repère]],Tableau1[#All],10,FALSE))</f>
        <v/>
      </c>
      <c r="K50" s="13" t="str">
        <f>IF(Tableau13456789101112[[#This Row],[Repère]]="","",VLOOKUP(Tableau13456789101112[[#This Row],[Repère]],Tableau1[#All],11,FALSE))</f>
        <v/>
      </c>
      <c r="L50" s="14" t="str">
        <f>IF(Tableau13456789101112[[#This Row],[Repère]]="","",VLOOKUP(Tableau13456789101112[[#This Row],[Repère]],Tableau1[#All],12,FALSE))</f>
        <v/>
      </c>
    </row>
    <row r="51" spans="1:12" x14ac:dyDescent="0.3">
      <c r="A51" s="18"/>
      <c r="B51" s="19"/>
      <c r="C51" s="13" t="str">
        <f>IF(Tableau13456789101112[[#This Row],[Repère]]="","",VLOOKUP(Tableau13456789101112[[#This Row],[Repère]],Tableau1[#All],3,FALSE))</f>
        <v/>
      </c>
      <c r="D51" s="13" t="str">
        <f>IF(Tableau13456789101112[[#This Row],[Repère]]="","",VLOOKUP(Tableau13456789101112[[#This Row],[Repère]],Tableau1[#All],4,FALSE))</f>
        <v/>
      </c>
      <c r="E51" s="13" t="str">
        <f>IF(Tableau13456789101112[[#This Row],[Repère]]="","",VLOOKUP(Tableau13456789101112[[#This Row],[Repère]],Tableau1[#All],5,FALSE))</f>
        <v/>
      </c>
      <c r="F51" s="13" t="str">
        <f>IF(Tableau13456789101112[[#This Row],[Repère]]="","",VLOOKUP(Tableau13456789101112[[#This Row],[Repère]],Tableau1[#All],6,FALSE))</f>
        <v/>
      </c>
      <c r="G51" s="13" t="str">
        <f>IF(Tableau13456789101112[[#This Row],[Repère]]="","",VLOOKUP(Tableau13456789101112[[#This Row],[Repère]],Tableau1[#All],7,FALSE))</f>
        <v/>
      </c>
      <c r="H51" s="13" t="str">
        <f>IF(Tableau13456789101112[[#This Row],[Repère]]="","",VLOOKUP(Tableau13456789101112[[#This Row],[Repère]],Tableau1[#All],8,FALSE))</f>
        <v/>
      </c>
      <c r="I51" s="13" t="str">
        <f>IF(Tableau13456789101112[[#This Row],[Repère]]="","",VLOOKUP(Tableau13456789101112[[#This Row],[Repère]],Tableau1[#All],9,FALSE))</f>
        <v/>
      </c>
      <c r="J51" s="13" t="str">
        <f>IF(Tableau13456789101112[[#This Row],[Repère]]="","",VLOOKUP(Tableau13456789101112[[#This Row],[Repère]],Tableau1[#All],10,FALSE))</f>
        <v/>
      </c>
      <c r="K51" s="13" t="str">
        <f>IF(Tableau13456789101112[[#This Row],[Repère]]="","",VLOOKUP(Tableau13456789101112[[#This Row],[Repère]],Tableau1[#All],11,FALSE))</f>
        <v/>
      </c>
      <c r="L51" s="14" t="str">
        <f>IF(Tableau13456789101112[[#This Row],[Repère]]="","",VLOOKUP(Tableau13456789101112[[#This Row],[Repère]],Tableau1[#All],12,FALSE))</f>
        <v/>
      </c>
    </row>
    <row r="52" spans="1:12" x14ac:dyDescent="0.3">
      <c r="A52" s="18"/>
      <c r="B52" s="19"/>
      <c r="C52" s="13" t="str">
        <f>IF(Tableau13456789101112[[#This Row],[Repère]]="","",VLOOKUP(Tableau13456789101112[[#This Row],[Repère]],Tableau1[#All],3,FALSE))</f>
        <v/>
      </c>
      <c r="D52" s="13" t="str">
        <f>IF(Tableau13456789101112[[#This Row],[Repère]]="","",VLOOKUP(Tableau13456789101112[[#This Row],[Repère]],Tableau1[#All],4,FALSE))</f>
        <v/>
      </c>
      <c r="E52" s="13" t="str">
        <f>IF(Tableau13456789101112[[#This Row],[Repère]]="","",VLOOKUP(Tableau13456789101112[[#This Row],[Repère]],Tableau1[#All],5,FALSE))</f>
        <v/>
      </c>
      <c r="F52" s="13" t="str">
        <f>IF(Tableau13456789101112[[#This Row],[Repère]]="","",VLOOKUP(Tableau13456789101112[[#This Row],[Repère]],Tableau1[#All],6,FALSE))</f>
        <v/>
      </c>
      <c r="G52" s="13" t="str">
        <f>IF(Tableau13456789101112[[#This Row],[Repère]]="","",VLOOKUP(Tableau13456789101112[[#This Row],[Repère]],Tableau1[#All],7,FALSE))</f>
        <v/>
      </c>
      <c r="H52" s="13" t="str">
        <f>IF(Tableau13456789101112[[#This Row],[Repère]]="","",VLOOKUP(Tableau13456789101112[[#This Row],[Repère]],Tableau1[#All],8,FALSE))</f>
        <v/>
      </c>
      <c r="I52" s="13" t="str">
        <f>IF(Tableau13456789101112[[#This Row],[Repère]]="","",VLOOKUP(Tableau13456789101112[[#This Row],[Repère]],Tableau1[#All],9,FALSE))</f>
        <v/>
      </c>
      <c r="J52" s="13" t="str">
        <f>IF(Tableau13456789101112[[#This Row],[Repère]]="","",VLOOKUP(Tableau13456789101112[[#This Row],[Repère]],Tableau1[#All],10,FALSE))</f>
        <v/>
      </c>
      <c r="K52" s="13" t="str">
        <f>IF(Tableau13456789101112[[#This Row],[Repère]]="","",VLOOKUP(Tableau13456789101112[[#This Row],[Repère]],Tableau1[#All],11,FALSE))</f>
        <v/>
      </c>
      <c r="L52" s="14" t="str">
        <f>IF(Tableau13456789101112[[#This Row],[Repère]]="","",VLOOKUP(Tableau13456789101112[[#This Row],[Repère]],Tableau1[#All],12,FALSE))</f>
        <v/>
      </c>
    </row>
    <row r="53" spans="1:12" x14ac:dyDescent="0.3">
      <c r="A53" s="18"/>
      <c r="B53" s="19"/>
      <c r="C53" s="13" t="str">
        <f>IF(Tableau13456789101112[[#This Row],[Repère]]="","",VLOOKUP(Tableau13456789101112[[#This Row],[Repère]],Tableau1[#All],3,FALSE))</f>
        <v/>
      </c>
      <c r="D53" s="13" t="str">
        <f>IF(Tableau13456789101112[[#This Row],[Repère]]="","",VLOOKUP(Tableau13456789101112[[#This Row],[Repère]],Tableau1[#All],4,FALSE))</f>
        <v/>
      </c>
      <c r="E53" s="13" t="str">
        <f>IF(Tableau13456789101112[[#This Row],[Repère]]="","",VLOOKUP(Tableau13456789101112[[#This Row],[Repère]],Tableau1[#All],5,FALSE))</f>
        <v/>
      </c>
      <c r="F53" s="13" t="str">
        <f>IF(Tableau13456789101112[[#This Row],[Repère]]="","",VLOOKUP(Tableau13456789101112[[#This Row],[Repère]],Tableau1[#All],6,FALSE))</f>
        <v/>
      </c>
      <c r="G53" s="13" t="str">
        <f>IF(Tableau13456789101112[[#This Row],[Repère]]="","",VLOOKUP(Tableau13456789101112[[#This Row],[Repère]],Tableau1[#All],7,FALSE))</f>
        <v/>
      </c>
      <c r="H53" s="13" t="str">
        <f>IF(Tableau13456789101112[[#This Row],[Repère]]="","",VLOOKUP(Tableau13456789101112[[#This Row],[Repère]],Tableau1[#All],8,FALSE))</f>
        <v/>
      </c>
      <c r="I53" s="13" t="str">
        <f>IF(Tableau13456789101112[[#This Row],[Repère]]="","",VLOOKUP(Tableau13456789101112[[#This Row],[Repère]],Tableau1[#All],9,FALSE))</f>
        <v/>
      </c>
      <c r="J53" s="13" t="str">
        <f>IF(Tableau13456789101112[[#This Row],[Repère]]="","",VLOOKUP(Tableau13456789101112[[#This Row],[Repère]],Tableau1[#All],10,FALSE))</f>
        <v/>
      </c>
      <c r="K53" s="13" t="str">
        <f>IF(Tableau13456789101112[[#This Row],[Repère]]="","",VLOOKUP(Tableau13456789101112[[#This Row],[Repère]],Tableau1[#All],11,FALSE))</f>
        <v/>
      </c>
      <c r="L53" s="14" t="str">
        <f>IF(Tableau13456789101112[[#This Row],[Repère]]="","",VLOOKUP(Tableau13456789101112[[#This Row],[Repère]],Tableau1[#All],12,FALSE))</f>
        <v/>
      </c>
    </row>
    <row r="54" spans="1:12" x14ac:dyDescent="0.3">
      <c r="A54" s="18"/>
      <c r="B54" s="19"/>
      <c r="C54" s="13" t="str">
        <f>IF(Tableau13456789101112[[#This Row],[Repère]]="","",VLOOKUP(Tableau13456789101112[[#This Row],[Repère]],Tableau1[#All],3,FALSE))</f>
        <v/>
      </c>
      <c r="D54" s="13" t="str">
        <f>IF(Tableau13456789101112[[#This Row],[Repère]]="","",VLOOKUP(Tableau13456789101112[[#This Row],[Repère]],Tableau1[#All],4,FALSE))</f>
        <v/>
      </c>
      <c r="E54" s="13" t="str">
        <f>IF(Tableau13456789101112[[#This Row],[Repère]]="","",VLOOKUP(Tableau13456789101112[[#This Row],[Repère]],Tableau1[#All],5,FALSE))</f>
        <v/>
      </c>
      <c r="F54" s="13" t="str">
        <f>IF(Tableau13456789101112[[#This Row],[Repère]]="","",VLOOKUP(Tableau13456789101112[[#This Row],[Repère]],Tableau1[#All],6,FALSE))</f>
        <v/>
      </c>
      <c r="G54" s="13" t="str">
        <f>IF(Tableau13456789101112[[#This Row],[Repère]]="","",VLOOKUP(Tableau13456789101112[[#This Row],[Repère]],Tableau1[#All],7,FALSE))</f>
        <v/>
      </c>
      <c r="H54" s="13" t="str">
        <f>IF(Tableau13456789101112[[#This Row],[Repère]]="","",VLOOKUP(Tableau13456789101112[[#This Row],[Repère]],Tableau1[#All],8,FALSE))</f>
        <v/>
      </c>
      <c r="I54" s="13" t="str">
        <f>IF(Tableau13456789101112[[#This Row],[Repère]]="","",VLOOKUP(Tableau13456789101112[[#This Row],[Repère]],Tableau1[#All],9,FALSE))</f>
        <v/>
      </c>
      <c r="J54" s="13" t="str">
        <f>IF(Tableau13456789101112[[#This Row],[Repère]]="","",VLOOKUP(Tableau13456789101112[[#This Row],[Repère]],Tableau1[#All],10,FALSE))</f>
        <v/>
      </c>
      <c r="K54" s="13" t="str">
        <f>IF(Tableau13456789101112[[#This Row],[Repère]]="","",VLOOKUP(Tableau13456789101112[[#This Row],[Repère]],Tableau1[#All],11,FALSE))</f>
        <v/>
      </c>
      <c r="L54" s="14" t="str">
        <f>IF(Tableau13456789101112[[#This Row],[Repère]]="","",VLOOKUP(Tableau13456789101112[[#This Row],[Repère]],Tableau1[#All],12,FALSE))</f>
        <v/>
      </c>
    </row>
    <row r="55" spans="1:12" x14ac:dyDescent="0.3">
      <c r="A55" s="18"/>
      <c r="B55" s="19"/>
      <c r="C55" s="13" t="str">
        <f>IF(Tableau13456789101112[[#This Row],[Repère]]="","",VLOOKUP(Tableau13456789101112[[#This Row],[Repère]],Tableau1[#All],3,FALSE))</f>
        <v/>
      </c>
      <c r="D55" s="13" t="str">
        <f>IF(Tableau13456789101112[[#This Row],[Repère]]="","",VLOOKUP(Tableau13456789101112[[#This Row],[Repère]],Tableau1[#All],4,FALSE))</f>
        <v/>
      </c>
      <c r="E55" s="13" t="str">
        <f>IF(Tableau13456789101112[[#This Row],[Repère]]="","",VLOOKUP(Tableau13456789101112[[#This Row],[Repère]],Tableau1[#All],5,FALSE))</f>
        <v/>
      </c>
      <c r="F55" s="13" t="str">
        <f>IF(Tableau13456789101112[[#This Row],[Repère]]="","",VLOOKUP(Tableau13456789101112[[#This Row],[Repère]],Tableau1[#All],6,FALSE))</f>
        <v/>
      </c>
      <c r="G55" s="13" t="str">
        <f>IF(Tableau13456789101112[[#This Row],[Repère]]="","",VLOOKUP(Tableau13456789101112[[#This Row],[Repère]],Tableau1[#All],7,FALSE))</f>
        <v/>
      </c>
      <c r="H55" s="13" t="str">
        <f>IF(Tableau13456789101112[[#This Row],[Repère]]="","",VLOOKUP(Tableau13456789101112[[#This Row],[Repère]],Tableau1[#All],8,FALSE))</f>
        <v/>
      </c>
      <c r="I55" s="13" t="str">
        <f>IF(Tableau13456789101112[[#This Row],[Repère]]="","",VLOOKUP(Tableau13456789101112[[#This Row],[Repère]],Tableau1[#All],9,FALSE))</f>
        <v/>
      </c>
      <c r="J55" s="13" t="str">
        <f>IF(Tableau13456789101112[[#This Row],[Repère]]="","",VLOOKUP(Tableau13456789101112[[#This Row],[Repère]],Tableau1[#All],10,FALSE))</f>
        <v/>
      </c>
      <c r="K55" s="13" t="str">
        <f>IF(Tableau13456789101112[[#This Row],[Repère]]="","",VLOOKUP(Tableau13456789101112[[#This Row],[Repère]],Tableau1[#All],11,FALSE))</f>
        <v/>
      </c>
      <c r="L55" s="14" t="str">
        <f>IF(Tableau13456789101112[[#This Row],[Repère]]="","",VLOOKUP(Tableau13456789101112[[#This Row],[Repère]],Tableau1[#All],12,FALSE))</f>
        <v/>
      </c>
    </row>
    <row r="56" spans="1:12" x14ac:dyDescent="0.3">
      <c r="A56" s="18"/>
      <c r="B56" s="19"/>
      <c r="C56" s="13" t="str">
        <f>IF(Tableau13456789101112[[#This Row],[Repère]]="","",VLOOKUP(Tableau13456789101112[[#This Row],[Repère]],Tableau1[#All],3,FALSE))</f>
        <v/>
      </c>
      <c r="D56" s="13" t="str">
        <f>IF(Tableau13456789101112[[#This Row],[Repère]]="","",VLOOKUP(Tableau13456789101112[[#This Row],[Repère]],Tableau1[#All],4,FALSE))</f>
        <v/>
      </c>
      <c r="E56" s="13" t="str">
        <f>IF(Tableau13456789101112[[#This Row],[Repère]]="","",VLOOKUP(Tableau13456789101112[[#This Row],[Repère]],Tableau1[#All],5,FALSE))</f>
        <v/>
      </c>
      <c r="F56" s="13" t="str">
        <f>IF(Tableau13456789101112[[#This Row],[Repère]]="","",VLOOKUP(Tableau13456789101112[[#This Row],[Repère]],Tableau1[#All],6,FALSE))</f>
        <v/>
      </c>
      <c r="G56" s="13" t="str">
        <f>IF(Tableau13456789101112[[#This Row],[Repère]]="","",VLOOKUP(Tableau13456789101112[[#This Row],[Repère]],Tableau1[#All],7,FALSE))</f>
        <v/>
      </c>
      <c r="H56" s="13" t="str">
        <f>IF(Tableau13456789101112[[#This Row],[Repère]]="","",VLOOKUP(Tableau13456789101112[[#This Row],[Repère]],Tableau1[#All],8,FALSE))</f>
        <v/>
      </c>
      <c r="I56" s="13" t="str">
        <f>IF(Tableau13456789101112[[#This Row],[Repère]]="","",VLOOKUP(Tableau13456789101112[[#This Row],[Repère]],Tableau1[#All],9,FALSE))</f>
        <v/>
      </c>
      <c r="J56" s="13" t="str">
        <f>IF(Tableau13456789101112[[#This Row],[Repère]]="","",VLOOKUP(Tableau13456789101112[[#This Row],[Repère]],Tableau1[#All],10,FALSE))</f>
        <v/>
      </c>
      <c r="K56" s="13" t="str">
        <f>IF(Tableau13456789101112[[#This Row],[Repère]]="","",VLOOKUP(Tableau13456789101112[[#This Row],[Repère]],Tableau1[#All],11,FALSE))</f>
        <v/>
      </c>
      <c r="L56" s="14" t="str">
        <f>IF(Tableau13456789101112[[#This Row],[Repère]]="","",VLOOKUP(Tableau13456789101112[[#This Row],[Repère]],Tableau1[#All],12,FALSE))</f>
        <v/>
      </c>
    </row>
    <row r="57" spans="1:12" x14ac:dyDescent="0.3">
      <c r="A57" s="18"/>
      <c r="B57" s="19"/>
      <c r="C57" s="13" t="str">
        <f>IF(Tableau13456789101112[[#This Row],[Repère]]="","",VLOOKUP(Tableau13456789101112[[#This Row],[Repère]],Tableau1[#All],3,FALSE))</f>
        <v/>
      </c>
      <c r="D57" s="13" t="str">
        <f>IF(Tableau13456789101112[[#This Row],[Repère]]="","",VLOOKUP(Tableau13456789101112[[#This Row],[Repère]],Tableau1[#All],4,FALSE))</f>
        <v/>
      </c>
      <c r="E57" s="13" t="str">
        <f>IF(Tableau13456789101112[[#This Row],[Repère]]="","",VLOOKUP(Tableau13456789101112[[#This Row],[Repère]],Tableau1[#All],5,FALSE))</f>
        <v/>
      </c>
      <c r="F57" s="13" t="str">
        <f>IF(Tableau13456789101112[[#This Row],[Repère]]="","",VLOOKUP(Tableau13456789101112[[#This Row],[Repère]],Tableau1[#All],6,FALSE))</f>
        <v/>
      </c>
      <c r="G57" s="13" t="str">
        <f>IF(Tableau13456789101112[[#This Row],[Repère]]="","",VLOOKUP(Tableau13456789101112[[#This Row],[Repère]],Tableau1[#All],7,FALSE))</f>
        <v/>
      </c>
      <c r="H57" s="13" t="str">
        <f>IF(Tableau13456789101112[[#This Row],[Repère]]="","",VLOOKUP(Tableau13456789101112[[#This Row],[Repère]],Tableau1[#All],8,FALSE))</f>
        <v/>
      </c>
      <c r="I57" s="13" t="str">
        <f>IF(Tableau13456789101112[[#This Row],[Repère]]="","",VLOOKUP(Tableau13456789101112[[#This Row],[Repère]],Tableau1[#All],9,FALSE))</f>
        <v/>
      </c>
      <c r="J57" s="13" t="str">
        <f>IF(Tableau13456789101112[[#This Row],[Repère]]="","",VLOOKUP(Tableau13456789101112[[#This Row],[Repère]],Tableau1[#All],10,FALSE))</f>
        <v/>
      </c>
      <c r="K57" s="13" t="str">
        <f>IF(Tableau13456789101112[[#This Row],[Repère]]="","",VLOOKUP(Tableau13456789101112[[#This Row],[Repère]],Tableau1[#All],11,FALSE))</f>
        <v/>
      </c>
      <c r="L57" s="14" t="str">
        <f>IF(Tableau13456789101112[[#This Row],[Repère]]="","",VLOOKUP(Tableau13456789101112[[#This Row],[Repère]],Tableau1[#All],12,FALSE))</f>
        <v/>
      </c>
    </row>
    <row r="58" spans="1:12" x14ac:dyDescent="0.3">
      <c r="A58" s="18"/>
      <c r="B58" s="19"/>
      <c r="C58" s="13" t="str">
        <f>IF(Tableau13456789101112[[#This Row],[Repère]]="","",VLOOKUP(Tableau13456789101112[[#This Row],[Repère]],Tableau1[#All],3,FALSE))</f>
        <v/>
      </c>
      <c r="D58" s="13" t="str">
        <f>IF(Tableau13456789101112[[#This Row],[Repère]]="","",VLOOKUP(Tableau13456789101112[[#This Row],[Repère]],Tableau1[#All],4,FALSE))</f>
        <v/>
      </c>
      <c r="E58" s="13" t="str">
        <f>IF(Tableau13456789101112[[#This Row],[Repère]]="","",VLOOKUP(Tableau13456789101112[[#This Row],[Repère]],Tableau1[#All],5,FALSE))</f>
        <v/>
      </c>
      <c r="F58" s="13" t="str">
        <f>IF(Tableau13456789101112[[#This Row],[Repère]]="","",VLOOKUP(Tableau13456789101112[[#This Row],[Repère]],Tableau1[#All],6,FALSE))</f>
        <v/>
      </c>
      <c r="G58" s="13" t="str">
        <f>IF(Tableau13456789101112[[#This Row],[Repère]]="","",VLOOKUP(Tableau13456789101112[[#This Row],[Repère]],Tableau1[#All],7,FALSE))</f>
        <v/>
      </c>
      <c r="H58" s="13" t="str">
        <f>IF(Tableau13456789101112[[#This Row],[Repère]]="","",VLOOKUP(Tableau13456789101112[[#This Row],[Repère]],Tableau1[#All],8,FALSE))</f>
        <v/>
      </c>
      <c r="I58" s="13" t="str">
        <f>IF(Tableau13456789101112[[#This Row],[Repère]]="","",VLOOKUP(Tableau13456789101112[[#This Row],[Repère]],Tableau1[#All],9,FALSE))</f>
        <v/>
      </c>
      <c r="J58" s="13" t="str">
        <f>IF(Tableau13456789101112[[#This Row],[Repère]]="","",VLOOKUP(Tableau13456789101112[[#This Row],[Repère]],Tableau1[#All],10,FALSE))</f>
        <v/>
      </c>
      <c r="K58" s="13" t="str">
        <f>IF(Tableau13456789101112[[#This Row],[Repère]]="","",VLOOKUP(Tableau13456789101112[[#This Row],[Repère]],Tableau1[#All],11,FALSE))</f>
        <v/>
      </c>
      <c r="L58" s="14" t="str">
        <f>IF(Tableau13456789101112[[#This Row],[Repère]]="","",VLOOKUP(Tableau13456789101112[[#This Row],[Repère]],Tableau1[#All],12,FALSE))</f>
        <v/>
      </c>
    </row>
    <row r="59" spans="1:12" x14ac:dyDescent="0.3">
      <c r="A59" s="18"/>
      <c r="B59" s="19"/>
      <c r="C59" s="13" t="str">
        <f>IF(Tableau13456789101112[[#This Row],[Repère]]="","",VLOOKUP(Tableau13456789101112[[#This Row],[Repère]],Tableau1[#All],3,FALSE))</f>
        <v/>
      </c>
      <c r="D59" s="13" t="str">
        <f>IF(Tableau13456789101112[[#This Row],[Repère]]="","",VLOOKUP(Tableau13456789101112[[#This Row],[Repère]],Tableau1[#All],4,FALSE))</f>
        <v/>
      </c>
      <c r="E59" s="13" t="str">
        <f>IF(Tableau13456789101112[[#This Row],[Repère]]="","",VLOOKUP(Tableau13456789101112[[#This Row],[Repère]],Tableau1[#All],5,FALSE))</f>
        <v/>
      </c>
      <c r="F59" s="13" t="str">
        <f>IF(Tableau13456789101112[[#This Row],[Repère]]="","",VLOOKUP(Tableau13456789101112[[#This Row],[Repère]],Tableau1[#All],6,FALSE))</f>
        <v/>
      </c>
      <c r="G59" s="13" t="str">
        <f>IF(Tableau13456789101112[[#This Row],[Repère]]="","",VLOOKUP(Tableau13456789101112[[#This Row],[Repère]],Tableau1[#All],7,FALSE))</f>
        <v/>
      </c>
      <c r="H59" s="13" t="str">
        <f>IF(Tableau13456789101112[[#This Row],[Repère]]="","",VLOOKUP(Tableau13456789101112[[#This Row],[Repère]],Tableau1[#All],8,FALSE))</f>
        <v/>
      </c>
      <c r="I59" s="13" t="str">
        <f>IF(Tableau13456789101112[[#This Row],[Repère]]="","",VLOOKUP(Tableau13456789101112[[#This Row],[Repère]],Tableau1[#All],9,FALSE))</f>
        <v/>
      </c>
      <c r="J59" s="13" t="str">
        <f>IF(Tableau13456789101112[[#This Row],[Repère]]="","",VLOOKUP(Tableau13456789101112[[#This Row],[Repère]],Tableau1[#All],10,FALSE))</f>
        <v/>
      </c>
      <c r="K59" s="13" t="str">
        <f>IF(Tableau13456789101112[[#This Row],[Repère]]="","",VLOOKUP(Tableau13456789101112[[#This Row],[Repère]],Tableau1[#All],11,FALSE))</f>
        <v/>
      </c>
      <c r="L59" s="14" t="str">
        <f>IF(Tableau13456789101112[[#This Row],[Repère]]="","",VLOOKUP(Tableau13456789101112[[#This Row],[Repère]],Tableau1[#All],12,FALSE))</f>
        <v/>
      </c>
    </row>
    <row r="60" spans="1:12" x14ac:dyDescent="0.3">
      <c r="A60" s="18"/>
      <c r="B60" s="19"/>
      <c r="C60" s="13" t="str">
        <f>IF(Tableau13456789101112[[#This Row],[Repère]]="","",VLOOKUP(Tableau13456789101112[[#This Row],[Repère]],Tableau1[#All],3,FALSE))</f>
        <v/>
      </c>
      <c r="D60" s="13" t="str">
        <f>IF(Tableau13456789101112[[#This Row],[Repère]]="","",VLOOKUP(Tableau13456789101112[[#This Row],[Repère]],Tableau1[#All],4,FALSE))</f>
        <v/>
      </c>
      <c r="E60" s="13" t="str">
        <f>IF(Tableau13456789101112[[#This Row],[Repère]]="","",VLOOKUP(Tableau13456789101112[[#This Row],[Repère]],Tableau1[#All],5,FALSE))</f>
        <v/>
      </c>
      <c r="F60" s="13" t="str">
        <f>IF(Tableau13456789101112[[#This Row],[Repère]]="","",VLOOKUP(Tableau13456789101112[[#This Row],[Repère]],Tableau1[#All],6,FALSE))</f>
        <v/>
      </c>
      <c r="G60" s="13" t="str">
        <f>IF(Tableau13456789101112[[#This Row],[Repère]]="","",VLOOKUP(Tableau13456789101112[[#This Row],[Repère]],Tableau1[#All],7,FALSE))</f>
        <v/>
      </c>
      <c r="H60" s="13" t="str">
        <f>IF(Tableau13456789101112[[#This Row],[Repère]]="","",VLOOKUP(Tableau13456789101112[[#This Row],[Repère]],Tableau1[#All],8,FALSE))</f>
        <v/>
      </c>
      <c r="I60" s="13" t="str">
        <f>IF(Tableau13456789101112[[#This Row],[Repère]]="","",VLOOKUP(Tableau13456789101112[[#This Row],[Repère]],Tableau1[#All],9,FALSE))</f>
        <v/>
      </c>
      <c r="J60" s="13" t="str">
        <f>IF(Tableau13456789101112[[#This Row],[Repère]]="","",VLOOKUP(Tableau13456789101112[[#This Row],[Repère]],Tableau1[#All],10,FALSE))</f>
        <v/>
      </c>
      <c r="K60" s="13" t="str">
        <f>IF(Tableau13456789101112[[#This Row],[Repère]]="","",VLOOKUP(Tableau13456789101112[[#This Row],[Repère]],Tableau1[#All],11,FALSE))</f>
        <v/>
      </c>
      <c r="L60" s="14" t="str">
        <f>IF(Tableau13456789101112[[#This Row],[Repère]]="","",VLOOKUP(Tableau13456789101112[[#This Row],[Repère]],Tableau1[#All],12,FALSE))</f>
        <v/>
      </c>
    </row>
    <row r="61" spans="1:12" x14ac:dyDescent="0.3">
      <c r="A61" s="18"/>
      <c r="B61" s="19"/>
      <c r="C61" s="13" t="str">
        <f>IF(Tableau13456789101112[[#This Row],[Repère]]="","",VLOOKUP(Tableau13456789101112[[#This Row],[Repère]],Tableau1[#All],3,FALSE))</f>
        <v/>
      </c>
      <c r="D61" s="13" t="str">
        <f>IF(Tableau13456789101112[[#This Row],[Repère]]="","",VLOOKUP(Tableau13456789101112[[#This Row],[Repère]],Tableau1[#All],4,FALSE))</f>
        <v/>
      </c>
      <c r="E61" s="13" t="str">
        <f>IF(Tableau13456789101112[[#This Row],[Repère]]="","",VLOOKUP(Tableau13456789101112[[#This Row],[Repère]],Tableau1[#All],5,FALSE))</f>
        <v/>
      </c>
      <c r="F61" s="13" t="str">
        <f>IF(Tableau13456789101112[[#This Row],[Repère]]="","",VLOOKUP(Tableau13456789101112[[#This Row],[Repère]],Tableau1[#All],6,FALSE))</f>
        <v/>
      </c>
      <c r="G61" s="13" t="str">
        <f>IF(Tableau13456789101112[[#This Row],[Repère]]="","",VLOOKUP(Tableau13456789101112[[#This Row],[Repère]],Tableau1[#All],7,FALSE))</f>
        <v/>
      </c>
      <c r="H61" s="13" t="str">
        <f>IF(Tableau13456789101112[[#This Row],[Repère]]="","",VLOOKUP(Tableau13456789101112[[#This Row],[Repère]],Tableau1[#All],8,FALSE))</f>
        <v/>
      </c>
      <c r="I61" s="13" t="str">
        <f>IF(Tableau13456789101112[[#This Row],[Repère]]="","",VLOOKUP(Tableau13456789101112[[#This Row],[Repère]],Tableau1[#All],9,FALSE))</f>
        <v/>
      </c>
      <c r="J61" s="13" t="str">
        <f>IF(Tableau13456789101112[[#This Row],[Repère]]="","",VLOOKUP(Tableau13456789101112[[#This Row],[Repère]],Tableau1[#All],10,FALSE))</f>
        <v/>
      </c>
      <c r="K61" s="13" t="str">
        <f>IF(Tableau13456789101112[[#This Row],[Repère]]="","",VLOOKUP(Tableau13456789101112[[#This Row],[Repère]],Tableau1[#All],11,FALSE))</f>
        <v/>
      </c>
      <c r="L61" s="14" t="str">
        <f>IF(Tableau13456789101112[[#This Row],[Repère]]="","",VLOOKUP(Tableau13456789101112[[#This Row],[Repère]],Tableau1[#All],12,FALSE))</f>
        <v/>
      </c>
    </row>
    <row r="62" spans="1:12" x14ac:dyDescent="0.3">
      <c r="A62" s="18"/>
      <c r="B62" s="19"/>
      <c r="C62" s="13" t="str">
        <f>IF(Tableau13456789101112[[#This Row],[Repère]]="","",VLOOKUP(Tableau13456789101112[[#This Row],[Repère]],Tableau1[#All],3,FALSE))</f>
        <v/>
      </c>
      <c r="D62" s="13" t="str">
        <f>IF(Tableau13456789101112[[#This Row],[Repère]]="","",VLOOKUP(Tableau13456789101112[[#This Row],[Repère]],Tableau1[#All],4,FALSE))</f>
        <v/>
      </c>
      <c r="E62" s="13" t="str">
        <f>IF(Tableau13456789101112[[#This Row],[Repère]]="","",VLOOKUP(Tableau13456789101112[[#This Row],[Repère]],Tableau1[#All],5,FALSE))</f>
        <v/>
      </c>
      <c r="F62" s="13" t="str">
        <f>IF(Tableau13456789101112[[#This Row],[Repère]]="","",VLOOKUP(Tableau13456789101112[[#This Row],[Repère]],Tableau1[#All],6,FALSE))</f>
        <v/>
      </c>
      <c r="G62" s="13" t="str">
        <f>IF(Tableau13456789101112[[#This Row],[Repère]]="","",VLOOKUP(Tableau13456789101112[[#This Row],[Repère]],Tableau1[#All],7,FALSE))</f>
        <v/>
      </c>
      <c r="H62" s="13" t="str">
        <f>IF(Tableau13456789101112[[#This Row],[Repère]]="","",VLOOKUP(Tableau13456789101112[[#This Row],[Repère]],Tableau1[#All],8,FALSE))</f>
        <v/>
      </c>
      <c r="I62" s="13" t="str">
        <f>IF(Tableau13456789101112[[#This Row],[Repère]]="","",VLOOKUP(Tableau13456789101112[[#This Row],[Repère]],Tableau1[#All],9,FALSE))</f>
        <v/>
      </c>
      <c r="J62" s="13" t="str">
        <f>IF(Tableau13456789101112[[#This Row],[Repère]]="","",VLOOKUP(Tableau13456789101112[[#This Row],[Repère]],Tableau1[#All],10,FALSE))</f>
        <v/>
      </c>
      <c r="K62" s="13" t="str">
        <f>IF(Tableau13456789101112[[#This Row],[Repère]]="","",VLOOKUP(Tableau13456789101112[[#This Row],[Repère]],Tableau1[#All],11,FALSE))</f>
        <v/>
      </c>
      <c r="L62" s="14" t="str">
        <f>IF(Tableau13456789101112[[#This Row],[Repère]]="","",VLOOKUP(Tableau13456789101112[[#This Row],[Repère]],Tableau1[#All],12,FALSE))</f>
        <v/>
      </c>
    </row>
    <row r="63" spans="1:12" x14ac:dyDescent="0.3">
      <c r="A63" s="18"/>
      <c r="B63" s="19"/>
      <c r="C63" s="13" t="str">
        <f>IF(Tableau13456789101112[[#This Row],[Repère]]="","",VLOOKUP(Tableau13456789101112[[#This Row],[Repère]],Tableau1[#All],3,FALSE))</f>
        <v/>
      </c>
      <c r="D63" s="13" t="str">
        <f>IF(Tableau13456789101112[[#This Row],[Repère]]="","",VLOOKUP(Tableau13456789101112[[#This Row],[Repère]],Tableau1[#All],4,FALSE))</f>
        <v/>
      </c>
      <c r="E63" s="13" t="str">
        <f>IF(Tableau13456789101112[[#This Row],[Repère]]="","",VLOOKUP(Tableau13456789101112[[#This Row],[Repère]],Tableau1[#All],5,FALSE))</f>
        <v/>
      </c>
      <c r="F63" s="13" t="str">
        <f>IF(Tableau13456789101112[[#This Row],[Repère]]="","",VLOOKUP(Tableau13456789101112[[#This Row],[Repère]],Tableau1[#All],6,FALSE))</f>
        <v/>
      </c>
      <c r="G63" s="13" t="str">
        <f>IF(Tableau13456789101112[[#This Row],[Repère]]="","",VLOOKUP(Tableau13456789101112[[#This Row],[Repère]],Tableau1[#All],7,FALSE))</f>
        <v/>
      </c>
      <c r="H63" s="13" t="str">
        <f>IF(Tableau13456789101112[[#This Row],[Repère]]="","",VLOOKUP(Tableau13456789101112[[#This Row],[Repère]],Tableau1[#All],8,FALSE))</f>
        <v/>
      </c>
      <c r="I63" s="13" t="str">
        <f>IF(Tableau13456789101112[[#This Row],[Repère]]="","",VLOOKUP(Tableau13456789101112[[#This Row],[Repère]],Tableau1[#All],9,FALSE))</f>
        <v/>
      </c>
      <c r="J63" s="13" t="str">
        <f>IF(Tableau13456789101112[[#This Row],[Repère]]="","",VLOOKUP(Tableau13456789101112[[#This Row],[Repère]],Tableau1[#All],10,FALSE))</f>
        <v/>
      </c>
      <c r="K63" s="13" t="str">
        <f>IF(Tableau13456789101112[[#This Row],[Repère]]="","",VLOOKUP(Tableau13456789101112[[#This Row],[Repère]],Tableau1[#All],11,FALSE))</f>
        <v/>
      </c>
      <c r="L63" s="14" t="str">
        <f>IF(Tableau13456789101112[[#This Row],[Repère]]="","",VLOOKUP(Tableau13456789101112[[#This Row],[Repère]],Tableau1[#All],12,FALSE))</f>
        <v/>
      </c>
    </row>
    <row r="64" spans="1:12" x14ac:dyDescent="0.3">
      <c r="A64" s="18"/>
      <c r="B64" s="19"/>
      <c r="C64" s="13" t="str">
        <f>IF(Tableau13456789101112[[#This Row],[Repère]]="","",VLOOKUP(Tableau13456789101112[[#This Row],[Repère]],Tableau1[#All],3,FALSE))</f>
        <v/>
      </c>
      <c r="D64" s="13" t="str">
        <f>IF(Tableau13456789101112[[#This Row],[Repère]]="","",VLOOKUP(Tableau13456789101112[[#This Row],[Repère]],Tableau1[#All],4,FALSE))</f>
        <v/>
      </c>
      <c r="E64" s="13" t="str">
        <f>IF(Tableau13456789101112[[#This Row],[Repère]]="","",VLOOKUP(Tableau13456789101112[[#This Row],[Repère]],Tableau1[#All],5,FALSE))</f>
        <v/>
      </c>
      <c r="F64" s="13" t="str">
        <f>IF(Tableau13456789101112[[#This Row],[Repère]]="","",VLOOKUP(Tableau13456789101112[[#This Row],[Repère]],Tableau1[#All],6,FALSE))</f>
        <v/>
      </c>
      <c r="G64" s="13" t="str">
        <f>IF(Tableau13456789101112[[#This Row],[Repère]]="","",VLOOKUP(Tableau13456789101112[[#This Row],[Repère]],Tableau1[#All],7,FALSE))</f>
        <v/>
      </c>
      <c r="H64" s="13" t="str">
        <f>IF(Tableau13456789101112[[#This Row],[Repère]]="","",VLOOKUP(Tableau13456789101112[[#This Row],[Repère]],Tableau1[#All],8,FALSE))</f>
        <v/>
      </c>
      <c r="I64" s="13" t="str">
        <f>IF(Tableau13456789101112[[#This Row],[Repère]]="","",VLOOKUP(Tableau13456789101112[[#This Row],[Repère]],Tableau1[#All],9,FALSE))</f>
        <v/>
      </c>
      <c r="J64" s="13" t="str">
        <f>IF(Tableau13456789101112[[#This Row],[Repère]]="","",VLOOKUP(Tableau13456789101112[[#This Row],[Repère]],Tableau1[#All],10,FALSE))</f>
        <v/>
      </c>
      <c r="K64" s="13" t="str">
        <f>IF(Tableau13456789101112[[#This Row],[Repère]]="","",VLOOKUP(Tableau13456789101112[[#This Row],[Repère]],Tableau1[#All],11,FALSE))</f>
        <v/>
      </c>
      <c r="L64" s="14" t="str">
        <f>IF(Tableau13456789101112[[#This Row],[Repère]]="","",VLOOKUP(Tableau13456789101112[[#This Row],[Repère]],Tableau1[#All],12,FALSE))</f>
        <v/>
      </c>
    </row>
    <row r="65" spans="1:12" x14ac:dyDescent="0.3">
      <c r="A65" s="18"/>
      <c r="B65" s="19"/>
      <c r="C65" s="13" t="str">
        <f>IF(Tableau13456789101112[[#This Row],[Repère]]="","",VLOOKUP(Tableau13456789101112[[#This Row],[Repère]],Tableau1[#All],3,FALSE))</f>
        <v/>
      </c>
      <c r="D65" s="13" t="str">
        <f>IF(Tableau13456789101112[[#This Row],[Repère]]="","",VLOOKUP(Tableau13456789101112[[#This Row],[Repère]],Tableau1[#All],4,FALSE))</f>
        <v/>
      </c>
      <c r="E65" s="13" t="str">
        <f>IF(Tableau13456789101112[[#This Row],[Repère]]="","",VLOOKUP(Tableau13456789101112[[#This Row],[Repère]],Tableau1[#All],5,FALSE))</f>
        <v/>
      </c>
      <c r="F65" s="13" t="str">
        <f>IF(Tableau13456789101112[[#This Row],[Repère]]="","",VLOOKUP(Tableau13456789101112[[#This Row],[Repère]],Tableau1[#All],6,FALSE))</f>
        <v/>
      </c>
      <c r="G65" s="13" t="str">
        <f>IF(Tableau13456789101112[[#This Row],[Repère]]="","",VLOOKUP(Tableau13456789101112[[#This Row],[Repère]],Tableau1[#All],7,FALSE))</f>
        <v/>
      </c>
      <c r="H65" s="13" t="str">
        <f>IF(Tableau13456789101112[[#This Row],[Repère]]="","",VLOOKUP(Tableau13456789101112[[#This Row],[Repère]],Tableau1[#All],8,FALSE))</f>
        <v/>
      </c>
      <c r="I65" s="13" t="str">
        <f>IF(Tableau13456789101112[[#This Row],[Repère]]="","",VLOOKUP(Tableau13456789101112[[#This Row],[Repère]],Tableau1[#All],9,FALSE))</f>
        <v/>
      </c>
      <c r="J65" s="13" t="str">
        <f>IF(Tableau13456789101112[[#This Row],[Repère]]="","",VLOOKUP(Tableau13456789101112[[#This Row],[Repère]],Tableau1[#All],10,FALSE))</f>
        <v/>
      </c>
      <c r="K65" s="13" t="str">
        <f>IF(Tableau13456789101112[[#This Row],[Repère]]="","",VLOOKUP(Tableau13456789101112[[#This Row],[Repère]],Tableau1[#All],11,FALSE))</f>
        <v/>
      </c>
      <c r="L65" s="14" t="str">
        <f>IF(Tableau13456789101112[[#This Row],[Repère]]="","",VLOOKUP(Tableau13456789101112[[#This Row],[Repère]],Tableau1[#All],12,FALSE))</f>
        <v/>
      </c>
    </row>
    <row r="66" spans="1:12" x14ac:dyDescent="0.3">
      <c r="A66" s="18"/>
      <c r="B66" s="19"/>
      <c r="C66" s="13" t="str">
        <f>IF(Tableau13456789101112[[#This Row],[Repère]]="","",VLOOKUP(Tableau13456789101112[[#This Row],[Repère]],Tableau1[#All],3,FALSE))</f>
        <v/>
      </c>
      <c r="D66" s="13" t="str">
        <f>IF(Tableau13456789101112[[#This Row],[Repère]]="","",VLOOKUP(Tableau13456789101112[[#This Row],[Repère]],Tableau1[#All],4,FALSE))</f>
        <v/>
      </c>
      <c r="E66" s="13" t="str">
        <f>IF(Tableau13456789101112[[#This Row],[Repère]]="","",VLOOKUP(Tableau13456789101112[[#This Row],[Repère]],Tableau1[#All],5,FALSE))</f>
        <v/>
      </c>
      <c r="F66" s="13" t="str">
        <f>IF(Tableau13456789101112[[#This Row],[Repère]]="","",VLOOKUP(Tableau13456789101112[[#This Row],[Repère]],Tableau1[#All],6,FALSE))</f>
        <v/>
      </c>
      <c r="G66" s="13" t="str">
        <f>IF(Tableau13456789101112[[#This Row],[Repère]]="","",VLOOKUP(Tableau13456789101112[[#This Row],[Repère]],Tableau1[#All],7,FALSE))</f>
        <v/>
      </c>
      <c r="H66" s="13" t="str">
        <f>IF(Tableau13456789101112[[#This Row],[Repère]]="","",VLOOKUP(Tableau13456789101112[[#This Row],[Repère]],Tableau1[#All],8,FALSE))</f>
        <v/>
      </c>
      <c r="I66" s="13" t="str">
        <f>IF(Tableau13456789101112[[#This Row],[Repère]]="","",VLOOKUP(Tableau13456789101112[[#This Row],[Repère]],Tableau1[#All],9,FALSE))</f>
        <v/>
      </c>
      <c r="J66" s="13" t="str">
        <f>IF(Tableau13456789101112[[#This Row],[Repère]]="","",VLOOKUP(Tableau13456789101112[[#This Row],[Repère]],Tableau1[#All],10,FALSE))</f>
        <v/>
      </c>
      <c r="K66" s="13" t="str">
        <f>IF(Tableau13456789101112[[#This Row],[Repère]]="","",VLOOKUP(Tableau13456789101112[[#This Row],[Repère]],Tableau1[#All],11,FALSE))</f>
        <v/>
      </c>
      <c r="L66" s="14" t="str">
        <f>IF(Tableau13456789101112[[#This Row],[Repère]]="","",VLOOKUP(Tableau13456789101112[[#This Row],[Repère]],Tableau1[#All],12,FALSE))</f>
        <v/>
      </c>
    </row>
    <row r="67" spans="1:12" x14ac:dyDescent="0.3">
      <c r="A67" s="18"/>
      <c r="B67" s="19"/>
      <c r="C67" s="13" t="str">
        <f>IF(Tableau13456789101112[[#This Row],[Repère]]="","",VLOOKUP(Tableau13456789101112[[#This Row],[Repère]],Tableau1[#All],3,FALSE))</f>
        <v/>
      </c>
      <c r="D67" s="13" t="str">
        <f>IF(Tableau13456789101112[[#This Row],[Repère]]="","",VLOOKUP(Tableau13456789101112[[#This Row],[Repère]],Tableau1[#All],4,FALSE))</f>
        <v/>
      </c>
      <c r="E67" s="13" t="str">
        <f>IF(Tableau13456789101112[[#This Row],[Repère]]="","",VLOOKUP(Tableau13456789101112[[#This Row],[Repère]],Tableau1[#All],5,FALSE))</f>
        <v/>
      </c>
      <c r="F67" s="13" t="str">
        <f>IF(Tableau13456789101112[[#This Row],[Repère]]="","",VLOOKUP(Tableau13456789101112[[#This Row],[Repère]],Tableau1[#All],6,FALSE))</f>
        <v/>
      </c>
      <c r="G67" s="13" t="str">
        <f>IF(Tableau13456789101112[[#This Row],[Repère]]="","",VLOOKUP(Tableau13456789101112[[#This Row],[Repère]],Tableau1[#All],7,FALSE))</f>
        <v/>
      </c>
      <c r="H67" s="13" t="str">
        <f>IF(Tableau13456789101112[[#This Row],[Repère]]="","",VLOOKUP(Tableau13456789101112[[#This Row],[Repère]],Tableau1[#All],8,FALSE))</f>
        <v/>
      </c>
      <c r="I67" s="13" t="str">
        <f>IF(Tableau13456789101112[[#This Row],[Repère]]="","",VLOOKUP(Tableau13456789101112[[#This Row],[Repère]],Tableau1[#All],9,FALSE))</f>
        <v/>
      </c>
      <c r="J67" s="13" t="str">
        <f>IF(Tableau13456789101112[[#This Row],[Repère]]="","",VLOOKUP(Tableau13456789101112[[#This Row],[Repère]],Tableau1[#All],10,FALSE))</f>
        <v/>
      </c>
      <c r="K67" s="13" t="str">
        <f>IF(Tableau13456789101112[[#This Row],[Repère]]="","",VLOOKUP(Tableau13456789101112[[#This Row],[Repère]],Tableau1[#All],11,FALSE))</f>
        <v/>
      </c>
      <c r="L67" s="14" t="str">
        <f>IF(Tableau13456789101112[[#This Row],[Repère]]="","",VLOOKUP(Tableau13456789101112[[#This Row],[Repère]],Tableau1[#All],12,FALSE))</f>
        <v/>
      </c>
    </row>
    <row r="68" spans="1:12" x14ac:dyDescent="0.3">
      <c r="A68" s="18"/>
      <c r="B68" s="19"/>
      <c r="C68" s="13" t="str">
        <f>IF(Tableau13456789101112[[#This Row],[Repère]]="","",VLOOKUP(Tableau13456789101112[[#This Row],[Repère]],Tableau1[#All],3,FALSE))</f>
        <v/>
      </c>
      <c r="D68" s="13" t="str">
        <f>IF(Tableau13456789101112[[#This Row],[Repère]]="","",VLOOKUP(Tableau13456789101112[[#This Row],[Repère]],Tableau1[#All],4,FALSE))</f>
        <v/>
      </c>
      <c r="E68" s="13" t="str">
        <f>IF(Tableau13456789101112[[#This Row],[Repère]]="","",VLOOKUP(Tableau13456789101112[[#This Row],[Repère]],Tableau1[#All],5,FALSE))</f>
        <v/>
      </c>
      <c r="F68" s="13" t="str">
        <f>IF(Tableau13456789101112[[#This Row],[Repère]]="","",VLOOKUP(Tableau13456789101112[[#This Row],[Repère]],Tableau1[#All],6,FALSE))</f>
        <v/>
      </c>
      <c r="G68" s="13" t="str">
        <f>IF(Tableau13456789101112[[#This Row],[Repère]]="","",VLOOKUP(Tableau13456789101112[[#This Row],[Repère]],Tableau1[#All],7,FALSE))</f>
        <v/>
      </c>
      <c r="H68" s="13" t="str">
        <f>IF(Tableau13456789101112[[#This Row],[Repère]]="","",VLOOKUP(Tableau13456789101112[[#This Row],[Repère]],Tableau1[#All],8,FALSE))</f>
        <v/>
      </c>
      <c r="I68" s="13" t="str">
        <f>IF(Tableau13456789101112[[#This Row],[Repère]]="","",VLOOKUP(Tableau13456789101112[[#This Row],[Repère]],Tableau1[#All],9,FALSE))</f>
        <v/>
      </c>
      <c r="J68" s="13" t="str">
        <f>IF(Tableau13456789101112[[#This Row],[Repère]]="","",VLOOKUP(Tableau13456789101112[[#This Row],[Repère]],Tableau1[#All],10,FALSE))</f>
        <v/>
      </c>
      <c r="K68" s="13" t="str">
        <f>IF(Tableau13456789101112[[#This Row],[Repère]]="","",VLOOKUP(Tableau13456789101112[[#This Row],[Repère]],Tableau1[#All],11,FALSE))</f>
        <v/>
      </c>
      <c r="L68" s="14" t="str">
        <f>IF(Tableau13456789101112[[#This Row],[Repère]]="","",VLOOKUP(Tableau13456789101112[[#This Row],[Repère]],Tableau1[#All],12,FALSE))</f>
        <v/>
      </c>
    </row>
    <row r="69" spans="1:12" x14ac:dyDescent="0.3">
      <c r="A69" s="18"/>
      <c r="B69" s="19"/>
      <c r="C69" s="13" t="str">
        <f>IF(Tableau13456789101112[[#This Row],[Repère]]="","",VLOOKUP(Tableau13456789101112[[#This Row],[Repère]],Tableau1[#All],3,FALSE))</f>
        <v/>
      </c>
      <c r="D69" s="13" t="str">
        <f>IF(Tableau13456789101112[[#This Row],[Repère]]="","",VLOOKUP(Tableau13456789101112[[#This Row],[Repère]],Tableau1[#All],4,FALSE))</f>
        <v/>
      </c>
      <c r="E69" s="13" t="str">
        <f>IF(Tableau13456789101112[[#This Row],[Repère]]="","",VLOOKUP(Tableau13456789101112[[#This Row],[Repère]],Tableau1[#All],5,FALSE))</f>
        <v/>
      </c>
      <c r="F69" s="13" t="str">
        <f>IF(Tableau13456789101112[[#This Row],[Repère]]="","",VLOOKUP(Tableau13456789101112[[#This Row],[Repère]],Tableau1[#All],6,FALSE))</f>
        <v/>
      </c>
      <c r="G69" s="13" t="str">
        <f>IF(Tableau13456789101112[[#This Row],[Repère]]="","",VLOOKUP(Tableau13456789101112[[#This Row],[Repère]],Tableau1[#All],7,FALSE))</f>
        <v/>
      </c>
      <c r="H69" s="13" t="str">
        <f>IF(Tableau13456789101112[[#This Row],[Repère]]="","",VLOOKUP(Tableau13456789101112[[#This Row],[Repère]],Tableau1[#All],8,FALSE))</f>
        <v/>
      </c>
      <c r="I69" s="13" t="str">
        <f>IF(Tableau13456789101112[[#This Row],[Repère]]="","",VLOOKUP(Tableau13456789101112[[#This Row],[Repère]],Tableau1[#All],9,FALSE))</f>
        <v/>
      </c>
      <c r="J69" s="13" t="str">
        <f>IF(Tableau13456789101112[[#This Row],[Repère]]="","",VLOOKUP(Tableau13456789101112[[#This Row],[Repère]],Tableau1[#All],10,FALSE))</f>
        <v/>
      </c>
      <c r="K69" s="13" t="str">
        <f>IF(Tableau13456789101112[[#This Row],[Repère]]="","",VLOOKUP(Tableau13456789101112[[#This Row],[Repère]],Tableau1[#All],11,FALSE))</f>
        <v/>
      </c>
      <c r="L69" s="14" t="str">
        <f>IF(Tableau13456789101112[[#This Row],[Repère]]="","",VLOOKUP(Tableau13456789101112[[#This Row],[Repère]],Tableau1[#All],12,FALSE))</f>
        <v/>
      </c>
    </row>
    <row r="70" spans="1:12" x14ac:dyDescent="0.3">
      <c r="A70" s="18"/>
      <c r="B70" s="19"/>
      <c r="C70" s="13" t="str">
        <f>IF(Tableau13456789101112[[#This Row],[Repère]]="","",VLOOKUP(Tableau13456789101112[[#This Row],[Repère]],Tableau1[#All],3,FALSE))</f>
        <v/>
      </c>
      <c r="D70" s="13" t="str">
        <f>IF(Tableau13456789101112[[#This Row],[Repère]]="","",VLOOKUP(Tableau13456789101112[[#This Row],[Repère]],Tableau1[#All],4,FALSE))</f>
        <v/>
      </c>
      <c r="E70" s="13" t="str">
        <f>IF(Tableau13456789101112[[#This Row],[Repère]]="","",VLOOKUP(Tableau13456789101112[[#This Row],[Repère]],Tableau1[#All],5,FALSE))</f>
        <v/>
      </c>
      <c r="F70" s="13" t="str">
        <f>IF(Tableau13456789101112[[#This Row],[Repère]]="","",VLOOKUP(Tableau13456789101112[[#This Row],[Repère]],Tableau1[#All],6,FALSE))</f>
        <v/>
      </c>
      <c r="G70" s="13" t="str">
        <f>IF(Tableau13456789101112[[#This Row],[Repère]]="","",VLOOKUP(Tableau13456789101112[[#This Row],[Repère]],Tableau1[#All],7,FALSE))</f>
        <v/>
      </c>
      <c r="H70" s="13" t="str">
        <f>IF(Tableau13456789101112[[#This Row],[Repère]]="","",VLOOKUP(Tableau13456789101112[[#This Row],[Repère]],Tableau1[#All],8,FALSE))</f>
        <v/>
      </c>
      <c r="I70" s="13" t="str">
        <f>IF(Tableau13456789101112[[#This Row],[Repère]]="","",VLOOKUP(Tableau13456789101112[[#This Row],[Repère]],Tableau1[#All],9,FALSE))</f>
        <v/>
      </c>
      <c r="J70" s="13" t="str">
        <f>IF(Tableau13456789101112[[#This Row],[Repère]]="","",VLOOKUP(Tableau13456789101112[[#This Row],[Repère]],Tableau1[#All],10,FALSE))</f>
        <v/>
      </c>
      <c r="K70" s="13" t="str">
        <f>IF(Tableau13456789101112[[#This Row],[Repère]]="","",VLOOKUP(Tableau13456789101112[[#This Row],[Repère]],Tableau1[#All],11,FALSE))</f>
        <v/>
      </c>
      <c r="L70" s="14" t="str">
        <f>IF(Tableau13456789101112[[#This Row],[Repère]]="","",VLOOKUP(Tableau13456789101112[[#This Row],[Repère]],Tableau1[#All],12,FALSE))</f>
        <v/>
      </c>
    </row>
    <row r="71" spans="1:12" x14ac:dyDescent="0.3">
      <c r="A71" s="18"/>
      <c r="B71" s="19"/>
      <c r="C71" s="13" t="str">
        <f>IF(Tableau13456789101112[[#This Row],[Repère]]="","",VLOOKUP(Tableau13456789101112[[#This Row],[Repère]],Tableau1[#All],3,FALSE))</f>
        <v/>
      </c>
      <c r="D71" s="13" t="str">
        <f>IF(Tableau13456789101112[[#This Row],[Repère]]="","",VLOOKUP(Tableau13456789101112[[#This Row],[Repère]],Tableau1[#All],4,FALSE))</f>
        <v/>
      </c>
      <c r="E71" s="13" t="str">
        <f>IF(Tableau13456789101112[[#This Row],[Repère]]="","",VLOOKUP(Tableau13456789101112[[#This Row],[Repère]],Tableau1[#All],5,FALSE))</f>
        <v/>
      </c>
      <c r="F71" s="13" t="str">
        <f>IF(Tableau13456789101112[[#This Row],[Repère]]="","",VLOOKUP(Tableau13456789101112[[#This Row],[Repère]],Tableau1[#All],6,FALSE))</f>
        <v/>
      </c>
      <c r="G71" s="13" t="str">
        <f>IF(Tableau13456789101112[[#This Row],[Repère]]="","",VLOOKUP(Tableau13456789101112[[#This Row],[Repère]],Tableau1[#All],7,FALSE))</f>
        <v/>
      </c>
      <c r="H71" s="13" t="str">
        <f>IF(Tableau13456789101112[[#This Row],[Repère]]="","",VLOOKUP(Tableau13456789101112[[#This Row],[Repère]],Tableau1[#All],8,FALSE))</f>
        <v/>
      </c>
      <c r="I71" s="13" t="str">
        <f>IF(Tableau13456789101112[[#This Row],[Repère]]="","",VLOOKUP(Tableau13456789101112[[#This Row],[Repère]],Tableau1[#All],9,FALSE))</f>
        <v/>
      </c>
      <c r="J71" s="13" t="str">
        <f>IF(Tableau13456789101112[[#This Row],[Repère]]="","",VLOOKUP(Tableau13456789101112[[#This Row],[Repère]],Tableau1[#All],10,FALSE))</f>
        <v/>
      </c>
      <c r="K71" s="13" t="str">
        <f>IF(Tableau13456789101112[[#This Row],[Repère]]="","",VLOOKUP(Tableau13456789101112[[#This Row],[Repère]],Tableau1[#All],11,FALSE))</f>
        <v/>
      </c>
      <c r="L71" s="14" t="str">
        <f>IF(Tableau13456789101112[[#This Row],[Repère]]="","",VLOOKUP(Tableau13456789101112[[#This Row],[Repère]],Tableau1[#All],12,FALSE))</f>
        <v/>
      </c>
    </row>
    <row r="72" spans="1:12" x14ac:dyDescent="0.3">
      <c r="A72" s="18"/>
      <c r="B72" s="19"/>
      <c r="C72" s="13" t="str">
        <f>IF(Tableau13456789101112[[#This Row],[Repère]]="","",VLOOKUP(Tableau13456789101112[[#This Row],[Repère]],Tableau1[#All],3,FALSE))</f>
        <v/>
      </c>
      <c r="D72" s="13" t="str">
        <f>IF(Tableau13456789101112[[#This Row],[Repère]]="","",VLOOKUP(Tableau13456789101112[[#This Row],[Repère]],Tableau1[#All],4,FALSE))</f>
        <v/>
      </c>
      <c r="E72" s="13" t="str">
        <f>IF(Tableau13456789101112[[#This Row],[Repère]]="","",VLOOKUP(Tableau13456789101112[[#This Row],[Repère]],Tableau1[#All],5,FALSE))</f>
        <v/>
      </c>
      <c r="F72" s="13" t="str">
        <f>IF(Tableau13456789101112[[#This Row],[Repère]]="","",VLOOKUP(Tableau13456789101112[[#This Row],[Repère]],Tableau1[#All],6,FALSE))</f>
        <v/>
      </c>
      <c r="G72" s="13" t="str">
        <f>IF(Tableau13456789101112[[#This Row],[Repère]]="","",VLOOKUP(Tableau13456789101112[[#This Row],[Repère]],Tableau1[#All],7,FALSE))</f>
        <v/>
      </c>
      <c r="H72" s="13" t="str">
        <f>IF(Tableau13456789101112[[#This Row],[Repère]]="","",VLOOKUP(Tableau13456789101112[[#This Row],[Repère]],Tableau1[#All],8,FALSE))</f>
        <v/>
      </c>
      <c r="I72" s="13" t="str">
        <f>IF(Tableau13456789101112[[#This Row],[Repère]]="","",VLOOKUP(Tableau13456789101112[[#This Row],[Repère]],Tableau1[#All],9,FALSE))</f>
        <v/>
      </c>
      <c r="J72" s="13" t="str">
        <f>IF(Tableau13456789101112[[#This Row],[Repère]]="","",VLOOKUP(Tableau13456789101112[[#This Row],[Repère]],Tableau1[#All],10,FALSE))</f>
        <v/>
      </c>
      <c r="K72" s="13" t="str">
        <f>IF(Tableau13456789101112[[#This Row],[Repère]]="","",VLOOKUP(Tableau13456789101112[[#This Row],[Repère]],Tableau1[#All],11,FALSE))</f>
        <v/>
      </c>
      <c r="L72" s="14" t="str">
        <f>IF(Tableau13456789101112[[#This Row],[Repère]]="","",VLOOKUP(Tableau13456789101112[[#This Row],[Repère]],Tableau1[#All],12,FALSE))</f>
        <v/>
      </c>
    </row>
    <row r="73" spans="1:12" x14ac:dyDescent="0.3">
      <c r="A73" s="18"/>
      <c r="B73" s="19"/>
      <c r="C73" s="13" t="str">
        <f>IF(Tableau13456789101112[[#This Row],[Repère]]="","",VLOOKUP(Tableau13456789101112[[#This Row],[Repère]],Tableau1[#All],3,FALSE))</f>
        <v/>
      </c>
      <c r="D73" s="13" t="str">
        <f>IF(Tableau13456789101112[[#This Row],[Repère]]="","",VLOOKUP(Tableau13456789101112[[#This Row],[Repère]],Tableau1[#All],4,FALSE))</f>
        <v/>
      </c>
      <c r="E73" s="13" t="str">
        <f>IF(Tableau13456789101112[[#This Row],[Repère]]="","",VLOOKUP(Tableau13456789101112[[#This Row],[Repère]],Tableau1[#All],5,FALSE))</f>
        <v/>
      </c>
      <c r="F73" s="13" t="str">
        <f>IF(Tableau13456789101112[[#This Row],[Repère]]="","",VLOOKUP(Tableau13456789101112[[#This Row],[Repère]],Tableau1[#All],6,FALSE))</f>
        <v/>
      </c>
      <c r="G73" s="13" t="str">
        <f>IF(Tableau13456789101112[[#This Row],[Repère]]="","",VLOOKUP(Tableau13456789101112[[#This Row],[Repère]],Tableau1[#All],7,FALSE))</f>
        <v/>
      </c>
      <c r="H73" s="13" t="str">
        <f>IF(Tableau13456789101112[[#This Row],[Repère]]="","",VLOOKUP(Tableau13456789101112[[#This Row],[Repère]],Tableau1[#All],8,FALSE))</f>
        <v/>
      </c>
      <c r="I73" s="13" t="str">
        <f>IF(Tableau13456789101112[[#This Row],[Repère]]="","",VLOOKUP(Tableau13456789101112[[#This Row],[Repère]],Tableau1[#All],9,FALSE))</f>
        <v/>
      </c>
      <c r="J73" s="13" t="str">
        <f>IF(Tableau13456789101112[[#This Row],[Repère]]="","",VLOOKUP(Tableau13456789101112[[#This Row],[Repère]],Tableau1[#All],10,FALSE))</f>
        <v/>
      </c>
      <c r="K73" s="13" t="str">
        <f>IF(Tableau13456789101112[[#This Row],[Repère]]="","",VLOOKUP(Tableau13456789101112[[#This Row],[Repère]],Tableau1[#All],11,FALSE))</f>
        <v/>
      </c>
      <c r="L73" s="14" t="str">
        <f>IF(Tableau13456789101112[[#This Row],[Repère]]="","",VLOOKUP(Tableau13456789101112[[#This Row],[Repère]],Tableau1[#All],12,FALSE))</f>
        <v/>
      </c>
    </row>
    <row r="74" spans="1:12" x14ac:dyDescent="0.3">
      <c r="A74" s="18"/>
      <c r="B74" s="19"/>
      <c r="C74" s="13" t="str">
        <f>IF(Tableau13456789101112[[#This Row],[Repère]]="","",VLOOKUP(Tableau13456789101112[[#This Row],[Repère]],Tableau1[#All],3,FALSE))</f>
        <v/>
      </c>
      <c r="D74" s="13" t="str">
        <f>IF(Tableau13456789101112[[#This Row],[Repère]]="","",VLOOKUP(Tableau13456789101112[[#This Row],[Repère]],Tableau1[#All],4,FALSE))</f>
        <v/>
      </c>
      <c r="E74" s="13" t="str">
        <f>IF(Tableau13456789101112[[#This Row],[Repère]]="","",VLOOKUP(Tableau13456789101112[[#This Row],[Repère]],Tableau1[#All],5,FALSE))</f>
        <v/>
      </c>
      <c r="F74" s="13" t="str">
        <f>IF(Tableau13456789101112[[#This Row],[Repère]]="","",VLOOKUP(Tableau13456789101112[[#This Row],[Repère]],Tableau1[#All],6,FALSE))</f>
        <v/>
      </c>
      <c r="G74" s="13" t="str">
        <f>IF(Tableau13456789101112[[#This Row],[Repère]]="","",VLOOKUP(Tableau13456789101112[[#This Row],[Repère]],Tableau1[#All],7,FALSE))</f>
        <v/>
      </c>
      <c r="H74" s="13" t="str">
        <f>IF(Tableau13456789101112[[#This Row],[Repère]]="","",VLOOKUP(Tableau13456789101112[[#This Row],[Repère]],Tableau1[#All],8,FALSE))</f>
        <v/>
      </c>
      <c r="I74" s="13" t="str">
        <f>IF(Tableau13456789101112[[#This Row],[Repère]]="","",VLOOKUP(Tableau13456789101112[[#This Row],[Repère]],Tableau1[#All],9,FALSE))</f>
        <v/>
      </c>
      <c r="J74" s="13" t="str">
        <f>IF(Tableau13456789101112[[#This Row],[Repère]]="","",VLOOKUP(Tableau13456789101112[[#This Row],[Repère]],Tableau1[#All],10,FALSE))</f>
        <v/>
      </c>
      <c r="K74" s="13" t="str">
        <f>IF(Tableau13456789101112[[#This Row],[Repère]]="","",VLOOKUP(Tableau13456789101112[[#This Row],[Repère]],Tableau1[#All],11,FALSE))</f>
        <v/>
      </c>
      <c r="L74" s="14" t="str">
        <f>IF(Tableau13456789101112[[#This Row],[Repère]]="","",VLOOKUP(Tableau13456789101112[[#This Row],[Repère]],Tableau1[#All],12,FALSE))</f>
        <v/>
      </c>
    </row>
    <row r="75" spans="1:12" x14ac:dyDescent="0.3">
      <c r="A75" s="18"/>
      <c r="B75" s="19"/>
      <c r="C75" s="13" t="str">
        <f>IF(Tableau13456789101112[[#This Row],[Repère]]="","",VLOOKUP(Tableau13456789101112[[#This Row],[Repère]],Tableau1[#All],3,FALSE))</f>
        <v/>
      </c>
      <c r="D75" s="13" t="str">
        <f>IF(Tableau13456789101112[[#This Row],[Repère]]="","",VLOOKUP(Tableau13456789101112[[#This Row],[Repère]],Tableau1[#All],4,FALSE))</f>
        <v/>
      </c>
      <c r="E75" s="13" t="str">
        <f>IF(Tableau13456789101112[[#This Row],[Repère]]="","",VLOOKUP(Tableau13456789101112[[#This Row],[Repère]],Tableau1[#All],5,FALSE))</f>
        <v/>
      </c>
      <c r="F75" s="13" t="str">
        <f>IF(Tableau13456789101112[[#This Row],[Repère]]="","",VLOOKUP(Tableau13456789101112[[#This Row],[Repère]],Tableau1[#All],6,FALSE))</f>
        <v/>
      </c>
      <c r="G75" s="13" t="str">
        <f>IF(Tableau13456789101112[[#This Row],[Repère]]="","",VLOOKUP(Tableau13456789101112[[#This Row],[Repère]],Tableau1[#All],7,FALSE))</f>
        <v/>
      </c>
      <c r="H75" s="13" t="str">
        <f>IF(Tableau13456789101112[[#This Row],[Repère]]="","",VLOOKUP(Tableau13456789101112[[#This Row],[Repère]],Tableau1[#All],8,FALSE))</f>
        <v/>
      </c>
      <c r="I75" s="13" t="str">
        <f>IF(Tableau13456789101112[[#This Row],[Repère]]="","",VLOOKUP(Tableau13456789101112[[#This Row],[Repère]],Tableau1[#All],9,FALSE))</f>
        <v/>
      </c>
      <c r="J75" s="13" t="str">
        <f>IF(Tableau13456789101112[[#This Row],[Repère]]="","",VLOOKUP(Tableau13456789101112[[#This Row],[Repère]],Tableau1[#All],10,FALSE))</f>
        <v/>
      </c>
      <c r="K75" s="13" t="str">
        <f>IF(Tableau13456789101112[[#This Row],[Repère]]="","",VLOOKUP(Tableau13456789101112[[#This Row],[Repère]],Tableau1[#All],11,FALSE))</f>
        <v/>
      </c>
      <c r="L75" s="14" t="str">
        <f>IF(Tableau13456789101112[[#This Row],[Repère]]="","",VLOOKUP(Tableau13456789101112[[#This Row],[Repère]],Tableau1[#All],12,FALSE))</f>
        <v/>
      </c>
    </row>
    <row r="76" spans="1:12" x14ac:dyDescent="0.3">
      <c r="A76" s="18"/>
      <c r="B76" s="19"/>
      <c r="C76" s="13" t="str">
        <f>IF(Tableau13456789101112[[#This Row],[Repère]]="","",VLOOKUP(Tableau13456789101112[[#This Row],[Repère]],Tableau1[#All],3,FALSE))</f>
        <v/>
      </c>
      <c r="D76" s="13" t="str">
        <f>IF(Tableau13456789101112[[#This Row],[Repère]]="","",VLOOKUP(Tableau13456789101112[[#This Row],[Repère]],Tableau1[#All],4,FALSE))</f>
        <v/>
      </c>
      <c r="E76" s="13" t="str">
        <f>IF(Tableau13456789101112[[#This Row],[Repère]]="","",VLOOKUP(Tableau13456789101112[[#This Row],[Repère]],Tableau1[#All],5,FALSE))</f>
        <v/>
      </c>
      <c r="F76" s="13" t="str">
        <f>IF(Tableau13456789101112[[#This Row],[Repère]]="","",VLOOKUP(Tableau13456789101112[[#This Row],[Repère]],Tableau1[#All],6,FALSE))</f>
        <v/>
      </c>
      <c r="G76" s="13" t="str">
        <f>IF(Tableau13456789101112[[#This Row],[Repère]]="","",VLOOKUP(Tableau13456789101112[[#This Row],[Repère]],Tableau1[#All],7,FALSE))</f>
        <v/>
      </c>
      <c r="H76" s="13" t="str">
        <f>IF(Tableau13456789101112[[#This Row],[Repère]]="","",VLOOKUP(Tableau13456789101112[[#This Row],[Repère]],Tableau1[#All],8,FALSE))</f>
        <v/>
      </c>
      <c r="I76" s="13" t="str">
        <f>IF(Tableau13456789101112[[#This Row],[Repère]]="","",VLOOKUP(Tableau13456789101112[[#This Row],[Repère]],Tableau1[#All],9,FALSE))</f>
        <v/>
      </c>
      <c r="J76" s="13" t="str">
        <f>IF(Tableau13456789101112[[#This Row],[Repère]]="","",VLOOKUP(Tableau13456789101112[[#This Row],[Repère]],Tableau1[#All],10,FALSE))</f>
        <v/>
      </c>
      <c r="K76" s="13" t="str">
        <f>IF(Tableau13456789101112[[#This Row],[Repère]]="","",VLOOKUP(Tableau13456789101112[[#This Row],[Repère]],Tableau1[#All],11,FALSE))</f>
        <v/>
      </c>
      <c r="L76" s="14" t="str">
        <f>IF(Tableau13456789101112[[#This Row],[Repère]]="","",VLOOKUP(Tableau13456789101112[[#This Row],[Repère]],Tableau1[#All],12,FALSE))</f>
        <v/>
      </c>
    </row>
    <row r="77" spans="1:12" x14ac:dyDescent="0.3">
      <c r="A77" s="18"/>
      <c r="B77" s="19"/>
      <c r="C77" s="13" t="str">
        <f>IF(Tableau13456789101112[[#This Row],[Repère]]="","",VLOOKUP(Tableau13456789101112[[#This Row],[Repère]],Tableau1[#All],3,FALSE))</f>
        <v/>
      </c>
      <c r="D77" s="13" t="str">
        <f>IF(Tableau13456789101112[[#This Row],[Repère]]="","",VLOOKUP(Tableau13456789101112[[#This Row],[Repère]],Tableau1[#All],4,FALSE))</f>
        <v/>
      </c>
      <c r="E77" s="13" t="str">
        <f>IF(Tableau13456789101112[[#This Row],[Repère]]="","",VLOOKUP(Tableau13456789101112[[#This Row],[Repère]],Tableau1[#All],5,FALSE))</f>
        <v/>
      </c>
      <c r="F77" s="13" t="str">
        <f>IF(Tableau13456789101112[[#This Row],[Repère]]="","",VLOOKUP(Tableau13456789101112[[#This Row],[Repère]],Tableau1[#All],6,FALSE))</f>
        <v/>
      </c>
      <c r="G77" s="13" t="str">
        <f>IF(Tableau13456789101112[[#This Row],[Repère]]="","",VLOOKUP(Tableau13456789101112[[#This Row],[Repère]],Tableau1[#All],7,FALSE))</f>
        <v/>
      </c>
      <c r="H77" s="13" t="str">
        <f>IF(Tableau13456789101112[[#This Row],[Repère]]="","",VLOOKUP(Tableau13456789101112[[#This Row],[Repère]],Tableau1[#All],8,FALSE))</f>
        <v/>
      </c>
      <c r="I77" s="13" t="str">
        <f>IF(Tableau13456789101112[[#This Row],[Repère]]="","",VLOOKUP(Tableau13456789101112[[#This Row],[Repère]],Tableau1[#All],9,FALSE))</f>
        <v/>
      </c>
      <c r="J77" s="13" t="str">
        <f>IF(Tableau13456789101112[[#This Row],[Repère]]="","",VLOOKUP(Tableau13456789101112[[#This Row],[Repère]],Tableau1[#All],10,FALSE))</f>
        <v/>
      </c>
      <c r="K77" s="13" t="str">
        <f>IF(Tableau13456789101112[[#This Row],[Repère]]="","",VLOOKUP(Tableau13456789101112[[#This Row],[Repère]],Tableau1[#All],11,FALSE))</f>
        <v/>
      </c>
      <c r="L77" s="14" t="str">
        <f>IF(Tableau13456789101112[[#This Row],[Repère]]="","",VLOOKUP(Tableau13456789101112[[#This Row],[Repère]],Tableau1[#All],12,FALSE))</f>
        <v/>
      </c>
    </row>
    <row r="78" spans="1:12" x14ac:dyDescent="0.3">
      <c r="A78" s="18"/>
      <c r="B78" s="19"/>
      <c r="C78" s="13" t="str">
        <f>IF(Tableau13456789101112[[#This Row],[Repère]]="","",VLOOKUP(Tableau13456789101112[[#This Row],[Repère]],Tableau1[#All],3,FALSE))</f>
        <v/>
      </c>
      <c r="D78" s="13" t="str">
        <f>IF(Tableau13456789101112[[#This Row],[Repère]]="","",VLOOKUP(Tableau13456789101112[[#This Row],[Repère]],Tableau1[#All],4,FALSE))</f>
        <v/>
      </c>
      <c r="E78" s="13" t="str">
        <f>IF(Tableau13456789101112[[#This Row],[Repère]]="","",VLOOKUP(Tableau13456789101112[[#This Row],[Repère]],Tableau1[#All],5,FALSE))</f>
        <v/>
      </c>
      <c r="F78" s="13" t="str">
        <f>IF(Tableau13456789101112[[#This Row],[Repère]]="","",VLOOKUP(Tableau13456789101112[[#This Row],[Repère]],Tableau1[#All],6,FALSE))</f>
        <v/>
      </c>
      <c r="G78" s="13" t="str">
        <f>IF(Tableau13456789101112[[#This Row],[Repère]]="","",VLOOKUP(Tableau13456789101112[[#This Row],[Repère]],Tableau1[#All],7,FALSE))</f>
        <v/>
      </c>
      <c r="H78" s="13" t="str">
        <f>IF(Tableau13456789101112[[#This Row],[Repère]]="","",VLOOKUP(Tableau13456789101112[[#This Row],[Repère]],Tableau1[#All],8,FALSE))</f>
        <v/>
      </c>
      <c r="I78" s="13" t="str">
        <f>IF(Tableau13456789101112[[#This Row],[Repère]]="","",VLOOKUP(Tableau13456789101112[[#This Row],[Repère]],Tableau1[#All],9,FALSE))</f>
        <v/>
      </c>
      <c r="J78" s="13" t="str">
        <f>IF(Tableau13456789101112[[#This Row],[Repère]]="","",VLOOKUP(Tableau13456789101112[[#This Row],[Repère]],Tableau1[#All],10,FALSE))</f>
        <v/>
      </c>
      <c r="K78" s="13" t="str">
        <f>IF(Tableau13456789101112[[#This Row],[Repère]]="","",VLOOKUP(Tableau13456789101112[[#This Row],[Repère]],Tableau1[#All],11,FALSE))</f>
        <v/>
      </c>
      <c r="L78" s="14" t="str">
        <f>IF(Tableau13456789101112[[#This Row],[Repère]]="","",VLOOKUP(Tableau13456789101112[[#This Row],[Repère]],Tableau1[#All],12,FALSE))</f>
        <v/>
      </c>
    </row>
    <row r="79" spans="1:12" x14ac:dyDescent="0.3">
      <c r="A79" s="18"/>
      <c r="B79" s="19"/>
      <c r="C79" s="13" t="str">
        <f>IF(Tableau13456789101112[[#This Row],[Repère]]="","",VLOOKUP(Tableau13456789101112[[#This Row],[Repère]],Tableau1[#All],3,FALSE))</f>
        <v/>
      </c>
      <c r="D79" s="13" t="str">
        <f>IF(Tableau13456789101112[[#This Row],[Repère]]="","",VLOOKUP(Tableau13456789101112[[#This Row],[Repère]],Tableau1[#All],4,FALSE))</f>
        <v/>
      </c>
      <c r="E79" s="13" t="str">
        <f>IF(Tableau13456789101112[[#This Row],[Repère]]="","",VLOOKUP(Tableau13456789101112[[#This Row],[Repère]],Tableau1[#All],5,FALSE))</f>
        <v/>
      </c>
      <c r="F79" s="13" t="str">
        <f>IF(Tableau13456789101112[[#This Row],[Repère]]="","",VLOOKUP(Tableau13456789101112[[#This Row],[Repère]],Tableau1[#All],6,FALSE))</f>
        <v/>
      </c>
      <c r="G79" s="13" t="str">
        <f>IF(Tableau13456789101112[[#This Row],[Repère]]="","",VLOOKUP(Tableau13456789101112[[#This Row],[Repère]],Tableau1[#All],7,FALSE))</f>
        <v/>
      </c>
      <c r="H79" s="13" t="str">
        <f>IF(Tableau13456789101112[[#This Row],[Repère]]="","",VLOOKUP(Tableau13456789101112[[#This Row],[Repère]],Tableau1[#All],8,FALSE))</f>
        <v/>
      </c>
      <c r="I79" s="13" t="str">
        <f>IF(Tableau13456789101112[[#This Row],[Repère]]="","",VLOOKUP(Tableau13456789101112[[#This Row],[Repère]],Tableau1[#All],9,FALSE))</f>
        <v/>
      </c>
      <c r="J79" s="13" t="str">
        <f>IF(Tableau13456789101112[[#This Row],[Repère]]="","",VLOOKUP(Tableau13456789101112[[#This Row],[Repère]],Tableau1[#All],10,FALSE))</f>
        <v/>
      </c>
      <c r="K79" s="13" t="str">
        <f>IF(Tableau13456789101112[[#This Row],[Repère]]="","",VLOOKUP(Tableau13456789101112[[#This Row],[Repère]],Tableau1[#All],11,FALSE))</f>
        <v/>
      </c>
      <c r="L79" s="14" t="str">
        <f>IF(Tableau13456789101112[[#This Row],[Repère]]="","",VLOOKUP(Tableau13456789101112[[#This Row],[Repère]],Tableau1[#All],12,FALSE))</f>
        <v/>
      </c>
    </row>
    <row r="80" spans="1:12" x14ac:dyDescent="0.3">
      <c r="A80" s="18"/>
      <c r="B80" s="19"/>
      <c r="C80" s="13" t="str">
        <f>IF(Tableau13456789101112[[#This Row],[Repère]]="","",VLOOKUP(Tableau13456789101112[[#This Row],[Repère]],Tableau1[#All],3,FALSE))</f>
        <v/>
      </c>
      <c r="D80" s="13" t="str">
        <f>IF(Tableau13456789101112[[#This Row],[Repère]]="","",VLOOKUP(Tableau13456789101112[[#This Row],[Repère]],Tableau1[#All],4,FALSE))</f>
        <v/>
      </c>
      <c r="E80" s="13" t="str">
        <f>IF(Tableau13456789101112[[#This Row],[Repère]]="","",VLOOKUP(Tableau13456789101112[[#This Row],[Repère]],Tableau1[#All],5,FALSE))</f>
        <v/>
      </c>
      <c r="F80" s="13" t="str">
        <f>IF(Tableau13456789101112[[#This Row],[Repère]]="","",VLOOKUP(Tableau13456789101112[[#This Row],[Repère]],Tableau1[#All],6,FALSE))</f>
        <v/>
      </c>
      <c r="G80" s="13" t="str">
        <f>IF(Tableau13456789101112[[#This Row],[Repère]]="","",VLOOKUP(Tableau13456789101112[[#This Row],[Repère]],Tableau1[#All],7,FALSE))</f>
        <v/>
      </c>
      <c r="H80" s="13" t="str">
        <f>IF(Tableau13456789101112[[#This Row],[Repère]]="","",VLOOKUP(Tableau13456789101112[[#This Row],[Repère]],Tableau1[#All],8,FALSE))</f>
        <v/>
      </c>
      <c r="I80" s="13" t="str">
        <f>IF(Tableau13456789101112[[#This Row],[Repère]]="","",VLOOKUP(Tableau13456789101112[[#This Row],[Repère]],Tableau1[#All],9,FALSE))</f>
        <v/>
      </c>
      <c r="J80" s="13" t="str">
        <f>IF(Tableau13456789101112[[#This Row],[Repère]]="","",VLOOKUP(Tableau13456789101112[[#This Row],[Repère]],Tableau1[#All],10,FALSE))</f>
        <v/>
      </c>
      <c r="K80" s="13" t="str">
        <f>IF(Tableau13456789101112[[#This Row],[Repère]]="","",VLOOKUP(Tableau13456789101112[[#This Row],[Repère]],Tableau1[#All],11,FALSE))</f>
        <v/>
      </c>
      <c r="L80" s="14" t="str">
        <f>IF(Tableau13456789101112[[#This Row],[Repère]]="","",VLOOKUP(Tableau13456789101112[[#This Row],[Repère]],Tableau1[#All],12,FALSE))</f>
        <v/>
      </c>
    </row>
    <row r="81" spans="1:12" x14ac:dyDescent="0.3">
      <c r="A81" s="18"/>
      <c r="B81" s="19"/>
      <c r="C81" s="13" t="str">
        <f>IF(Tableau13456789101112[[#This Row],[Repère]]="","",VLOOKUP(Tableau13456789101112[[#This Row],[Repère]],Tableau1[#All],3,FALSE))</f>
        <v/>
      </c>
      <c r="D81" s="13" t="str">
        <f>IF(Tableau13456789101112[[#This Row],[Repère]]="","",VLOOKUP(Tableau13456789101112[[#This Row],[Repère]],Tableau1[#All],4,FALSE))</f>
        <v/>
      </c>
      <c r="E81" s="13" t="str">
        <f>IF(Tableau13456789101112[[#This Row],[Repère]]="","",VLOOKUP(Tableau13456789101112[[#This Row],[Repère]],Tableau1[#All],5,FALSE))</f>
        <v/>
      </c>
      <c r="F81" s="13" t="str">
        <f>IF(Tableau13456789101112[[#This Row],[Repère]]="","",VLOOKUP(Tableau13456789101112[[#This Row],[Repère]],Tableau1[#All],6,FALSE))</f>
        <v/>
      </c>
      <c r="G81" s="13" t="str">
        <f>IF(Tableau13456789101112[[#This Row],[Repère]]="","",VLOOKUP(Tableau13456789101112[[#This Row],[Repère]],Tableau1[#All],7,FALSE))</f>
        <v/>
      </c>
      <c r="H81" s="13" t="str">
        <f>IF(Tableau13456789101112[[#This Row],[Repère]]="","",VLOOKUP(Tableau13456789101112[[#This Row],[Repère]],Tableau1[#All],8,FALSE))</f>
        <v/>
      </c>
      <c r="I81" s="13" t="str">
        <f>IF(Tableau13456789101112[[#This Row],[Repère]]="","",VLOOKUP(Tableau13456789101112[[#This Row],[Repère]],Tableau1[#All],9,FALSE))</f>
        <v/>
      </c>
      <c r="J81" s="13" t="str">
        <f>IF(Tableau13456789101112[[#This Row],[Repère]]="","",VLOOKUP(Tableau13456789101112[[#This Row],[Repère]],Tableau1[#All],10,FALSE))</f>
        <v/>
      </c>
      <c r="K81" s="13" t="str">
        <f>IF(Tableau13456789101112[[#This Row],[Repère]]="","",VLOOKUP(Tableau13456789101112[[#This Row],[Repère]],Tableau1[#All],11,FALSE))</f>
        <v/>
      </c>
      <c r="L81" s="14" t="str">
        <f>IF(Tableau13456789101112[[#This Row],[Repère]]="","",VLOOKUP(Tableau13456789101112[[#This Row],[Repère]],Tableau1[#All],12,FALSE))</f>
        <v/>
      </c>
    </row>
    <row r="82" spans="1:12" x14ac:dyDescent="0.3">
      <c r="A82" s="18"/>
      <c r="B82" s="19"/>
      <c r="C82" s="13" t="str">
        <f>IF(Tableau13456789101112[[#This Row],[Repère]]="","",VLOOKUP(Tableau13456789101112[[#This Row],[Repère]],Tableau1[#All],3,FALSE))</f>
        <v/>
      </c>
      <c r="D82" s="13" t="str">
        <f>IF(Tableau13456789101112[[#This Row],[Repère]]="","",VLOOKUP(Tableau13456789101112[[#This Row],[Repère]],Tableau1[#All],4,FALSE))</f>
        <v/>
      </c>
      <c r="E82" s="13" t="str">
        <f>IF(Tableau13456789101112[[#This Row],[Repère]]="","",VLOOKUP(Tableau13456789101112[[#This Row],[Repère]],Tableau1[#All],5,FALSE))</f>
        <v/>
      </c>
      <c r="F82" s="13" t="str">
        <f>IF(Tableau13456789101112[[#This Row],[Repère]]="","",VLOOKUP(Tableau13456789101112[[#This Row],[Repère]],Tableau1[#All],6,FALSE))</f>
        <v/>
      </c>
      <c r="G82" s="13" t="str">
        <f>IF(Tableau13456789101112[[#This Row],[Repère]]="","",VLOOKUP(Tableau13456789101112[[#This Row],[Repère]],Tableau1[#All],7,FALSE))</f>
        <v/>
      </c>
      <c r="H82" s="13" t="str">
        <f>IF(Tableau13456789101112[[#This Row],[Repère]]="","",VLOOKUP(Tableau13456789101112[[#This Row],[Repère]],Tableau1[#All],8,FALSE))</f>
        <v/>
      </c>
      <c r="I82" s="13" t="str">
        <f>IF(Tableau13456789101112[[#This Row],[Repère]]="","",VLOOKUP(Tableau13456789101112[[#This Row],[Repère]],Tableau1[#All],9,FALSE))</f>
        <v/>
      </c>
      <c r="J82" s="13" t="str">
        <f>IF(Tableau13456789101112[[#This Row],[Repère]]="","",VLOOKUP(Tableau13456789101112[[#This Row],[Repère]],Tableau1[#All],10,FALSE))</f>
        <v/>
      </c>
      <c r="K82" s="13" t="str">
        <f>IF(Tableau13456789101112[[#This Row],[Repère]]="","",VLOOKUP(Tableau13456789101112[[#This Row],[Repère]],Tableau1[#All],11,FALSE))</f>
        <v/>
      </c>
      <c r="L82" s="14" t="str">
        <f>IF(Tableau13456789101112[[#This Row],[Repère]]="","",VLOOKUP(Tableau13456789101112[[#This Row],[Repère]],Tableau1[#All],12,FALSE))</f>
        <v/>
      </c>
    </row>
    <row r="83" spans="1:12" x14ac:dyDescent="0.3">
      <c r="A83" s="18"/>
      <c r="B83" s="19"/>
      <c r="C83" s="13" t="str">
        <f>IF(Tableau13456789101112[[#This Row],[Repère]]="","",VLOOKUP(Tableau13456789101112[[#This Row],[Repère]],Tableau1[#All],3,FALSE))</f>
        <v/>
      </c>
      <c r="D83" s="13" t="str">
        <f>IF(Tableau13456789101112[[#This Row],[Repère]]="","",VLOOKUP(Tableau13456789101112[[#This Row],[Repère]],Tableau1[#All],4,FALSE))</f>
        <v/>
      </c>
      <c r="E83" s="13" t="str">
        <f>IF(Tableau13456789101112[[#This Row],[Repère]]="","",VLOOKUP(Tableau13456789101112[[#This Row],[Repère]],Tableau1[#All],5,FALSE))</f>
        <v/>
      </c>
      <c r="F83" s="13" t="str">
        <f>IF(Tableau13456789101112[[#This Row],[Repère]]="","",VLOOKUP(Tableau13456789101112[[#This Row],[Repère]],Tableau1[#All],6,FALSE))</f>
        <v/>
      </c>
      <c r="G83" s="13" t="str">
        <f>IF(Tableau13456789101112[[#This Row],[Repère]]="","",VLOOKUP(Tableau13456789101112[[#This Row],[Repère]],Tableau1[#All],7,FALSE))</f>
        <v/>
      </c>
      <c r="H83" s="13" t="str">
        <f>IF(Tableau13456789101112[[#This Row],[Repère]]="","",VLOOKUP(Tableau13456789101112[[#This Row],[Repère]],Tableau1[#All],8,FALSE))</f>
        <v/>
      </c>
      <c r="I83" s="13" t="str">
        <f>IF(Tableau13456789101112[[#This Row],[Repère]]="","",VLOOKUP(Tableau13456789101112[[#This Row],[Repère]],Tableau1[#All],9,FALSE))</f>
        <v/>
      </c>
      <c r="J83" s="13" t="str">
        <f>IF(Tableau13456789101112[[#This Row],[Repère]]="","",VLOOKUP(Tableau13456789101112[[#This Row],[Repère]],Tableau1[#All],10,FALSE))</f>
        <v/>
      </c>
      <c r="K83" s="13" t="str">
        <f>IF(Tableau13456789101112[[#This Row],[Repère]]="","",VLOOKUP(Tableau13456789101112[[#This Row],[Repère]],Tableau1[#All],11,FALSE))</f>
        <v/>
      </c>
      <c r="L83" s="14" t="str">
        <f>IF(Tableau13456789101112[[#This Row],[Repère]]="","",VLOOKUP(Tableau13456789101112[[#This Row],[Repère]],Tableau1[#All],12,FALSE))</f>
        <v/>
      </c>
    </row>
    <row r="84" spans="1:12" x14ac:dyDescent="0.3">
      <c r="A84" s="18"/>
      <c r="B84" s="19"/>
      <c r="C84" s="13" t="str">
        <f>IF(Tableau13456789101112[[#This Row],[Repère]]="","",VLOOKUP(Tableau13456789101112[[#This Row],[Repère]],Tableau1[#All],3,FALSE))</f>
        <v/>
      </c>
      <c r="D84" s="13" t="str">
        <f>IF(Tableau13456789101112[[#This Row],[Repère]]="","",VLOOKUP(Tableau13456789101112[[#This Row],[Repère]],Tableau1[#All],4,FALSE))</f>
        <v/>
      </c>
      <c r="E84" s="13" t="str">
        <f>IF(Tableau13456789101112[[#This Row],[Repère]]="","",VLOOKUP(Tableau13456789101112[[#This Row],[Repère]],Tableau1[#All],5,FALSE))</f>
        <v/>
      </c>
      <c r="F84" s="13" t="str">
        <f>IF(Tableau13456789101112[[#This Row],[Repère]]="","",VLOOKUP(Tableau13456789101112[[#This Row],[Repère]],Tableau1[#All],6,FALSE))</f>
        <v/>
      </c>
      <c r="G84" s="13" t="str">
        <f>IF(Tableau13456789101112[[#This Row],[Repère]]="","",VLOOKUP(Tableau13456789101112[[#This Row],[Repère]],Tableau1[#All],7,FALSE))</f>
        <v/>
      </c>
      <c r="H84" s="13" t="str">
        <f>IF(Tableau13456789101112[[#This Row],[Repère]]="","",VLOOKUP(Tableau13456789101112[[#This Row],[Repère]],Tableau1[#All],8,FALSE))</f>
        <v/>
      </c>
      <c r="I84" s="13" t="str">
        <f>IF(Tableau13456789101112[[#This Row],[Repère]]="","",VLOOKUP(Tableau13456789101112[[#This Row],[Repère]],Tableau1[#All],9,FALSE))</f>
        <v/>
      </c>
      <c r="J84" s="13" t="str">
        <f>IF(Tableau13456789101112[[#This Row],[Repère]]="","",VLOOKUP(Tableau13456789101112[[#This Row],[Repère]],Tableau1[#All],10,FALSE))</f>
        <v/>
      </c>
      <c r="K84" s="13" t="str">
        <f>IF(Tableau13456789101112[[#This Row],[Repère]]="","",VLOOKUP(Tableau13456789101112[[#This Row],[Repère]],Tableau1[#All],11,FALSE))</f>
        <v/>
      </c>
      <c r="L84" s="14" t="str">
        <f>IF(Tableau13456789101112[[#This Row],[Repère]]="","",VLOOKUP(Tableau13456789101112[[#This Row],[Repère]],Tableau1[#All],12,FALSE))</f>
        <v/>
      </c>
    </row>
    <row r="85" spans="1:12" x14ac:dyDescent="0.3">
      <c r="A85" s="18"/>
      <c r="B85" s="19"/>
      <c r="C85" s="13" t="str">
        <f>IF(Tableau13456789101112[[#This Row],[Repère]]="","",VLOOKUP(Tableau13456789101112[[#This Row],[Repère]],Tableau1[#All],3,FALSE))</f>
        <v/>
      </c>
      <c r="D85" s="13" t="str">
        <f>IF(Tableau13456789101112[[#This Row],[Repère]]="","",VLOOKUP(Tableau13456789101112[[#This Row],[Repère]],Tableau1[#All],4,FALSE))</f>
        <v/>
      </c>
      <c r="E85" s="13" t="str">
        <f>IF(Tableau13456789101112[[#This Row],[Repère]]="","",VLOOKUP(Tableau13456789101112[[#This Row],[Repère]],Tableau1[#All],5,FALSE))</f>
        <v/>
      </c>
      <c r="F85" s="13" t="str">
        <f>IF(Tableau13456789101112[[#This Row],[Repère]]="","",VLOOKUP(Tableau13456789101112[[#This Row],[Repère]],Tableau1[#All],6,FALSE))</f>
        <v/>
      </c>
      <c r="G85" s="13" t="str">
        <f>IF(Tableau13456789101112[[#This Row],[Repère]]="","",VLOOKUP(Tableau13456789101112[[#This Row],[Repère]],Tableau1[#All],7,FALSE))</f>
        <v/>
      </c>
      <c r="H85" s="13" t="str">
        <f>IF(Tableau13456789101112[[#This Row],[Repère]]="","",VLOOKUP(Tableau13456789101112[[#This Row],[Repère]],Tableau1[#All],8,FALSE))</f>
        <v/>
      </c>
      <c r="I85" s="13" t="str">
        <f>IF(Tableau13456789101112[[#This Row],[Repère]]="","",VLOOKUP(Tableau13456789101112[[#This Row],[Repère]],Tableau1[#All],9,FALSE))</f>
        <v/>
      </c>
      <c r="J85" s="13" t="str">
        <f>IF(Tableau13456789101112[[#This Row],[Repère]]="","",VLOOKUP(Tableau13456789101112[[#This Row],[Repère]],Tableau1[#All],10,FALSE))</f>
        <v/>
      </c>
      <c r="K85" s="13" t="str">
        <f>IF(Tableau13456789101112[[#This Row],[Repère]]="","",VLOOKUP(Tableau13456789101112[[#This Row],[Repère]],Tableau1[#All],11,FALSE))</f>
        <v/>
      </c>
      <c r="L85" s="14" t="str">
        <f>IF(Tableau13456789101112[[#This Row],[Repère]]="","",VLOOKUP(Tableau13456789101112[[#This Row],[Repère]],Tableau1[#All],12,FALSE))</f>
        <v/>
      </c>
    </row>
    <row r="86" spans="1:12" x14ac:dyDescent="0.3">
      <c r="A86" s="18"/>
      <c r="B86" s="19"/>
      <c r="C86" s="13" t="str">
        <f>IF(Tableau13456789101112[[#This Row],[Repère]]="","",VLOOKUP(Tableau13456789101112[[#This Row],[Repère]],Tableau1[#All],3,FALSE))</f>
        <v/>
      </c>
      <c r="D86" s="13" t="str">
        <f>IF(Tableau13456789101112[[#This Row],[Repère]]="","",VLOOKUP(Tableau13456789101112[[#This Row],[Repère]],Tableau1[#All],4,FALSE))</f>
        <v/>
      </c>
      <c r="E86" s="13" t="str">
        <f>IF(Tableau13456789101112[[#This Row],[Repère]]="","",VLOOKUP(Tableau13456789101112[[#This Row],[Repère]],Tableau1[#All],5,FALSE))</f>
        <v/>
      </c>
      <c r="F86" s="13" t="str">
        <f>IF(Tableau13456789101112[[#This Row],[Repère]]="","",VLOOKUP(Tableau13456789101112[[#This Row],[Repère]],Tableau1[#All],6,FALSE))</f>
        <v/>
      </c>
      <c r="G86" s="13" t="str">
        <f>IF(Tableau13456789101112[[#This Row],[Repère]]="","",VLOOKUP(Tableau13456789101112[[#This Row],[Repère]],Tableau1[#All],7,FALSE))</f>
        <v/>
      </c>
      <c r="H86" s="13" t="str">
        <f>IF(Tableau13456789101112[[#This Row],[Repère]]="","",VLOOKUP(Tableau13456789101112[[#This Row],[Repère]],Tableau1[#All],8,FALSE))</f>
        <v/>
      </c>
      <c r="I86" s="13" t="str">
        <f>IF(Tableau13456789101112[[#This Row],[Repère]]="","",VLOOKUP(Tableau13456789101112[[#This Row],[Repère]],Tableau1[#All],9,FALSE))</f>
        <v/>
      </c>
      <c r="J86" s="13" t="str">
        <f>IF(Tableau13456789101112[[#This Row],[Repère]]="","",VLOOKUP(Tableau13456789101112[[#This Row],[Repère]],Tableau1[#All],10,FALSE))</f>
        <v/>
      </c>
      <c r="K86" s="13" t="str">
        <f>IF(Tableau13456789101112[[#This Row],[Repère]]="","",VLOOKUP(Tableau13456789101112[[#This Row],[Repère]],Tableau1[#All],11,FALSE))</f>
        <v/>
      </c>
      <c r="L86" s="14" t="str">
        <f>IF(Tableau13456789101112[[#This Row],[Repère]]="","",VLOOKUP(Tableau13456789101112[[#This Row],[Repère]],Tableau1[#All],12,FALSE))</f>
        <v/>
      </c>
    </row>
    <row r="87" spans="1:12" x14ac:dyDescent="0.3">
      <c r="A87" s="18"/>
      <c r="B87" s="19"/>
      <c r="C87" s="13" t="str">
        <f>IF(Tableau13456789101112[[#This Row],[Repère]]="","",VLOOKUP(Tableau13456789101112[[#This Row],[Repère]],Tableau1[#All],3,FALSE))</f>
        <v/>
      </c>
      <c r="D87" s="13" t="str">
        <f>IF(Tableau13456789101112[[#This Row],[Repère]]="","",VLOOKUP(Tableau13456789101112[[#This Row],[Repère]],Tableau1[#All],4,FALSE))</f>
        <v/>
      </c>
      <c r="E87" s="13" t="str">
        <f>IF(Tableau13456789101112[[#This Row],[Repère]]="","",VLOOKUP(Tableau13456789101112[[#This Row],[Repère]],Tableau1[#All],5,FALSE))</f>
        <v/>
      </c>
      <c r="F87" s="13" t="str">
        <f>IF(Tableau13456789101112[[#This Row],[Repère]]="","",VLOOKUP(Tableau13456789101112[[#This Row],[Repère]],Tableau1[#All],6,FALSE))</f>
        <v/>
      </c>
      <c r="G87" s="13" t="str">
        <f>IF(Tableau13456789101112[[#This Row],[Repère]]="","",VLOOKUP(Tableau13456789101112[[#This Row],[Repère]],Tableau1[#All],7,FALSE))</f>
        <v/>
      </c>
      <c r="H87" s="13" t="str">
        <f>IF(Tableau13456789101112[[#This Row],[Repère]]="","",VLOOKUP(Tableau13456789101112[[#This Row],[Repère]],Tableau1[#All],8,FALSE))</f>
        <v/>
      </c>
      <c r="I87" s="13" t="str">
        <f>IF(Tableau13456789101112[[#This Row],[Repère]]="","",VLOOKUP(Tableau13456789101112[[#This Row],[Repère]],Tableau1[#All],9,FALSE))</f>
        <v/>
      </c>
      <c r="J87" s="13" t="str">
        <f>IF(Tableau13456789101112[[#This Row],[Repère]]="","",VLOOKUP(Tableau13456789101112[[#This Row],[Repère]],Tableau1[#All],10,FALSE))</f>
        <v/>
      </c>
      <c r="K87" s="13" t="str">
        <f>IF(Tableau13456789101112[[#This Row],[Repère]]="","",VLOOKUP(Tableau13456789101112[[#This Row],[Repère]],Tableau1[#All],11,FALSE))</f>
        <v/>
      </c>
      <c r="L87" s="14" t="str">
        <f>IF(Tableau13456789101112[[#This Row],[Repère]]="","",VLOOKUP(Tableau13456789101112[[#This Row],[Repère]],Tableau1[#All],12,FALSE))</f>
        <v/>
      </c>
    </row>
    <row r="88" spans="1:12" x14ac:dyDescent="0.3">
      <c r="A88" s="18"/>
      <c r="B88" s="19"/>
      <c r="C88" s="13" t="str">
        <f>IF(Tableau13456789101112[[#This Row],[Repère]]="","",VLOOKUP(Tableau13456789101112[[#This Row],[Repère]],Tableau1[#All],3,FALSE))</f>
        <v/>
      </c>
      <c r="D88" s="13" t="str">
        <f>IF(Tableau13456789101112[[#This Row],[Repère]]="","",VLOOKUP(Tableau13456789101112[[#This Row],[Repère]],Tableau1[#All],4,FALSE))</f>
        <v/>
      </c>
      <c r="E88" s="13" t="str">
        <f>IF(Tableau13456789101112[[#This Row],[Repère]]="","",VLOOKUP(Tableau13456789101112[[#This Row],[Repère]],Tableau1[#All],5,FALSE))</f>
        <v/>
      </c>
      <c r="F88" s="13" t="str">
        <f>IF(Tableau13456789101112[[#This Row],[Repère]]="","",VLOOKUP(Tableau13456789101112[[#This Row],[Repère]],Tableau1[#All],6,FALSE))</f>
        <v/>
      </c>
      <c r="G88" s="13" t="str">
        <f>IF(Tableau13456789101112[[#This Row],[Repère]]="","",VLOOKUP(Tableau13456789101112[[#This Row],[Repère]],Tableau1[#All],7,FALSE))</f>
        <v/>
      </c>
      <c r="H88" s="13" t="str">
        <f>IF(Tableau13456789101112[[#This Row],[Repère]]="","",VLOOKUP(Tableau13456789101112[[#This Row],[Repère]],Tableau1[#All],8,FALSE))</f>
        <v/>
      </c>
      <c r="I88" s="13" t="str">
        <f>IF(Tableau13456789101112[[#This Row],[Repère]]="","",VLOOKUP(Tableau13456789101112[[#This Row],[Repère]],Tableau1[#All],9,FALSE))</f>
        <v/>
      </c>
      <c r="J88" s="13" t="str">
        <f>IF(Tableau13456789101112[[#This Row],[Repère]]="","",VLOOKUP(Tableau13456789101112[[#This Row],[Repère]],Tableau1[#All],10,FALSE))</f>
        <v/>
      </c>
      <c r="K88" s="13" t="str">
        <f>IF(Tableau13456789101112[[#This Row],[Repère]]="","",VLOOKUP(Tableau13456789101112[[#This Row],[Repère]],Tableau1[#All],11,FALSE))</f>
        <v/>
      </c>
      <c r="L88" s="14" t="str">
        <f>IF(Tableau13456789101112[[#This Row],[Repère]]="","",VLOOKUP(Tableau13456789101112[[#This Row],[Repère]],Tableau1[#All],12,FALSE))</f>
        <v/>
      </c>
    </row>
    <row r="89" spans="1:12" x14ac:dyDescent="0.3">
      <c r="A89" s="18"/>
      <c r="B89" s="19"/>
      <c r="C89" s="13" t="str">
        <f>IF(Tableau13456789101112[[#This Row],[Repère]]="","",VLOOKUP(Tableau13456789101112[[#This Row],[Repère]],Tableau1[#All],3,FALSE))</f>
        <v/>
      </c>
      <c r="D89" s="13" t="str">
        <f>IF(Tableau13456789101112[[#This Row],[Repère]]="","",VLOOKUP(Tableau13456789101112[[#This Row],[Repère]],Tableau1[#All],4,FALSE))</f>
        <v/>
      </c>
      <c r="E89" s="13" t="str">
        <f>IF(Tableau13456789101112[[#This Row],[Repère]]="","",VLOOKUP(Tableau13456789101112[[#This Row],[Repère]],Tableau1[#All],5,FALSE))</f>
        <v/>
      </c>
      <c r="F89" s="13" t="str">
        <f>IF(Tableau13456789101112[[#This Row],[Repère]]="","",VLOOKUP(Tableau13456789101112[[#This Row],[Repère]],Tableau1[#All],6,FALSE))</f>
        <v/>
      </c>
      <c r="G89" s="13" t="str">
        <f>IF(Tableau13456789101112[[#This Row],[Repère]]="","",VLOOKUP(Tableau13456789101112[[#This Row],[Repère]],Tableau1[#All],7,FALSE))</f>
        <v/>
      </c>
      <c r="H89" s="13" t="str">
        <f>IF(Tableau13456789101112[[#This Row],[Repère]]="","",VLOOKUP(Tableau13456789101112[[#This Row],[Repère]],Tableau1[#All],8,FALSE))</f>
        <v/>
      </c>
      <c r="I89" s="13" t="str">
        <f>IF(Tableau13456789101112[[#This Row],[Repère]]="","",VLOOKUP(Tableau13456789101112[[#This Row],[Repère]],Tableau1[#All],9,FALSE))</f>
        <v/>
      </c>
      <c r="J89" s="13" t="str">
        <f>IF(Tableau13456789101112[[#This Row],[Repère]]="","",VLOOKUP(Tableau13456789101112[[#This Row],[Repère]],Tableau1[#All],10,FALSE))</f>
        <v/>
      </c>
      <c r="K89" s="13" t="str">
        <f>IF(Tableau13456789101112[[#This Row],[Repère]]="","",VLOOKUP(Tableau13456789101112[[#This Row],[Repère]],Tableau1[#All],11,FALSE))</f>
        <v/>
      </c>
      <c r="L89" s="14" t="str">
        <f>IF(Tableau13456789101112[[#This Row],[Repère]]="","",VLOOKUP(Tableau13456789101112[[#This Row],[Repère]],Tableau1[#All],12,FALSE))</f>
        <v/>
      </c>
    </row>
    <row r="90" spans="1:12" x14ac:dyDescent="0.3">
      <c r="A90" s="18"/>
      <c r="B90" s="19"/>
      <c r="C90" s="13" t="str">
        <f>IF(Tableau13456789101112[[#This Row],[Repère]]="","",VLOOKUP(Tableau13456789101112[[#This Row],[Repère]],Tableau1[#All],3,FALSE))</f>
        <v/>
      </c>
      <c r="D90" s="13" t="str">
        <f>IF(Tableau13456789101112[[#This Row],[Repère]]="","",VLOOKUP(Tableau13456789101112[[#This Row],[Repère]],Tableau1[#All],4,FALSE))</f>
        <v/>
      </c>
      <c r="E90" s="13" t="str">
        <f>IF(Tableau13456789101112[[#This Row],[Repère]]="","",VLOOKUP(Tableau13456789101112[[#This Row],[Repère]],Tableau1[#All],5,FALSE))</f>
        <v/>
      </c>
      <c r="F90" s="13" t="str">
        <f>IF(Tableau13456789101112[[#This Row],[Repère]]="","",VLOOKUP(Tableau13456789101112[[#This Row],[Repère]],Tableau1[#All],6,FALSE))</f>
        <v/>
      </c>
      <c r="G90" s="13" t="str">
        <f>IF(Tableau13456789101112[[#This Row],[Repère]]="","",VLOOKUP(Tableau13456789101112[[#This Row],[Repère]],Tableau1[#All],7,FALSE))</f>
        <v/>
      </c>
      <c r="H90" s="13" t="str">
        <f>IF(Tableau13456789101112[[#This Row],[Repère]]="","",VLOOKUP(Tableau13456789101112[[#This Row],[Repère]],Tableau1[#All],8,FALSE))</f>
        <v/>
      </c>
      <c r="I90" s="13" t="str">
        <f>IF(Tableau13456789101112[[#This Row],[Repère]]="","",VLOOKUP(Tableau13456789101112[[#This Row],[Repère]],Tableau1[#All],9,FALSE))</f>
        <v/>
      </c>
      <c r="J90" s="13" t="str">
        <f>IF(Tableau13456789101112[[#This Row],[Repère]]="","",VLOOKUP(Tableau13456789101112[[#This Row],[Repère]],Tableau1[#All],10,FALSE))</f>
        <v/>
      </c>
      <c r="K90" s="13" t="str">
        <f>IF(Tableau13456789101112[[#This Row],[Repère]]="","",VLOOKUP(Tableau13456789101112[[#This Row],[Repère]],Tableau1[#All],11,FALSE))</f>
        <v/>
      </c>
      <c r="L90" s="14" t="str">
        <f>IF(Tableau13456789101112[[#This Row],[Repère]]="","",VLOOKUP(Tableau13456789101112[[#This Row],[Repère]],Tableau1[#All],12,FALSE))</f>
        <v/>
      </c>
    </row>
    <row r="91" spans="1:12" x14ac:dyDescent="0.3">
      <c r="A91" s="18"/>
      <c r="B91" s="19"/>
      <c r="C91" s="13" t="str">
        <f>IF(Tableau13456789101112[[#This Row],[Repère]]="","",VLOOKUP(Tableau13456789101112[[#This Row],[Repère]],Tableau1[#All],3,FALSE))</f>
        <v/>
      </c>
      <c r="D91" s="13" t="str">
        <f>IF(Tableau13456789101112[[#This Row],[Repère]]="","",VLOOKUP(Tableau13456789101112[[#This Row],[Repère]],Tableau1[#All],4,FALSE))</f>
        <v/>
      </c>
      <c r="E91" s="13" t="str">
        <f>IF(Tableau13456789101112[[#This Row],[Repère]]="","",VLOOKUP(Tableau13456789101112[[#This Row],[Repère]],Tableau1[#All],5,FALSE))</f>
        <v/>
      </c>
      <c r="F91" s="13" t="str">
        <f>IF(Tableau13456789101112[[#This Row],[Repère]]="","",VLOOKUP(Tableau13456789101112[[#This Row],[Repère]],Tableau1[#All],6,FALSE))</f>
        <v/>
      </c>
      <c r="G91" s="13" t="str">
        <f>IF(Tableau13456789101112[[#This Row],[Repère]]="","",VLOOKUP(Tableau13456789101112[[#This Row],[Repère]],Tableau1[#All],7,FALSE))</f>
        <v/>
      </c>
      <c r="H91" s="13" t="str">
        <f>IF(Tableau13456789101112[[#This Row],[Repère]]="","",VLOOKUP(Tableau13456789101112[[#This Row],[Repère]],Tableau1[#All],8,FALSE))</f>
        <v/>
      </c>
      <c r="I91" s="13" t="str">
        <f>IF(Tableau13456789101112[[#This Row],[Repère]]="","",VLOOKUP(Tableau13456789101112[[#This Row],[Repère]],Tableau1[#All],9,FALSE))</f>
        <v/>
      </c>
      <c r="J91" s="13" t="str">
        <f>IF(Tableau13456789101112[[#This Row],[Repère]]="","",VLOOKUP(Tableau13456789101112[[#This Row],[Repère]],Tableau1[#All],10,FALSE))</f>
        <v/>
      </c>
      <c r="K91" s="13" t="str">
        <f>IF(Tableau13456789101112[[#This Row],[Repère]]="","",VLOOKUP(Tableau13456789101112[[#This Row],[Repère]],Tableau1[#All],11,FALSE))</f>
        <v/>
      </c>
      <c r="L91" s="14" t="str">
        <f>IF(Tableau13456789101112[[#This Row],[Repère]]="","",VLOOKUP(Tableau13456789101112[[#This Row],[Repère]],Tableau1[#All],12,FALSE))</f>
        <v/>
      </c>
    </row>
    <row r="92" spans="1:12" x14ac:dyDescent="0.3">
      <c r="A92" s="18"/>
      <c r="B92" s="19"/>
      <c r="C92" s="13" t="str">
        <f>IF(Tableau13456789101112[[#This Row],[Repère]]="","",VLOOKUP(Tableau13456789101112[[#This Row],[Repère]],Tableau1[#All],3,FALSE))</f>
        <v/>
      </c>
      <c r="D92" s="13" t="str">
        <f>IF(Tableau13456789101112[[#This Row],[Repère]]="","",VLOOKUP(Tableau13456789101112[[#This Row],[Repère]],Tableau1[#All],4,FALSE))</f>
        <v/>
      </c>
      <c r="E92" s="13" t="str">
        <f>IF(Tableau13456789101112[[#This Row],[Repère]]="","",VLOOKUP(Tableau13456789101112[[#This Row],[Repère]],Tableau1[#All],5,FALSE))</f>
        <v/>
      </c>
      <c r="F92" s="13" t="str">
        <f>IF(Tableau13456789101112[[#This Row],[Repère]]="","",VLOOKUP(Tableau13456789101112[[#This Row],[Repère]],Tableau1[#All],6,FALSE))</f>
        <v/>
      </c>
      <c r="G92" s="13" t="str">
        <f>IF(Tableau13456789101112[[#This Row],[Repère]]="","",VLOOKUP(Tableau13456789101112[[#This Row],[Repère]],Tableau1[#All],7,FALSE))</f>
        <v/>
      </c>
      <c r="H92" s="13" t="str">
        <f>IF(Tableau13456789101112[[#This Row],[Repère]]="","",VLOOKUP(Tableau13456789101112[[#This Row],[Repère]],Tableau1[#All],8,FALSE))</f>
        <v/>
      </c>
      <c r="I92" s="13" t="str">
        <f>IF(Tableau13456789101112[[#This Row],[Repère]]="","",VLOOKUP(Tableau13456789101112[[#This Row],[Repère]],Tableau1[#All],9,FALSE))</f>
        <v/>
      </c>
      <c r="J92" s="13" t="str">
        <f>IF(Tableau13456789101112[[#This Row],[Repère]]="","",VLOOKUP(Tableau13456789101112[[#This Row],[Repère]],Tableau1[#All],10,FALSE))</f>
        <v/>
      </c>
      <c r="K92" s="13" t="str">
        <f>IF(Tableau13456789101112[[#This Row],[Repère]]="","",VLOOKUP(Tableau13456789101112[[#This Row],[Repère]],Tableau1[#All],11,FALSE))</f>
        <v/>
      </c>
      <c r="L92" s="14" t="str">
        <f>IF(Tableau13456789101112[[#This Row],[Repère]]="","",VLOOKUP(Tableau13456789101112[[#This Row],[Repère]],Tableau1[#All],12,FALSE))</f>
        <v/>
      </c>
    </row>
    <row r="93" spans="1:12" x14ac:dyDescent="0.3">
      <c r="A93" s="18"/>
      <c r="B93" s="19"/>
      <c r="C93" s="13" t="str">
        <f>IF(Tableau13456789101112[[#This Row],[Repère]]="","",VLOOKUP(Tableau13456789101112[[#This Row],[Repère]],Tableau1[#All],3,FALSE))</f>
        <v/>
      </c>
      <c r="D93" s="13" t="str">
        <f>IF(Tableau13456789101112[[#This Row],[Repère]]="","",VLOOKUP(Tableau13456789101112[[#This Row],[Repère]],Tableau1[#All],4,FALSE))</f>
        <v/>
      </c>
      <c r="E93" s="13" t="str">
        <f>IF(Tableau13456789101112[[#This Row],[Repère]]="","",VLOOKUP(Tableau13456789101112[[#This Row],[Repère]],Tableau1[#All],5,FALSE))</f>
        <v/>
      </c>
      <c r="F93" s="13" t="str">
        <f>IF(Tableau13456789101112[[#This Row],[Repère]]="","",VLOOKUP(Tableau13456789101112[[#This Row],[Repère]],Tableau1[#All],6,FALSE))</f>
        <v/>
      </c>
      <c r="G93" s="13" t="str">
        <f>IF(Tableau13456789101112[[#This Row],[Repère]]="","",VLOOKUP(Tableau13456789101112[[#This Row],[Repère]],Tableau1[#All],7,FALSE))</f>
        <v/>
      </c>
      <c r="H93" s="13" t="str">
        <f>IF(Tableau13456789101112[[#This Row],[Repère]]="","",VLOOKUP(Tableau13456789101112[[#This Row],[Repère]],Tableau1[#All],8,FALSE))</f>
        <v/>
      </c>
      <c r="I93" s="13" t="str">
        <f>IF(Tableau13456789101112[[#This Row],[Repère]]="","",VLOOKUP(Tableau13456789101112[[#This Row],[Repère]],Tableau1[#All],9,FALSE))</f>
        <v/>
      </c>
      <c r="J93" s="13" t="str">
        <f>IF(Tableau13456789101112[[#This Row],[Repère]]="","",VLOOKUP(Tableau13456789101112[[#This Row],[Repère]],Tableau1[#All],10,FALSE))</f>
        <v/>
      </c>
      <c r="K93" s="13" t="str">
        <f>IF(Tableau13456789101112[[#This Row],[Repère]]="","",VLOOKUP(Tableau13456789101112[[#This Row],[Repère]],Tableau1[#All],11,FALSE))</f>
        <v/>
      </c>
      <c r="L93" s="14" t="str">
        <f>IF(Tableau13456789101112[[#This Row],[Repère]]="","",VLOOKUP(Tableau13456789101112[[#This Row],[Repère]],Tableau1[#All],12,FALSE))</f>
        <v/>
      </c>
    </row>
    <row r="94" spans="1:12" x14ac:dyDescent="0.3">
      <c r="A94" s="18"/>
      <c r="B94" s="19"/>
      <c r="C94" s="13" t="str">
        <f>IF(Tableau13456789101112[[#This Row],[Repère]]="","",VLOOKUP(Tableau13456789101112[[#This Row],[Repère]],Tableau1[#All],3,FALSE))</f>
        <v/>
      </c>
      <c r="D94" s="13" t="str">
        <f>IF(Tableau13456789101112[[#This Row],[Repère]]="","",VLOOKUP(Tableau13456789101112[[#This Row],[Repère]],Tableau1[#All],4,FALSE))</f>
        <v/>
      </c>
      <c r="E94" s="13" t="str">
        <f>IF(Tableau13456789101112[[#This Row],[Repère]]="","",VLOOKUP(Tableau13456789101112[[#This Row],[Repère]],Tableau1[#All],5,FALSE))</f>
        <v/>
      </c>
      <c r="F94" s="13" t="str">
        <f>IF(Tableau13456789101112[[#This Row],[Repère]]="","",VLOOKUP(Tableau13456789101112[[#This Row],[Repère]],Tableau1[#All],6,FALSE))</f>
        <v/>
      </c>
      <c r="G94" s="13" t="str">
        <f>IF(Tableau13456789101112[[#This Row],[Repère]]="","",VLOOKUP(Tableau13456789101112[[#This Row],[Repère]],Tableau1[#All],7,FALSE))</f>
        <v/>
      </c>
      <c r="H94" s="13" t="str">
        <f>IF(Tableau13456789101112[[#This Row],[Repère]]="","",VLOOKUP(Tableau13456789101112[[#This Row],[Repère]],Tableau1[#All],8,FALSE))</f>
        <v/>
      </c>
      <c r="I94" s="13" t="str">
        <f>IF(Tableau13456789101112[[#This Row],[Repère]]="","",VLOOKUP(Tableau13456789101112[[#This Row],[Repère]],Tableau1[#All],9,FALSE))</f>
        <v/>
      </c>
      <c r="J94" s="13" t="str">
        <f>IF(Tableau13456789101112[[#This Row],[Repère]]="","",VLOOKUP(Tableau13456789101112[[#This Row],[Repère]],Tableau1[#All],10,FALSE))</f>
        <v/>
      </c>
      <c r="K94" s="13" t="str">
        <f>IF(Tableau13456789101112[[#This Row],[Repère]]="","",VLOOKUP(Tableau13456789101112[[#This Row],[Repère]],Tableau1[#All],11,FALSE))</f>
        <v/>
      </c>
      <c r="L94" s="14" t="str">
        <f>IF(Tableau13456789101112[[#This Row],[Repère]]="","",VLOOKUP(Tableau13456789101112[[#This Row],[Repère]],Tableau1[#All],12,FALSE))</f>
        <v/>
      </c>
    </row>
    <row r="95" spans="1:12" x14ac:dyDescent="0.3">
      <c r="A95" s="18"/>
      <c r="B95" s="19"/>
      <c r="C95" s="13" t="str">
        <f>IF(Tableau13456789101112[[#This Row],[Repère]]="","",VLOOKUP(Tableau13456789101112[[#This Row],[Repère]],Tableau1[#All],3,FALSE))</f>
        <v/>
      </c>
      <c r="D95" s="13" t="str">
        <f>IF(Tableau13456789101112[[#This Row],[Repère]]="","",VLOOKUP(Tableau13456789101112[[#This Row],[Repère]],Tableau1[#All],4,FALSE))</f>
        <v/>
      </c>
      <c r="E95" s="13" t="str">
        <f>IF(Tableau13456789101112[[#This Row],[Repère]]="","",VLOOKUP(Tableau13456789101112[[#This Row],[Repère]],Tableau1[#All],5,FALSE))</f>
        <v/>
      </c>
      <c r="F95" s="13" t="str">
        <f>IF(Tableau13456789101112[[#This Row],[Repère]]="","",VLOOKUP(Tableau13456789101112[[#This Row],[Repère]],Tableau1[#All],6,FALSE))</f>
        <v/>
      </c>
      <c r="G95" s="13" t="str">
        <f>IF(Tableau13456789101112[[#This Row],[Repère]]="","",VLOOKUP(Tableau13456789101112[[#This Row],[Repère]],Tableau1[#All],7,FALSE))</f>
        <v/>
      </c>
      <c r="H95" s="13" t="str">
        <f>IF(Tableau13456789101112[[#This Row],[Repère]]="","",VLOOKUP(Tableau13456789101112[[#This Row],[Repère]],Tableau1[#All],8,FALSE))</f>
        <v/>
      </c>
      <c r="I95" s="13" t="str">
        <f>IF(Tableau13456789101112[[#This Row],[Repère]]="","",VLOOKUP(Tableau13456789101112[[#This Row],[Repère]],Tableau1[#All],9,FALSE))</f>
        <v/>
      </c>
      <c r="J95" s="13" t="str">
        <f>IF(Tableau13456789101112[[#This Row],[Repère]]="","",VLOOKUP(Tableau13456789101112[[#This Row],[Repère]],Tableau1[#All],10,FALSE))</f>
        <v/>
      </c>
      <c r="K95" s="13" t="str">
        <f>IF(Tableau13456789101112[[#This Row],[Repère]]="","",VLOOKUP(Tableau13456789101112[[#This Row],[Repère]],Tableau1[#All],11,FALSE))</f>
        <v/>
      </c>
      <c r="L95" s="14" t="str">
        <f>IF(Tableau13456789101112[[#This Row],[Repère]]="","",VLOOKUP(Tableau13456789101112[[#This Row],[Repère]],Tableau1[#All],12,FALSE))</f>
        <v/>
      </c>
    </row>
    <row r="96" spans="1:12" x14ac:dyDescent="0.3">
      <c r="A96" s="18"/>
      <c r="B96" s="19"/>
      <c r="C96" s="13" t="str">
        <f>IF(Tableau13456789101112[[#This Row],[Repère]]="","",VLOOKUP(Tableau13456789101112[[#This Row],[Repère]],Tableau1[#All],3,FALSE))</f>
        <v/>
      </c>
      <c r="D96" s="13" t="str">
        <f>IF(Tableau13456789101112[[#This Row],[Repère]]="","",VLOOKUP(Tableau13456789101112[[#This Row],[Repère]],Tableau1[#All],4,FALSE))</f>
        <v/>
      </c>
      <c r="E96" s="13" t="str">
        <f>IF(Tableau13456789101112[[#This Row],[Repère]]="","",VLOOKUP(Tableau13456789101112[[#This Row],[Repère]],Tableau1[#All],5,FALSE))</f>
        <v/>
      </c>
      <c r="F96" s="13" t="str">
        <f>IF(Tableau13456789101112[[#This Row],[Repère]]="","",VLOOKUP(Tableau13456789101112[[#This Row],[Repère]],Tableau1[#All],6,FALSE))</f>
        <v/>
      </c>
      <c r="G96" s="13" t="str">
        <f>IF(Tableau13456789101112[[#This Row],[Repère]]="","",VLOOKUP(Tableau13456789101112[[#This Row],[Repère]],Tableau1[#All],7,FALSE))</f>
        <v/>
      </c>
      <c r="H96" s="13" t="str">
        <f>IF(Tableau13456789101112[[#This Row],[Repère]]="","",VLOOKUP(Tableau13456789101112[[#This Row],[Repère]],Tableau1[#All],8,FALSE))</f>
        <v/>
      </c>
      <c r="I96" s="13" t="str">
        <f>IF(Tableau13456789101112[[#This Row],[Repère]]="","",VLOOKUP(Tableau13456789101112[[#This Row],[Repère]],Tableau1[#All],9,FALSE))</f>
        <v/>
      </c>
      <c r="J96" s="13" t="str">
        <f>IF(Tableau13456789101112[[#This Row],[Repère]]="","",VLOOKUP(Tableau13456789101112[[#This Row],[Repère]],Tableau1[#All],10,FALSE))</f>
        <v/>
      </c>
      <c r="K96" s="13" t="str">
        <f>IF(Tableau13456789101112[[#This Row],[Repère]]="","",VLOOKUP(Tableau13456789101112[[#This Row],[Repère]],Tableau1[#All],11,FALSE))</f>
        <v/>
      </c>
      <c r="L96" s="14" t="str">
        <f>IF(Tableau13456789101112[[#This Row],[Repère]]="","",VLOOKUP(Tableau13456789101112[[#This Row],[Repère]],Tableau1[#All],12,FALSE))</f>
        <v/>
      </c>
    </row>
    <row r="97" spans="1:12" x14ac:dyDescent="0.3">
      <c r="A97" s="18"/>
      <c r="B97" s="19"/>
      <c r="C97" s="13" t="str">
        <f>IF(Tableau13456789101112[[#This Row],[Repère]]="","",VLOOKUP(Tableau13456789101112[[#This Row],[Repère]],Tableau1[#All],3,FALSE))</f>
        <v/>
      </c>
      <c r="D97" s="13" t="str">
        <f>IF(Tableau13456789101112[[#This Row],[Repère]]="","",VLOOKUP(Tableau13456789101112[[#This Row],[Repère]],Tableau1[#All],4,FALSE))</f>
        <v/>
      </c>
      <c r="E97" s="13" t="str">
        <f>IF(Tableau13456789101112[[#This Row],[Repère]]="","",VLOOKUP(Tableau13456789101112[[#This Row],[Repère]],Tableau1[#All],5,FALSE))</f>
        <v/>
      </c>
      <c r="F97" s="13" t="str">
        <f>IF(Tableau13456789101112[[#This Row],[Repère]]="","",VLOOKUP(Tableau13456789101112[[#This Row],[Repère]],Tableau1[#All],6,FALSE))</f>
        <v/>
      </c>
      <c r="G97" s="13" t="str">
        <f>IF(Tableau13456789101112[[#This Row],[Repère]]="","",VLOOKUP(Tableau13456789101112[[#This Row],[Repère]],Tableau1[#All],7,FALSE))</f>
        <v/>
      </c>
      <c r="H97" s="13" t="str">
        <f>IF(Tableau13456789101112[[#This Row],[Repère]]="","",VLOOKUP(Tableau13456789101112[[#This Row],[Repère]],Tableau1[#All],8,FALSE))</f>
        <v/>
      </c>
      <c r="I97" s="13" t="str">
        <f>IF(Tableau13456789101112[[#This Row],[Repère]]="","",VLOOKUP(Tableau13456789101112[[#This Row],[Repère]],Tableau1[#All],9,FALSE))</f>
        <v/>
      </c>
      <c r="J97" s="13" t="str">
        <f>IF(Tableau13456789101112[[#This Row],[Repère]]="","",VLOOKUP(Tableau13456789101112[[#This Row],[Repère]],Tableau1[#All],10,FALSE))</f>
        <v/>
      </c>
      <c r="K97" s="13" t="str">
        <f>IF(Tableau13456789101112[[#This Row],[Repère]]="","",VLOOKUP(Tableau13456789101112[[#This Row],[Repère]],Tableau1[#All],11,FALSE))</f>
        <v/>
      </c>
      <c r="L97" s="14" t="str">
        <f>IF(Tableau13456789101112[[#This Row],[Repère]]="","",VLOOKUP(Tableau13456789101112[[#This Row],[Repère]],Tableau1[#All],12,FALSE))</f>
        <v/>
      </c>
    </row>
    <row r="98" spans="1:12" x14ac:dyDescent="0.3">
      <c r="A98" s="18"/>
      <c r="B98" s="19"/>
      <c r="C98" s="13" t="str">
        <f>IF(Tableau13456789101112[[#This Row],[Repère]]="","",VLOOKUP(Tableau13456789101112[[#This Row],[Repère]],Tableau1[#All],3,FALSE))</f>
        <v/>
      </c>
      <c r="D98" s="13" t="str">
        <f>IF(Tableau13456789101112[[#This Row],[Repère]]="","",VLOOKUP(Tableau13456789101112[[#This Row],[Repère]],Tableau1[#All],4,FALSE))</f>
        <v/>
      </c>
      <c r="E98" s="13" t="str">
        <f>IF(Tableau13456789101112[[#This Row],[Repère]]="","",VLOOKUP(Tableau13456789101112[[#This Row],[Repère]],Tableau1[#All],5,FALSE))</f>
        <v/>
      </c>
      <c r="F98" s="13" t="str">
        <f>IF(Tableau13456789101112[[#This Row],[Repère]]="","",VLOOKUP(Tableau13456789101112[[#This Row],[Repère]],Tableau1[#All],6,FALSE))</f>
        <v/>
      </c>
      <c r="G98" s="13" t="str">
        <f>IF(Tableau13456789101112[[#This Row],[Repère]]="","",VLOOKUP(Tableau13456789101112[[#This Row],[Repère]],Tableau1[#All],7,FALSE))</f>
        <v/>
      </c>
      <c r="H98" s="13" t="str">
        <f>IF(Tableau13456789101112[[#This Row],[Repère]]="","",VLOOKUP(Tableau13456789101112[[#This Row],[Repère]],Tableau1[#All],8,FALSE))</f>
        <v/>
      </c>
      <c r="I98" s="13" t="str">
        <f>IF(Tableau13456789101112[[#This Row],[Repère]]="","",VLOOKUP(Tableau13456789101112[[#This Row],[Repère]],Tableau1[#All],9,FALSE))</f>
        <v/>
      </c>
      <c r="J98" s="13" t="str">
        <f>IF(Tableau13456789101112[[#This Row],[Repère]]="","",VLOOKUP(Tableau13456789101112[[#This Row],[Repère]],Tableau1[#All],10,FALSE))</f>
        <v/>
      </c>
      <c r="K98" s="13" t="str">
        <f>IF(Tableau13456789101112[[#This Row],[Repère]]="","",VLOOKUP(Tableau13456789101112[[#This Row],[Repère]],Tableau1[#All],11,FALSE))</f>
        <v/>
      </c>
      <c r="L98" s="14" t="str">
        <f>IF(Tableau13456789101112[[#This Row],[Repère]]="","",VLOOKUP(Tableau13456789101112[[#This Row],[Repère]],Tableau1[#All],12,FALSE))</f>
        <v/>
      </c>
    </row>
    <row r="99" spans="1:12" x14ac:dyDescent="0.3">
      <c r="A99" s="18"/>
      <c r="B99" s="19"/>
      <c r="C99" s="13" t="str">
        <f>IF(Tableau13456789101112[[#This Row],[Repère]]="","",VLOOKUP(Tableau13456789101112[[#This Row],[Repère]],Tableau1[#All],3,FALSE))</f>
        <v/>
      </c>
      <c r="D99" s="13" t="str">
        <f>IF(Tableau13456789101112[[#This Row],[Repère]]="","",VLOOKUP(Tableau13456789101112[[#This Row],[Repère]],Tableau1[#All],4,FALSE))</f>
        <v/>
      </c>
      <c r="E99" s="13" t="str">
        <f>IF(Tableau13456789101112[[#This Row],[Repère]]="","",VLOOKUP(Tableau13456789101112[[#This Row],[Repère]],Tableau1[#All],5,FALSE))</f>
        <v/>
      </c>
      <c r="F99" s="13" t="str">
        <f>IF(Tableau13456789101112[[#This Row],[Repère]]="","",VLOOKUP(Tableau13456789101112[[#This Row],[Repère]],Tableau1[#All],6,FALSE))</f>
        <v/>
      </c>
      <c r="G99" s="13" t="str">
        <f>IF(Tableau13456789101112[[#This Row],[Repère]]="","",VLOOKUP(Tableau13456789101112[[#This Row],[Repère]],Tableau1[#All],7,FALSE))</f>
        <v/>
      </c>
      <c r="H99" s="13" t="str">
        <f>IF(Tableau13456789101112[[#This Row],[Repère]]="","",VLOOKUP(Tableau13456789101112[[#This Row],[Repère]],Tableau1[#All],8,FALSE))</f>
        <v/>
      </c>
      <c r="I99" s="13" t="str">
        <f>IF(Tableau13456789101112[[#This Row],[Repère]]="","",VLOOKUP(Tableau13456789101112[[#This Row],[Repère]],Tableau1[#All],9,FALSE))</f>
        <v/>
      </c>
      <c r="J99" s="13" t="str">
        <f>IF(Tableau13456789101112[[#This Row],[Repère]]="","",VLOOKUP(Tableau13456789101112[[#This Row],[Repère]],Tableau1[#All],10,FALSE))</f>
        <v/>
      </c>
      <c r="K99" s="13" t="str">
        <f>IF(Tableau13456789101112[[#This Row],[Repère]]="","",VLOOKUP(Tableau13456789101112[[#This Row],[Repère]],Tableau1[#All],11,FALSE))</f>
        <v/>
      </c>
      <c r="L99" s="14" t="str">
        <f>IF(Tableau13456789101112[[#This Row],[Repère]]="","",VLOOKUP(Tableau13456789101112[[#This Row],[Repère]],Tableau1[#All],12,FALSE))</f>
        <v/>
      </c>
    </row>
    <row r="100" spans="1:12" x14ac:dyDescent="0.3">
      <c r="A100" s="18"/>
      <c r="B100" s="19"/>
      <c r="C100" s="13" t="str">
        <f>IF(Tableau13456789101112[[#This Row],[Repère]]="","",VLOOKUP(Tableau13456789101112[[#This Row],[Repère]],Tableau1[#All],3,FALSE))</f>
        <v/>
      </c>
      <c r="D100" s="13" t="str">
        <f>IF(Tableau13456789101112[[#This Row],[Repère]]="","",VLOOKUP(Tableau13456789101112[[#This Row],[Repère]],Tableau1[#All],4,FALSE))</f>
        <v/>
      </c>
      <c r="E100" s="13" t="str">
        <f>IF(Tableau13456789101112[[#This Row],[Repère]]="","",VLOOKUP(Tableau13456789101112[[#This Row],[Repère]],Tableau1[#All],5,FALSE))</f>
        <v/>
      </c>
      <c r="F100" s="13" t="str">
        <f>IF(Tableau13456789101112[[#This Row],[Repère]]="","",VLOOKUP(Tableau13456789101112[[#This Row],[Repère]],Tableau1[#All],6,FALSE))</f>
        <v/>
      </c>
      <c r="G100" s="13" t="str">
        <f>IF(Tableau13456789101112[[#This Row],[Repère]]="","",VLOOKUP(Tableau13456789101112[[#This Row],[Repère]],Tableau1[#All],7,FALSE))</f>
        <v/>
      </c>
      <c r="H100" s="13" t="str">
        <f>IF(Tableau13456789101112[[#This Row],[Repère]]="","",VLOOKUP(Tableau13456789101112[[#This Row],[Repère]],Tableau1[#All],8,FALSE))</f>
        <v/>
      </c>
      <c r="I100" s="13" t="str">
        <f>IF(Tableau13456789101112[[#This Row],[Repère]]="","",VLOOKUP(Tableau13456789101112[[#This Row],[Repère]],Tableau1[#All],9,FALSE))</f>
        <v/>
      </c>
      <c r="J100" s="13" t="str">
        <f>IF(Tableau13456789101112[[#This Row],[Repère]]="","",VLOOKUP(Tableau13456789101112[[#This Row],[Repère]],Tableau1[#All],10,FALSE))</f>
        <v/>
      </c>
      <c r="K100" s="13" t="str">
        <f>IF(Tableau13456789101112[[#This Row],[Repère]]="","",VLOOKUP(Tableau13456789101112[[#This Row],[Repère]],Tableau1[#All],11,FALSE))</f>
        <v/>
      </c>
      <c r="L100" s="14" t="str">
        <f>IF(Tableau13456789101112[[#This Row],[Repère]]="","",VLOOKUP(Tableau13456789101112[[#This Row],[Repère]],Tableau1[#All],12,FALSE))</f>
        <v/>
      </c>
    </row>
    <row r="101" spans="1:12" x14ac:dyDescent="0.3">
      <c r="A101" s="18"/>
      <c r="B101" s="19"/>
      <c r="C101" s="13" t="str">
        <f>IF(Tableau13456789101112[[#This Row],[Repère]]="","",VLOOKUP(Tableau13456789101112[[#This Row],[Repère]],Tableau1[#All],3,FALSE))</f>
        <v/>
      </c>
      <c r="D101" s="13" t="str">
        <f>IF(Tableau13456789101112[[#This Row],[Repère]]="","",VLOOKUP(Tableau13456789101112[[#This Row],[Repère]],Tableau1[#All],4,FALSE))</f>
        <v/>
      </c>
      <c r="E101" s="13" t="str">
        <f>IF(Tableau13456789101112[[#This Row],[Repère]]="","",VLOOKUP(Tableau13456789101112[[#This Row],[Repère]],Tableau1[#All],5,FALSE))</f>
        <v/>
      </c>
      <c r="F101" s="13" t="str">
        <f>IF(Tableau13456789101112[[#This Row],[Repère]]="","",VLOOKUP(Tableau13456789101112[[#This Row],[Repère]],Tableau1[#All],6,FALSE))</f>
        <v/>
      </c>
      <c r="G101" s="13" t="str">
        <f>IF(Tableau13456789101112[[#This Row],[Repère]]="","",VLOOKUP(Tableau13456789101112[[#This Row],[Repère]],Tableau1[#All],7,FALSE))</f>
        <v/>
      </c>
      <c r="H101" s="13" t="str">
        <f>IF(Tableau13456789101112[[#This Row],[Repère]]="","",VLOOKUP(Tableau13456789101112[[#This Row],[Repère]],Tableau1[#All],8,FALSE))</f>
        <v/>
      </c>
      <c r="I101" s="13" t="str">
        <f>IF(Tableau13456789101112[[#This Row],[Repère]]="","",VLOOKUP(Tableau13456789101112[[#This Row],[Repère]],Tableau1[#All],9,FALSE))</f>
        <v/>
      </c>
      <c r="J101" s="13" t="str">
        <f>IF(Tableau13456789101112[[#This Row],[Repère]]="","",VLOOKUP(Tableau13456789101112[[#This Row],[Repère]],Tableau1[#All],10,FALSE))</f>
        <v/>
      </c>
      <c r="K101" s="13" t="str">
        <f>IF(Tableau13456789101112[[#This Row],[Repère]]="","",VLOOKUP(Tableau13456789101112[[#This Row],[Repère]],Tableau1[#All],11,FALSE))</f>
        <v/>
      </c>
      <c r="L101" s="14" t="str">
        <f>IF(Tableau13456789101112[[#This Row],[Repère]]="","",VLOOKUP(Tableau13456789101112[[#This Row],[Repère]],Tableau1[#All],12,FALSE))</f>
        <v/>
      </c>
    </row>
  </sheetData>
  <sheetProtection algorithmName="SHA-512" hashValue="ay/dkyIAd9TUUuMEsMxdx+v4SWnu1WKjFH3rDVXRdIlEFJ1qxQg5EsIu7W2659QWPw5BbtMn2Pv1fkN3JTOEig==" saltValue="Z/PnMpxNibAjTry+8n7OJw==" spinCount="100000" sheet="1" objects="1" scenario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0631-0643-4875-BC38-BEBF56AC59F3}">
  <dimension ref="A1:L101"/>
  <sheetViews>
    <sheetView workbookViewId="0">
      <selection activeCell="A2" sqref="A2"/>
    </sheetView>
  </sheetViews>
  <sheetFormatPr baseColWidth="10" defaultColWidth="9.109375" defaultRowHeight="13.2" x14ac:dyDescent="0.3"/>
  <cols>
    <col min="1" max="1" width="13.21875" style="10" bestFit="1" customWidth="1"/>
    <col min="2" max="2" width="9.88671875" style="10" bestFit="1" customWidth="1"/>
    <col min="3" max="3" width="33" style="10" customWidth="1"/>
    <col min="4" max="4" width="12.88671875" style="10" bestFit="1" customWidth="1"/>
    <col min="5" max="5" width="15.5546875" style="10" bestFit="1" customWidth="1"/>
    <col min="6" max="6" width="8.33203125" style="10" bestFit="1" customWidth="1"/>
    <col min="7" max="7" width="13.33203125" style="10" bestFit="1" customWidth="1"/>
    <col min="8" max="8" width="13.44140625" style="10" bestFit="1" customWidth="1"/>
    <col min="9" max="9" width="41" style="10" bestFit="1" customWidth="1"/>
    <col min="10" max="10" width="9.88671875" style="10" bestFit="1" customWidth="1"/>
    <col min="11" max="11" width="18" style="10" bestFit="1" customWidth="1"/>
    <col min="12" max="12" width="24.6640625" style="10" bestFit="1" customWidth="1"/>
    <col min="13" max="16384" width="9.109375" style="10"/>
  </cols>
  <sheetData>
    <row r="1" spans="1:12" x14ac:dyDescent="0.3">
      <c r="A1" s="17" t="s">
        <v>0</v>
      </c>
      <c r="B1" s="11" t="s">
        <v>1</v>
      </c>
      <c r="C1" s="11" t="s">
        <v>2</v>
      </c>
      <c r="D1" s="11" t="s">
        <v>8</v>
      </c>
      <c r="E1" s="11" t="s">
        <v>5</v>
      </c>
      <c r="F1" s="11" t="s">
        <v>4</v>
      </c>
      <c r="G1" s="11" t="s">
        <v>6</v>
      </c>
      <c r="H1" s="11" t="s">
        <v>3</v>
      </c>
      <c r="I1" s="11" t="s">
        <v>10</v>
      </c>
      <c r="J1" s="11" t="s">
        <v>12</v>
      </c>
      <c r="K1" s="11" t="s">
        <v>11</v>
      </c>
      <c r="L1" s="12" t="s">
        <v>9</v>
      </c>
    </row>
    <row r="2" spans="1:12" x14ac:dyDescent="0.3">
      <c r="A2" s="18"/>
      <c r="B2" s="19"/>
      <c r="C2" s="13" t="str">
        <f>IF(Tableau134567891011[[#This Row],[Repère]]="","",VLOOKUP(Tableau134567891011[[#This Row],[Repère]],Tableau1[#All],3,FALSE))</f>
        <v/>
      </c>
      <c r="D2" s="13" t="str">
        <f>IF(Tableau134567891011[[#This Row],[Repère]]="","",VLOOKUP(Tableau134567891011[[#This Row],[Repère]],Tableau1[#All],4,FALSE))</f>
        <v/>
      </c>
      <c r="E2" s="13" t="str">
        <f>IF(Tableau134567891011[[#This Row],[Repère]]="","",VLOOKUP(Tableau134567891011[[#This Row],[Repère]],Tableau1[#All],5,FALSE))</f>
        <v/>
      </c>
      <c r="F2" s="13" t="str">
        <f>IF(Tableau134567891011[[#This Row],[Repère]]="","",VLOOKUP(Tableau134567891011[[#This Row],[Repère]],Tableau1[#All],6,FALSE))</f>
        <v/>
      </c>
      <c r="G2" s="13" t="str">
        <f>IF(Tableau134567891011[[#This Row],[Repère]]="","",VLOOKUP(Tableau134567891011[[#This Row],[Repère]],Tableau1[#All],7,FALSE))</f>
        <v/>
      </c>
      <c r="H2" s="13" t="str">
        <f>IF(Tableau134567891011[[#This Row],[Repère]]="","",VLOOKUP(Tableau134567891011[[#This Row],[Repère]],Tableau1[#All],8,FALSE))</f>
        <v/>
      </c>
      <c r="I2" s="13" t="str">
        <f>IF(Tableau134567891011[[#This Row],[Repère]]="","",VLOOKUP(Tableau134567891011[[#This Row],[Repère]],Tableau1[#All],9,FALSE))</f>
        <v/>
      </c>
      <c r="J2" s="13" t="str">
        <f>IF(Tableau134567891011[[#This Row],[Repère]]="","",VLOOKUP(Tableau134567891011[[#This Row],[Repère]],Tableau1[#All],10,FALSE))</f>
        <v/>
      </c>
      <c r="K2" s="13" t="str">
        <f>IF(Tableau134567891011[[#This Row],[Repère]]="","",VLOOKUP(Tableau134567891011[[#This Row],[Repère]],Tableau1[#All],11,FALSE))</f>
        <v/>
      </c>
      <c r="L2" s="13" t="str">
        <f>IF(Tableau134567891011[[#This Row],[Repère]]="","",VLOOKUP(Tableau134567891011[[#This Row],[Repère]],Tableau1[#All],12,FALSE))</f>
        <v/>
      </c>
    </row>
    <row r="3" spans="1:12" x14ac:dyDescent="0.3">
      <c r="A3" s="18"/>
      <c r="B3" s="19"/>
      <c r="C3" s="13" t="str">
        <f>IF(Tableau134567891011[[#This Row],[Repère]]="","",VLOOKUP(Tableau134567891011[[#This Row],[Repère]],Tableau1[#All],3,FALSE))</f>
        <v/>
      </c>
      <c r="D3" s="13" t="str">
        <f>IF(Tableau134567891011[[#This Row],[Repère]]="","",VLOOKUP(Tableau134567891011[[#This Row],[Repère]],Tableau1[#All],4,FALSE))</f>
        <v/>
      </c>
      <c r="E3" s="13" t="str">
        <f>IF(Tableau134567891011[[#This Row],[Repère]]="","",VLOOKUP(Tableau134567891011[[#This Row],[Repère]],Tableau1[#All],5,FALSE))</f>
        <v/>
      </c>
      <c r="F3" s="13" t="str">
        <f>IF(Tableau134567891011[[#This Row],[Repère]]="","",VLOOKUP(Tableau134567891011[[#This Row],[Repère]],Tableau1[#All],6,FALSE))</f>
        <v/>
      </c>
      <c r="G3" s="13" t="str">
        <f>IF(Tableau134567891011[[#This Row],[Repère]]="","",VLOOKUP(Tableau134567891011[[#This Row],[Repère]],Tableau1[#All],7,FALSE))</f>
        <v/>
      </c>
      <c r="H3" s="13" t="str">
        <f>IF(Tableau134567891011[[#This Row],[Repère]]="","",VLOOKUP(Tableau134567891011[[#This Row],[Repère]],Tableau1[#All],8,FALSE))</f>
        <v/>
      </c>
      <c r="I3" s="13" t="str">
        <f>IF(Tableau134567891011[[#This Row],[Repère]]="","",VLOOKUP(Tableau134567891011[[#This Row],[Repère]],Tableau1[#All],9,FALSE))</f>
        <v/>
      </c>
      <c r="J3" s="13" t="str">
        <f>IF(Tableau134567891011[[#This Row],[Repère]]="","",VLOOKUP(Tableau134567891011[[#This Row],[Repère]],Tableau1[#All],10,FALSE))</f>
        <v/>
      </c>
      <c r="K3" s="13" t="str">
        <f>IF(Tableau134567891011[[#This Row],[Repère]]="","",VLOOKUP(Tableau134567891011[[#This Row],[Repère]],Tableau1[#All],11,FALSE))</f>
        <v/>
      </c>
      <c r="L3" s="14" t="str">
        <f>IF(Tableau134567891011[[#This Row],[Repère]]="","",VLOOKUP(Tableau134567891011[[#This Row],[Repère]],Tableau1[#All],12,FALSE))</f>
        <v/>
      </c>
    </row>
    <row r="4" spans="1:12" x14ac:dyDescent="0.3">
      <c r="A4" s="18"/>
      <c r="B4" s="19"/>
      <c r="C4" s="13" t="str">
        <f>IF(Tableau134567891011[[#This Row],[Repère]]="","",VLOOKUP(Tableau134567891011[[#This Row],[Repère]],Tableau1[#All],3,FALSE))</f>
        <v/>
      </c>
      <c r="D4" s="13" t="str">
        <f>IF(Tableau134567891011[[#This Row],[Repère]]="","",VLOOKUP(Tableau134567891011[[#This Row],[Repère]],Tableau1[#All],4,FALSE))</f>
        <v/>
      </c>
      <c r="E4" s="13" t="str">
        <f>IF(Tableau134567891011[[#This Row],[Repère]]="","",VLOOKUP(Tableau134567891011[[#This Row],[Repère]],Tableau1[#All],5,FALSE))</f>
        <v/>
      </c>
      <c r="F4" s="13" t="str">
        <f>IF(Tableau134567891011[[#This Row],[Repère]]="","",VLOOKUP(Tableau134567891011[[#This Row],[Repère]],Tableau1[#All],6,FALSE))</f>
        <v/>
      </c>
      <c r="G4" s="13" t="str">
        <f>IF(Tableau134567891011[[#This Row],[Repère]]="","",VLOOKUP(Tableau134567891011[[#This Row],[Repère]],Tableau1[#All],7,FALSE))</f>
        <v/>
      </c>
      <c r="H4" s="13" t="str">
        <f>IF(Tableau134567891011[[#This Row],[Repère]]="","",VLOOKUP(Tableau134567891011[[#This Row],[Repère]],Tableau1[#All],8,FALSE))</f>
        <v/>
      </c>
      <c r="I4" s="13" t="str">
        <f>IF(Tableau134567891011[[#This Row],[Repère]]="","",VLOOKUP(Tableau134567891011[[#This Row],[Repère]],Tableau1[#All],9,FALSE))</f>
        <v/>
      </c>
      <c r="J4" s="13" t="str">
        <f>IF(Tableau134567891011[[#This Row],[Repère]]="","",VLOOKUP(Tableau134567891011[[#This Row],[Repère]],Tableau1[#All],10,FALSE))</f>
        <v/>
      </c>
      <c r="K4" s="13" t="str">
        <f>IF(Tableau134567891011[[#This Row],[Repère]]="","",VLOOKUP(Tableau134567891011[[#This Row],[Repère]],Tableau1[#All],11,FALSE))</f>
        <v/>
      </c>
      <c r="L4" s="14" t="str">
        <f>IF(Tableau134567891011[[#This Row],[Repère]]="","",VLOOKUP(Tableau134567891011[[#This Row],[Repère]],Tableau1[#All],12,FALSE))</f>
        <v/>
      </c>
    </row>
    <row r="5" spans="1:12" x14ac:dyDescent="0.3">
      <c r="A5" s="18"/>
      <c r="B5" s="19"/>
      <c r="C5" s="13" t="str">
        <f>IF(Tableau134567891011[[#This Row],[Repère]]="","",VLOOKUP(Tableau134567891011[[#This Row],[Repère]],Tableau1[#All],3,FALSE))</f>
        <v/>
      </c>
      <c r="D5" s="13" t="str">
        <f>IF(Tableau134567891011[[#This Row],[Repère]]="","",VLOOKUP(Tableau134567891011[[#This Row],[Repère]],Tableau1[#All],4,FALSE))</f>
        <v/>
      </c>
      <c r="E5" s="13" t="str">
        <f>IF(Tableau134567891011[[#This Row],[Repère]]="","",VLOOKUP(Tableau134567891011[[#This Row],[Repère]],Tableau1[#All],5,FALSE))</f>
        <v/>
      </c>
      <c r="F5" s="13" t="str">
        <f>IF(Tableau134567891011[[#This Row],[Repère]]="","",VLOOKUP(Tableau134567891011[[#This Row],[Repère]],Tableau1[#All],6,FALSE))</f>
        <v/>
      </c>
      <c r="G5" s="13" t="str">
        <f>IF(Tableau134567891011[[#This Row],[Repère]]="","",VLOOKUP(Tableau134567891011[[#This Row],[Repère]],Tableau1[#All],7,FALSE))</f>
        <v/>
      </c>
      <c r="H5" s="13" t="str">
        <f>IF(Tableau134567891011[[#This Row],[Repère]]="","",VLOOKUP(Tableau134567891011[[#This Row],[Repère]],Tableau1[#All],8,FALSE))</f>
        <v/>
      </c>
      <c r="I5" s="13" t="str">
        <f>IF(Tableau134567891011[[#This Row],[Repère]]="","",VLOOKUP(Tableau134567891011[[#This Row],[Repère]],Tableau1[#All],9,FALSE))</f>
        <v/>
      </c>
      <c r="J5" s="13" t="str">
        <f>IF(Tableau134567891011[[#This Row],[Repère]]="","",VLOOKUP(Tableau134567891011[[#This Row],[Repère]],Tableau1[#All],10,FALSE))</f>
        <v/>
      </c>
      <c r="K5" s="13" t="str">
        <f>IF(Tableau134567891011[[#This Row],[Repère]]="","",VLOOKUP(Tableau134567891011[[#This Row],[Repère]],Tableau1[#All],11,FALSE))</f>
        <v/>
      </c>
      <c r="L5" s="14" t="str">
        <f>IF(Tableau134567891011[[#This Row],[Repère]]="","",VLOOKUP(Tableau134567891011[[#This Row],[Repère]],Tableau1[#All],12,FALSE))</f>
        <v/>
      </c>
    </row>
    <row r="6" spans="1:12" x14ac:dyDescent="0.3">
      <c r="A6" s="18"/>
      <c r="B6" s="19"/>
      <c r="C6" s="13" t="str">
        <f>IF(Tableau134567891011[[#This Row],[Repère]]="","",VLOOKUP(Tableau134567891011[[#This Row],[Repère]],Tableau1[#All],3,FALSE))</f>
        <v/>
      </c>
      <c r="D6" s="13" t="str">
        <f>IF(Tableau134567891011[[#This Row],[Repère]]="","",VLOOKUP(Tableau134567891011[[#This Row],[Repère]],Tableau1[#All],4,FALSE))</f>
        <v/>
      </c>
      <c r="E6" s="13" t="str">
        <f>IF(Tableau134567891011[[#This Row],[Repère]]="","",VLOOKUP(Tableau134567891011[[#This Row],[Repère]],Tableau1[#All],5,FALSE))</f>
        <v/>
      </c>
      <c r="F6" s="13" t="str">
        <f>IF(Tableau134567891011[[#This Row],[Repère]]="","",VLOOKUP(Tableau134567891011[[#This Row],[Repère]],Tableau1[#All],6,FALSE))</f>
        <v/>
      </c>
      <c r="G6" s="13" t="str">
        <f>IF(Tableau134567891011[[#This Row],[Repère]]="","",VLOOKUP(Tableau134567891011[[#This Row],[Repère]],Tableau1[#All],7,FALSE))</f>
        <v/>
      </c>
      <c r="H6" s="13" t="str">
        <f>IF(Tableau134567891011[[#This Row],[Repère]]="","",VLOOKUP(Tableau134567891011[[#This Row],[Repère]],Tableau1[#All],8,FALSE))</f>
        <v/>
      </c>
      <c r="I6" s="13" t="str">
        <f>IF(Tableau134567891011[[#This Row],[Repère]]="","",VLOOKUP(Tableau134567891011[[#This Row],[Repère]],Tableau1[#All],9,FALSE))</f>
        <v/>
      </c>
      <c r="J6" s="13" t="str">
        <f>IF(Tableau134567891011[[#This Row],[Repère]]="","",VLOOKUP(Tableau134567891011[[#This Row],[Repère]],Tableau1[#All],10,FALSE))</f>
        <v/>
      </c>
      <c r="K6" s="13" t="str">
        <f>IF(Tableau134567891011[[#This Row],[Repère]]="","",VLOOKUP(Tableau134567891011[[#This Row],[Repère]],Tableau1[#All],11,FALSE))</f>
        <v/>
      </c>
      <c r="L6" s="14" t="str">
        <f>IF(Tableau134567891011[[#This Row],[Repère]]="","",VLOOKUP(Tableau134567891011[[#This Row],[Repère]],Tableau1[#All],12,FALSE))</f>
        <v/>
      </c>
    </row>
    <row r="7" spans="1:12" x14ac:dyDescent="0.3">
      <c r="A7" s="18"/>
      <c r="B7" s="19"/>
      <c r="C7" s="13" t="str">
        <f>IF(Tableau134567891011[[#This Row],[Repère]]="","",VLOOKUP(Tableau134567891011[[#This Row],[Repère]],Tableau1[#All],3,FALSE))</f>
        <v/>
      </c>
      <c r="D7" s="13" t="str">
        <f>IF(Tableau134567891011[[#This Row],[Repère]]="","",VLOOKUP(Tableau134567891011[[#This Row],[Repère]],Tableau1[#All],4,FALSE))</f>
        <v/>
      </c>
      <c r="E7" s="13" t="str">
        <f>IF(Tableau134567891011[[#This Row],[Repère]]="","",VLOOKUP(Tableau134567891011[[#This Row],[Repère]],Tableau1[#All],5,FALSE))</f>
        <v/>
      </c>
      <c r="F7" s="13" t="str">
        <f>IF(Tableau134567891011[[#This Row],[Repère]]="","",VLOOKUP(Tableau134567891011[[#This Row],[Repère]],Tableau1[#All],6,FALSE))</f>
        <v/>
      </c>
      <c r="G7" s="13" t="str">
        <f>IF(Tableau134567891011[[#This Row],[Repère]]="","",VLOOKUP(Tableau134567891011[[#This Row],[Repère]],Tableau1[#All],7,FALSE))</f>
        <v/>
      </c>
      <c r="H7" s="13" t="str">
        <f>IF(Tableau134567891011[[#This Row],[Repère]]="","",VLOOKUP(Tableau134567891011[[#This Row],[Repère]],Tableau1[#All],8,FALSE))</f>
        <v/>
      </c>
      <c r="I7" s="13" t="str">
        <f>IF(Tableau134567891011[[#This Row],[Repère]]="","",VLOOKUP(Tableau134567891011[[#This Row],[Repère]],Tableau1[#All],9,FALSE))</f>
        <v/>
      </c>
      <c r="J7" s="13" t="str">
        <f>IF(Tableau134567891011[[#This Row],[Repère]]="","",VLOOKUP(Tableau134567891011[[#This Row],[Repère]],Tableau1[#All],10,FALSE))</f>
        <v/>
      </c>
      <c r="K7" s="13" t="str">
        <f>IF(Tableau134567891011[[#This Row],[Repère]]="","",VLOOKUP(Tableau134567891011[[#This Row],[Repère]],Tableau1[#All],11,FALSE))</f>
        <v/>
      </c>
      <c r="L7" s="14" t="str">
        <f>IF(Tableau134567891011[[#This Row],[Repère]]="","",VLOOKUP(Tableau134567891011[[#This Row],[Repère]],Tableau1[#All],12,FALSE))</f>
        <v/>
      </c>
    </row>
    <row r="8" spans="1:12" x14ac:dyDescent="0.3">
      <c r="A8" s="18"/>
      <c r="B8" s="19"/>
      <c r="C8" s="13" t="str">
        <f>IF(Tableau134567891011[[#This Row],[Repère]]="","",VLOOKUP(Tableau134567891011[[#This Row],[Repère]],Tableau1[#All],3,FALSE))</f>
        <v/>
      </c>
      <c r="D8" s="13" t="str">
        <f>IF(Tableau134567891011[[#This Row],[Repère]]="","",VLOOKUP(Tableau134567891011[[#This Row],[Repère]],Tableau1[#All],4,FALSE))</f>
        <v/>
      </c>
      <c r="E8" s="13" t="str">
        <f>IF(Tableau134567891011[[#This Row],[Repère]]="","",VLOOKUP(Tableau134567891011[[#This Row],[Repère]],Tableau1[#All],5,FALSE))</f>
        <v/>
      </c>
      <c r="F8" s="13" t="str">
        <f>IF(Tableau134567891011[[#This Row],[Repère]]="","",VLOOKUP(Tableau134567891011[[#This Row],[Repère]],Tableau1[#All],6,FALSE))</f>
        <v/>
      </c>
      <c r="G8" s="13" t="str">
        <f>IF(Tableau134567891011[[#This Row],[Repère]]="","",VLOOKUP(Tableau134567891011[[#This Row],[Repère]],Tableau1[#All],7,FALSE))</f>
        <v/>
      </c>
      <c r="H8" s="13" t="str">
        <f>IF(Tableau134567891011[[#This Row],[Repère]]="","",VLOOKUP(Tableau134567891011[[#This Row],[Repère]],Tableau1[#All],8,FALSE))</f>
        <v/>
      </c>
      <c r="I8" s="13" t="str">
        <f>IF(Tableau134567891011[[#This Row],[Repère]]="","",VLOOKUP(Tableau134567891011[[#This Row],[Repère]],Tableau1[#All],9,FALSE))</f>
        <v/>
      </c>
      <c r="J8" s="13" t="str">
        <f>IF(Tableau134567891011[[#This Row],[Repère]]="","",VLOOKUP(Tableau134567891011[[#This Row],[Repère]],Tableau1[#All],10,FALSE))</f>
        <v/>
      </c>
      <c r="K8" s="13" t="str">
        <f>IF(Tableau134567891011[[#This Row],[Repère]]="","",VLOOKUP(Tableau134567891011[[#This Row],[Repère]],Tableau1[#All],11,FALSE))</f>
        <v/>
      </c>
      <c r="L8" s="14" t="str">
        <f>IF(Tableau134567891011[[#This Row],[Repère]]="","",VLOOKUP(Tableau134567891011[[#This Row],[Repère]],Tableau1[#All],12,FALSE))</f>
        <v/>
      </c>
    </row>
    <row r="9" spans="1:12" x14ac:dyDescent="0.3">
      <c r="A9" s="18"/>
      <c r="B9" s="19"/>
      <c r="C9" s="13" t="str">
        <f>IF(Tableau134567891011[[#This Row],[Repère]]="","",VLOOKUP(Tableau134567891011[[#This Row],[Repère]],Tableau1[#All],3,FALSE))</f>
        <v/>
      </c>
      <c r="D9" s="13" t="str">
        <f>IF(Tableau134567891011[[#This Row],[Repère]]="","",VLOOKUP(Tableau134567891011[[#This Row],[Repère]],Tableau1[#All],4,FALSE))</f>
        <v/>
      </c>
      <c r="E9" s="13" t="str">
        <f>IF(Tableau134567891011[[#This Row],[Repère]]="","",VLOOKUP(Tableau134567891011[[#This Row],[Repère]],Tableau1[#All],5,FALSE))</f>
        <v/>
      </c>
      <c r="F9" s="13" t="str">
        <f>IF(Tableau134567891011[[#This Row],[Repère]]="","",VLOOKUP(Tableau134567891011[[#This Row],[Repère]],Tableau1[#All],6,FALSE))</f>
        <v/>
      </c>
      <c r="G9" s="13" t="str">
        <f>IF(Tableau134567891011[[#This Row],[Repère]]="","",VLOOKUP(Tableau134567891011[[#This Row],[Repère]],Tableau1[#All],7,FALSE))</f>
        <v/>
      </c>
      <c r="H9" s="13" t="str">
        <f>IF(Tableau134567891011[[#This Row],[Repère]]="","",VLOOKUP(Tableau134567891011[[#This Row],[Repère]],Tableau1[#All],8,FALSE))</f>
        <v/>
      </c>
      <c r="I9" s="13" t="str">
        <f>IF(Tableau134567891011[[#This Row],[Repère]]="","",VLOOKUP(Tableau134567891011[[#This Row],[Repère]],Tableau1[#All],9,FALSE))</f>
        <v/>
      </c>
      <c r="J9" s="13" t="str">
        <f>IF(Tableau134567891011[[#This Row],[Repère]]="","",VLOOKUP(Tableau134567891011[[#This Row],[Repère]],Tableau1[#All],10,FALSE))</f>
        <v/>
      </c>
      <c r="K9" s="13" t="str">
        <f>IF(Tableau134567891011[[#This Row],[Repère]]="","",VLOOKUP(Tableau134567891011[[#This Row],[Repère]],Tableau1[#All],11,FALSE))</f>
        <v/>
      </c>
      <c r="L9" s="14" t="str">
        <f>IF(Tableau134567891011[[#This Row],[Repère]]="","",VLOOKUP(Tableau134567891011[[#This Row],[Repère]],Tableau1[#All],12,FALSE))</f>
        <v/>
      </c>
    </row>
    <row r="10" spans="1:12" x14ac:dyDescent="0.3">
      <c r="A10" s="18"/>
      <c r="B10" s="19"/>
      <c r="C10" s="13" t="str">
        <f>IF(Tableau134567891011[[#This Row],[Repère]]="","",VLOOKUP(Tableau134567891011[[#This Row],[Repère]],Tableau1[#All],3,FALSE))</f>
        <v/>
      </c>
      <c r="D10" s="13" t="str">
        <f>IF(Tableau134567891011[[#This Row],[Repère]]="","",VLOOKUP(Tableau134567891011[[#This Row],[Repère]],Tableau1[#All],4,FALSE))</f>
        <v/>
      </c>
      <c r="E10" s="13" t="str">
        <f>IF(Tableau134567891011[[#This Row],[Repère]]="","",VLOOKUP(Tableau134567891011[[#This Row],[Repère]],Tableau1[#All],5,FALSE))</f>
        <v/>
      </c>
      <c r="F10" s="13" t="str">
        <f>IF(Tableau134567891011[[#This Row],[Repère]]="","",VLOOKUP(Tableau134567891011[[#This Row],[Repère]],Tableau1[#All],6,FALSE))</f>
        <v/>
      </c>
      <c r="G10" s="13" t="str">
        <f>IF(Tableau134567891011[[#This Row],[Repère]]="","",VLOOKUP(Tableau134567891011[[#This Row],[Repère]],Tableau1[#All],7,FALSE))</f>
        <v/>
      </c>
      <c r="H10" s="13" t="str">
        <f>IF(Tableau134567891011[[#This Row],[Repère]]="","",VLOOKUP(Tableau134567891011[[#This Row],[Repère]],Tableau1[#All],8,FALSE))</f>
        <v/>
      </c>
      <c r="I10" s="13" t="str">
        <f>IF(Tableau134567891011[[#This Row],[Repère]]="","",VLOOKUP(Tableau134567891011[[#This Row],[Repère]],Tableau1[#All],9,FALSE))</f>
        <v/>
      </c>
      <c r="J10" s="13" t="str">
        <f>IF(Tableau134567891011[[#This Row],[Repère]]="","",VLOOKUP(Tableau134567891011[[#This Row],[Repère]],Tableau1[#All],10,FALSE))</f>
        <v/>
      </c>
      <c r="K10" s="13" t="str">
        <f>IF(Tableau134567891011[[#This Row],[Repère]]="","",VLOOKUP(Tableau134567891011[[#This Row],[Repère]],Tableau1[#All],11,FALSE))</f>
        <v/>
      </c>
      <c r="L10" s="14" t="str">
        <f>IF(Tableau134567891011[[#This Row],[Repère]]="","",VLOOKUP(Tableau134567891011[[#This Row],[Repère]],Tableau1[#All],12,FALSE))</f>
        <v/>
      </c>
    </row>
    <row r="11" spans="1:12" x14ac:dyDescent="0.3">
      <c r="A11" s="18"/>
      <c r="B11" s="19"/>
      <c r="C11" s="13" t="str">
        <f>IF(Tableau134567891011[[#This Row],[Repère]]="","",VLOOKUP(Tableau134567891011[[#This Row],[Repère]],Tableau1[#All],3,FALSE))</f>
        <v/>
      </c>
      <c r="D11" s="13" t="str">
        <f>IF(Tableau134567891011[[#This Row],[Repère]]="","",VLOOKUP(Tableau134567891011[[#This Row],[Repère]],Tableau1[#All],4,FALSE))</f>
        <v/>
      </c>
      <c r="E11" s="13" t="str">
        <f>IF(Tableau134567891011[[#This Row],[Repère]]="","",VLOOKUP(Tableau134567891011[[#This Row],[Repère]],Tableau1[#All],5,FALSE))</f>
        <v/>
      </c>
      <c r="F11" s="13" t="str">
        <f>IF(Tableau134567891011[[#This Row],[Repère]]="","",VLOOKUP(Tableau134567891011[[#This Row],[Repère]],Tableau1[#All],6,FALSE))</f>
        <v/>
      </c>
      <c r="G11" s="13" t="str">
        <f>IF(Tableau134567891011[[#This Row],[Repère]]="","",VLOOKUP(Tableau134567891011[[#This Row],[Repère]],Tableau1[#All],7,FALSE))</f>
        <v/>
      </c>
      <c r="H11" s="13" t="str">
        <f>IF(Tableau134567891011[[#This Row],[Repère]]="","",VLOOKUP(Tableau134567891011[[#This Row],[Repère]],Tableau1[#All],8,FALSE))</f>
        <v/>
      </c>
      <c r="I11" s="13" t="str">
        <f>IF(Tableau134567891011[[#This Row],[Repère]]="","",VLOOKUP(Tableau134567891011[[#This Row],[Repère]],Tableau1[#All],9,FALSE))</f>
        <v/>
      </c>
      <c r="J11" s="13" t="str">
        <f>IF(Tableau134567891011[[#This Row],[Repère]]="","",VLOOKUP(Tableau134567891011[[#This Row],[Repère]],Tableau1[#All],10,FALSE))</f>
        <v/>
      </c>
      <c r="K11" s="13" t="str">
        <f>IF(Tableau134567891011[[#This Row],[Repère]]="","",VLOOKUP(Tableau134567891011[[#This Row],[Repère]],Tableau1[#All],11,FALSE))</f>
        <v/>
      </c>
      <c r="L11" s="14" t="str">
        <f>IF(Tableau134567891011[[#This Row],[Repère]]="","",VLOOKUP(Tableau134567891011[[#This Row],[Repère]],Tableau1[#All],12,FALSE))</f>
        <v/>
      </c>
    </row>
    <row r="12" spans="1:12" x14ac:dyDescent="0.3">
      <c r="A12" s="18"/>
      <c r="B12" s="19"/>
      <c r="C12" s="13" t="str">
        <f>IF(Tableau134567891011[[#This Row],[Repère]]="","",VLOOKUP(Tableau134567891011[[#This Row],[Repère]],Tableau1[#All],3,FALSE))</f>
        <v/>
      </c>
      <c r="D12" s="13" t="str">
        <f>IF(Tableau134567891011[[#This Row],[Repère]]="","",VLOOKUP(Tableau134567891011[[#This Row],[Repère]],Tableau1[#All],4,FALSE))</f>
        <v/>
      </c>
      <c r="E12" s="13" t="str">
        <f>IF(Tableau134567891011[[#This Row],[Repère]]="","",VLOOKUP(Tableau134567891011[[#This Row],[Repère]],Tableau1[#All],5,FALSE))</f>
        <v/>
      </c>
      <c r="F12" s="13" t="str">
        <f>IF(Tableau134567891011[[#This Row],[Repère]]="","",VLOOKUP(Tableau134567891011[[#This Row],[Repère]],Tableau1[#All],6,FALSE))</f>
        <v/>
      </c>
      <c r="G12" s="13" t="str">
        <f>IF(Tableau134567891011[[#This Row],[Repère]]="","",VLOOKUP(Tableau134567891011[[#This Row],[Repère]],Tableau1[#All],7,FALSE))</f>
        <v/>
      </c>
      <c r="H12" s="13" t="str">
        <f>IF(Tableau134567891011[[#This Row],[Repère]]="","",VLOOKUP(Tableau134567891011[[#This Row],[Repère]],Tableau1[#All],8,FALSE))</f>
        <v/>
      </c>
      <c r="I12" s="13" t="str">
        <f>IF(Tableau134567891011[[#This Row],[Repère]]="","",VLOOKUP(Tableau134567891011[[#This Row],[Repère]],Tableau1[#All],9,FALSE))</f>
        <v/>
      </c>
      <c r="J12" s="13" t="str">
        <f>IF(Tableau134567891011[[#This Row],[Repère]]="","",VLOOKUP(Tableau134567891011[[#This Row],[Repère]],Tableau1[#All],10,FALSE))</f>
        <v/>
      </c>
      <c r="K12" s="13" t="str">
        <f>IF(Tableau134567891011[[#This Row],[Repère]]="","",VLOOKUP(Tableau134567891011[[#This Row],[Repère]],Tableau1[#All],11,FALSE))</f>
        <v/>
      </c>
      <c r="L12" s="14" t="str">
        <f>IF(Tableau134567891011[[#This Row],[Repère]]="","",VLOOKUP(Tableau134567891011[[#This Row],[Repère]],Tableau1[#All],12,FALSE))</f>
        <v/>
      </c>
    </row>
    <row r="13" spans="1:12" x14ac:dyDescent="0.3">
      <c r="A13" s="18"/>
      <c r="B13" s="19"/>
      <c r="C13" s="13" t="str">
        <f>IF(Tableau134567891011[[#This Row],[Repère]]="","",VLOOKUP(Tableau134567891011[[#This Row],[Repère]],Tableau1[#All],3,FALSE))</f>
        <v/>
      </c>
      <c r="D13" s="13" t="str">
        <f>IF(Tableau134567891011[[#This Row],[Repère]]="","",VLOOKUP(Tableau134567891011[[#This Row],[Repère]],Tableau1[#All],4,FALSE))</f>
        <v/>
      </c>
      <c r="E13" s="13" t="str">
        <f>IF(Tableau134567891011[[#This Row],[Repère]]="","",VLOOKUP(Tableau134567891011[[#This Row],[Repère]],Tableau1[#All],5,FALSE))</f>
        <v/>
      </c>
      <c r="F13" s="13" t="str">
        <f>IF(Tableau134567891011[[#This Row],[Repère]]="","",VLOOKUP(Tableau134567891011[[#This Row],[Repère]],Tableau1[#All],6,FALSE))</f>
        <v/>
      </c>
      <c r="G13" s="13" t="str">
        <f>IF(Tableau134567891011[[#This Row],[Repère]]="","",VLOOKUP(Tableau134567891011[[#This Row],[Repère]],Tableau1[#All],7,FALSE))</f>
        <v/>
      </c>
      <c r="H13" s="13" t="str">
        <f>IF(Tableau134567891011[[#This Row],[Repère]]="","",VLOOKUP(Tableau134567891011[[#This Row],[Repère]],Tableau1[#All],8,FALSE))</f>
        <v/>
      </c>
      <c r="I13" s="13" t="str">
        <f>IF(Tableau134567891011[[#This Row],[Repère]]="","",VLOOKUP(Tableau134567891011[[#This Row],[Repère]],Tableau1[#All],9,FALSE))</f>
        <v/>
      </c>
      <c r="J13" s="13" t="str">
        <f>IF(Tableau134567891011[[#This Row],[Repère]]="","",VLOOKUP(Tableau134567891011[[#This Row],[Repère]],Tableau1[#All],10,FALSE))</f>
        <v/>
      </c>
      <c r="K13" s="13" t="str">
        <f>IF(Tableau134567891011[[#This Row],[Repère]]="","",VLOOKUP(Tableau134567891011[[#This Row],[Repère]],Tableau1[#All],11,FALSE))</f>
        <v/>
      </c>
      <c r="L13" s="14" t="str">
        <f>IF(Tableau134567891011[[#This Row],[Repère]]="","",VLOOKUP(Tableau134567891011[[#This Row],[Repère]],Tableau1[#All],12,FALSE))</f>
        <v/>
      </c>
    </row>
    <row r="14" spans="1:12" x14ac:dyDescent="0.3">
      <c r="A14" s="18"/>
      <c r="B14" s="19"/>
      <c r="C14" s="13" t="str">
        <f>IF(Tableau134567891011[[#This Row],[Repère]]="","",VLOOKUP(Tableau134567891011[[#This Row],[Repère]],Tableau1[#All],3,FALSE))</f>
        <v/>
      </c>
      <c r="D14" s="13" t="str">
        <f>IF(Tableau134567891011[[#This Row],[Repère]]="","",VLOOKUP(Tableau134567891011[[#This Row],[Repère]],Tableau1[#All],4,FALSE))</f>
        <v/>
      </c>
      <c r="E14" s="13" t="str">
        <f>IF(Tableau134567891011[[#This Row],[Repère]]="","",VLOOKUP(Tableau134567891011[[#This Row],[Repère]],Tableau1[#All],5,FALSE))</f>
        <v/>
      </c>
      <c r="F14" s="13" t="str">
        <f>IF(Tableau134567891011[[#This Row],[Repère]]="","",VLOOKUP(Tableau134567891011[[#This Row],[Repère]],Tableau1[#All],6,FALSE))</f>
        <v/>
      </c>
      <c r="G14" s="13" t="str">
        <f>IF(Tableau134567891011[[#This Row],[Repère]]="","",VLOOKUP(Tableau134567891011[[#This Row],[Repère]],Tableau1[#All],7,FALSE))</f>
        <v/>
      </c>
      <c r="H14" s="13" t="str">
        <f>IF(Tableau134567891011[[#This Row],[Repère]]="","",VLOOKUP(Tableau134567891011[[#This Row],[Repère]],Tableau1[#All],8,FALSE))</f>
        <v/>
      </c>
      <c r="I14" s="13" t="str">
        <f>IF(Tableau134567891011[[#This Row],[Repère]]="","",VLOOKUP(Tableau134567891011[[#This Row],[Repère]],Tableau1[#All],9,FALSE))</f>
        <v/>
      </c>
      <c r="J14" s="13" t="str">
        <f>IF(Tableau134567891011[[#This Row],[Repère]]="","",VLOOKUP(Tableau134567891011[[#This Row],[Repère]],Tableau1[#All],10,FALSE))</f>
        <v/>
      </c>
      <c r="K14" s="13" t="str">
        <f>IF(Tableau134567891011[[#This Row],[Repère]]="","",VLOOKUP(Tableau134567891011[[#This Row],[Repère]],Tableau1[#All],11,FALSE))</f>
        <v/>
      </c>
      <c r="L14" s="14" t="str">
        <f>IF(Tableau134567891011[[#This Row],[Repère]]="","",VLOOKUP(Tableau134567891011[[#This Row],[Repère]],Tableau1[#All],12,FALSE))</f>
        <v/>
      </c>
    </row>
    <row r="15" spans="1:12" x14ac:dyDescent="0.3">
      <c r="A15" s="18"/>
      <c r="B15" s="19"/>
      <c r="C15" s="13" t="str">
        <f>IF(Tableau134567891011[[#This Row],[Repère]]="","",VLOOKUP(Tableau134567891011[[#This Row],[Repère]],Tableau1[#All],3,FALSE))</f>
        <v/>
      </c>
      <c r="D15" s="13" t="str">
        <f>IF(Tableau134567891011[[#This Row],[Repère]]="","",VLOOKUP(Tableau134567891011[[#This Row],[Repère]],Tableau1[#All],4,FALSE))</f>
        <v/>
      </c>
      <c r="E15" s="13" t="str">
        <f>IF(Tableau134567891011[[#This Row],[Repère]]="","",VLOOKUP(Tableau134567891011[[#This Row],[Repère]],Tableau1[#All],5,FALSE))</f>
        <v/>
      </c>
      <c r="F15" s="13" t="str">
        <f>IF(Tableau134567891011[[#This Row],[Repère]]="","",VLOOKUP(Tableau134567891011[[#This Row],[Repère]],Tableau1[#All],6,FALSE))</f>
        <v/>
      </c>
      <c r="G15" s="13" t="str">
        <f>IF(Tableau134567891011[[#This Row],[Repère]]="","",VLOOKUP(Tableau134567891011[[#This Row],[Repère]],Tableau1[#All],7,FALSE))</f>
        <v/>
      </c>
      <c r="H15" s="13" t="str">
        <f>IF(Tableau134567891011[[#This Row],[Repère]]="","",VLOOKUP(Tableau134567891011[[#This Row],[Repère]],Tableau1[#All],8,FALSE))</f>
        <v/>
      </c>
      <c r="I15" s="13" t="str">
        <f>IF(Tableau134567891011[[#This Row],[Repère]]="","",VLOOKUP(Tableau134567891011[[#This Row],[Repère]],Tableau1[#All],9,FALSE))</f>
        <v/>
      </c>
      <c r="J15" s="13" t="str">
        <f>IF(Tableau134567891011[[#This Row],[Repère]]="","",VLOOKUP(Tableau134567891011[[#This Row],[Repère]],Tableau1[#All],10,FALSE))</f>
        <v/>
      </c>
      <c r="K15" s="13" t="str">
        <f>IF(Tableau134567891011[[#This Row],[Repère]]="","",VLOOKUP(Tableau134567891011[[#This Row],[Repère]],Tableau1[#All],11,FALSE))</f>
        <v/>
      </c>
      <c r="L15" s="14" t="str">
        <f>IF(Tableau134567891011[[#This Row],[Repère]]="","",VLOOKUP(Tableau134567891011[[#This Row],[Repère]],Tableau1[#All],12,FALSE))</f>
        <v/>
      </c>
    </row>
    <row r="16" spans="1:12" x14ac:dyDescent="0.3">
      <c r="A16" s="18"/>
      <c r="B16" s="19"/>
      <c r="C16" s="13" t="str">
        <f>IF(Tableau134567891011[[#This Row],[Repère]]="","",VLOOKUP(Tableau134567891011[[#This Row],[Repère]],Tableau1[#All],3,FALSE))</f>
        <v/>
      </c>
      <c r="D16" s="13" t="str">
        <f>IF(Tableau134567891011[[#This Row],[Repère]]="","",VLOOKUP(Tableau134567891011[[#This Row],[Repère]],Tableau1[#All],4,FALSE))</f>
        <v/>
      </c>
      <c r="E16" s="13" t="str">
        <f>IF(Tableau134567891011[[#This Row],[Repère]]="","",VLOOKUP(Tableau134567891011[[#This Row],[Repère]],Tableau1[#All],5,FALSE))</f>
        <v/>
      </c>
      <c r="F16" s="13" t="str">
        <f>IF(Tableau134567891011[[#This Row],[Repère]]="","",VLOOKUP(Tableau134567891011[[#This Row],[Repère]],Tableau1[#All],6,FALSE))</f>
        <v/>
      </c>
      <c r="G16" s="13" t="str">
        <f>IF(Tableau134567891011[[#This Row],[Repère]]="","",VLOOKUP(Tableau134567891011[[#This Row],[Repère]],Tableau1[#All],7,FALSE))</f>
        <v/>
      </c>
      <c r="H16" s="13" t="str">
        <f>IF(Tableau134567891011[[#This Row],[Repère]]="","",VLOOKUP(Tableau134567891011[[#This Row],[Repère]],Tableau1[#All],8,FALSE))</f>
        <v/>
      </c>
      <c r="I16" s="13" t="str">
        <f>IF(Tableau134567891011[[#This Row],[Repère]]="","",VLOOKUP(Tableau134567891011[[#This Row],[Repère]],Tableau1[#All],9,FALSE))</f>
        <v/>
      </c>
      <c r="J16" s="13" t="str">
        <f>IF(Tableau134567891011[[#This Row],[Repère]]="","",VLOOKUP(Tableau134567891011[[#This Row],[Repère]],Tableau1[#All],10,FALSE))</f>
        <v/>
      </c>
      <c r="K16" s="13" t="str">
        <f>IF(Tableau134567891011[[#This Row],[Repère]]="","",VLOOKUP(Tableau134567891011[[#This Row],[Repère]],Tableau1[#All],11,FALSE))</f>
        <v/>
      </c>
      <c r="L16" s="14" t="str">
        <f>IF(Tableau134567891011[[#This Row],[Repère]]="","",VLOOKUP(Tableau134567891011[[#This Row],[Repère]],Tableau1[#All],12,FALSE))</f>
        <v/>
      </c>
    </row>
    <row r="17" spans="1:12" x14ac:dyDescent="0.3">
      <c r="A17" s="18"/>
      <c r="B17" s="19"/>
      <c r="C17" s="13" t="str">
        <f>IF(Tableau134567891011[[#This Row],[Repère]]="","",VLOOKUP(Tableau134567891011[[#This Row],[Repère]],Tableau1[#All],3,FALSE))</f>
        <v/>
      </c>
      <c r="D17" s="13" t="str">
        <f>IF(Tableau134567891011[[#This Row],[Repère]]="","",VLOOKUP(Tableau134567891011[[#This Row],[Repère]],Tableau1[#All],4,FALSE))</f>
        <v/>
      </c>
      <c r="E17" s="13" t="str">
        <f>IF(Tableau134567891011[[#This Row],[Repère]]="","",VLOOKUP(Tableau134567891011[[#This Row],[Repère]],Tableau1[#All],5,FALSE))</f>
        <v/>
      </c>
      <c r="F17" s="13" t="str">
        <f>IF(Tableau134567891011[[#This Row],[Repère]]="","",VLOOKUP(Tableau134567891011[[#This Row],[Repère]],Tableau1[#All],6,FALSE))</f>
        <v/>
      </c>
      <c r="G17" s="13" t="str">
        <f>IF(Tableau134567891011[[#This Row],[Repère]]="","",VLOOKUP(Tableau134567891011[[#This Row],[Repère]],Tableau1[#All],7,FALSE))</f>
        <v/>
      </c>
      <c r="H17" s="13" t="str">
        <f>IF(Tableau134567891011[[#This Row],[Repère]]="","",VLOOKUP(Tableau134567891011[[#This Row],[Repère]],Tableau1[#All],8,FALSE))</f>
        <v/>
      </c>
      <c r="I17" s="13" t="str">
        <f>IF(Tableau134567891011[[#This Row],[Repère]]="","",VLOOKUP(Tableau134567891011[[#This Row],[Repère]],Tableau1[#All],9,FALSE))</f>
        <v/>
      </c>
      <c r="J17" s="13" t="str">
        <f>IF(Tableau134567891011[[#This Row],[Repère]]="","",VLOOKUP(Tableau134567891011[[#This Row],[Repère]],Tableau1[#All],10,FALSE))</f>
        <v/>
      </c>
      <c r="K17" s="13" t="str">
        <f>IF(Tableau134567891011[[#This Row],[Repère]]="","",VLOOKUP(Tableau134567891011[[#This Row],[Repère]],Tableau1[#All],11,FALSE))</f>
        <v/>
      </c>
      <c r="L17" s="14" t="str">
        <f>IF(Tableau134567891011[[#This Row],[Repère]]="","",VLOOKUP(Tableau134567891011[[#This Row],[Repère]],Tableau1[#All],12,FALSE))</f>
        <v/>
      </c>
    </row>
    <row r="18" spans="1:12" x14ac:dyDescent="0.3">
      <c r="A18" s="18"/>
      <c r="B18" s="19"/>
      <c r="C18" s="13" t="str">
        <f>IF(Tableau134567891011[[#This Row],[Repère]]="","",VLOOKUP(Tableau134567891011[[#This Row],[Repère]],Tableau1[#All],3,FALSE))</f>
        <v/>
      </c>
      <c r="D18" s="13" t="str">
        <f>IF(Tableau134567891011[[#This Row],[Repère]]="","",VLOOKUP(Tableau134567891011[[#This Row],[Repère]],Tableau1[#All],4,FALSE))</f>
        <v/>
      </c>
      <c r="E18" s="13" t="str">
        <f>IF(Tableau134567891011[[#This Row],[Repère]]="","",VLOOKUP(Tableau134567891011[[#This Row],[Repère]],Tableau1[#All],5,FALSE))</f>
        <v/>
      </c>
      <c r="F18" s="13" t="str">
        <f>IF(Tableau134567891011[[#This Row],[Repère]]="","",VLOOKUP(Tableau134567891011[[#This Row],[Repère]],Tableau1[#All],6,FALSE))</f>
        <v/>
      </c>
      <c r="G18" s="13" t="str">
        <f>IF(Tableau134567891011[[#This Row],[Repère]]="","",VLOOKUP(Tableau134567891011[[#This Row],[Repère]],Tableau1[#All],7,FALSE))</f>
        <v/>
      </c>
      <c r="H18" s="13" t="str">
        <f>IF(Tableau134567891011[[#This Row],[Repère]]="","",VLOOKUP(Tableau134567891011[[#This Row],[Repère]],Tableau1[#All],8,FALSE))</f>
        <v/>
      </c>
      <c r="I18" s="13" t="str">
        <f>IF(Tableau134567891011[[#This Row],[Repère]]="","",VLOOKUP(Tableau134567891011[[#This Row],[Repère]],Tableau1[#All],9,FALSE))</f>
        <v/>
      </c>
      <c r="J18" s="13" t="str">
        <f>IF(Tableau134567891011[[#This Row],[Repère]]="","",VLOOKUP(Tableau134567891011[[#This Row],[Repère]],Tableau1[#All],10,FALSE))</f>
        <v/>
      </c>
      <c r="K18" s="13" t="str">
        <f>IF(Tableau134567891011[[#This Row],[Repère]]="","",VLOOKUP(Tableau134567891011[[#This Row],[Repère]],Tableau1[#All],11,FALSE))</f>
        <v/>
      </c>
      <c r="L18" s="14" t="str">
        <f>IF(Tableau134567891011[[#This Row],[Repère]]="","",VLOOKUP(Tableau134567891011[[#This Row],[Repère]],Tableau1[#All],12,FALSE))</f>
        <v/>
      </c>
    </row>
    <row r="19" spans="1:12" x14ac:dyDescent="0.3">
      <c r="A19" s="18"/>
      <c r="B19" s="19"/>
      <c r="C19" s="13" t="str">
        <f>IF(Tableau134567891011[[#This Row],[Repère]]="","",VLOOKUP(Tableau134567891011[[#This Row],[Repère]],Tableau1[#All],3,FALSE))</f>
        <v/>
      </c>
      <c r="D19" s="13" t="str">
        <f>IF(Tableau134567891011[[#This Row],[Repère]]="","",VLOOKUP(Tableau134567891011[[#This Row],[Repère]],Tableau1[#All],4,FALSE))</f>
        <v/>
      </c>
      <c r="E19" s="13" t="str">
        <f>IF(Tableau134567891011[[#This Row],[Repère]]="","",VLOOKUP(Tableau134567891011[[#This Row],[Repère]],Tableau1[#All],5,FALSE))</f>
        <v/>
      </c>
      <c r="F19" s="13" t="str">
        <f>IF(Tableau134567891011[[#This Row],[Repère]]="","",VLOOKUP(Tableau134567891011[[#This Row],[Repère]],Tableau1[#All],6,FALSE))</f>
        <v/>
      </c>
      <c r="G19" s="13" t="str">
        <f>IF(Tableau134567891011[[#This Row],[Repère]]="","",VLOOKUP(Tableau134567891011[[#This Row],[Repère]],Tableau1[#All],7,FALSE))</f>
        <v/>
      </c>
      <c r="H19" s="13" t="str">
        <f>IF(Tableau134567891011[[#This Row],[Repère]]="","",VLOOKUP(Tableau134567891011[[#This Row],[Repère]],Tableau1[#All],8,FALSE))</f>
        <v/>
      </c>
      <c r="I19" s="13" t="str">
        <f>IF(Tableau134567891011[[#This Row],[Repère]]="","",VLOOKUP(Tableau134567891011[[#This Row],[Repère]],Tableau1[#All],9,FALSE))</f>
        <v/>
      </c>
      <c r="J19" s="13" t="str">
        <f>IF(Tableau134567891011[[#This Row],[Repère]]="","",VLOOKUP(Tableau134567891011[[#This Row],[Repère]],Tableau1[#All],10,FALSE))</f>
        <v/>
      </c>
      <c r="K19" s="13" t="str">
        <f>IF(Tableau134567891011[[#This Row],[Repère]]="","",VLOOKUP(Tableau134567891011[[#This Row],[Repère]],Tableau1[#All],11,FALSE))</f>
        <v/>
      </c>
      <c r="L19" s="14" t="str">
        <f>IF(Tableau134567891011[[#This Row],[Repère]]="","",VLOOKUP(Tableau134567891011[[#This Row],[Repère]],Tableau1[#All],12,FALSE))</f>
        <v/>
      </c>
    </row>
    <row r="20" spans="1:12" x14ac:dyDescent="0.3">
      <c r="A20" s="18"/>
      <c r="B20" s="19"/>
      <c r="C20" s="13" t="str">
        <f>IF(Tableau134567891011[[#This Row],[Repère]]="","",VLOOKUP(Tableau134567891011[[#This Row],[Repère]],Tableau1[#All],3,FALSE))</f>
        <v/>
      </c>
      <c r="D20" s="13" t="str">
        <f>IF(Tableau134567891011[[#This Row],[Repère]]="","",VLOOKUP(Tableau134567891011[[#This Row],[Repère]],Tableau1[#All],4,FALSE))</f>
        <v/>
      </c>
      <c r="E20" s="13" t="str">
        <f>IF(Tableau134567891011[[#This Row],[Repère]]="","",VLOOKUP(Tableau134567891011[[#This Row],[Repère]],Tableau1[#All],5,FALSE))</f>
        <v/>
      </c>
      <c r="F20" s="13" t="str">
        <f>IF(Tableau134567891011[[#This Row],[Repère]]="","",VLOOKUP(Tableau134567891011[[#This Row],[Repère]],Tableau1[#All],6,FALSE))</f>
        <v/>
      </c>
      <c r="G20" s="13" t="str">
        <f>IF(Tableau134567891011[[#This Row],[Repère]]="","",VLOOKUP(Tableau134567891011[[#This Row],[Repère]],Tableau1[#All],7,FALSE))</f>
        <v/>
      </c>
      <c r="H20" s="13" t="str">
        <f>IF(Tableau134567891011[[#This Row],[Repère]]="","",VLOOKUP(Tableau134567891011[[#This Row],[Repère]],Tableau1[#All],8,FALSE))</f>
        <v/>
      </c>
      <c r="I20" s="13" t="str">
        <f>IF(Tableau134567891011[[#This Row],[Repère]]="","",VLOOKUP(Tableau134567891011[[#This Row],[Repère]],Tableau1[#All],9,FALSE))</f>
        <v/>
      </c>
      <c r="J20" s="13" t="str">
        <f>IF(Tableau134567891011[[#This Row],[Repère]]="","",VLOOKUP(Tableau134567891011[[#This Row],[Repère]],Tableau1[#All],10,FALSE))</f>
        <v/>
      </c>
      <c r="K20" s="13" t="str">
        <f>IF(Tableau134567891011[[#This Row],[Repère]]="","",VLOOKUP(Tableau134567891011[[#This Row],[Repère]],Tableau1[#All],11,FALSE))</f>
        <v/>
      </c>
      <c r="L20" s="14" t="str">
        <f>IF(Tableau134567891011[[#This Row],[Repère]]="","",VLOOKUP(Tableau134567891011[[#This Row],[Repère]],Tableau1[#All],12,FALSE))</f>
        <v/>
      </c>
    </row>
    <row r="21" spans="1:12" x14ac:dyDescent="0.3">
      <c r="A21" s="18"/>
      <c r="B21" s="19"/>
      <c r="C21" s="13" t="str">
        <f>IF(Tableau134567891011[[#This Row],[Repère]]="","",VLOOKUP(Tableau134567891011[[#This Row],[Repère]],Tableau1[#All],3,FALSE))</f>
        <v/>
      </c>
      <c r="D21" s="13" t="str">
        <f>IF(Tableau134567891011[[#This Row],[Repère]]="","",VLOOKUP(Tableau134567891011[[#This Row],[Repère]],Tableau1[#All],4,FALSE))</f>
        <v/>
      </c>
      <c r="E21" s="13" t="str">
        <f>IF(Tableau134567891011[[#This Row],[Repère]]="","",VLOOKUP(Tableau134567891011[[#This Row],[Repère]],Tableau1[#All],5,FALSE))</f>
        <v/>
      </c>
      <c r="F21" s="13" t="str">
        <f>IF(Tableau134567891011[[#This Row],[Repère]]="","",VLOOKUP(Tableau134567891011[[#This Row],[Repère]],Tableau1[#All],6,FALSE))</f>
        <v/>
      </c>
      <c r="G21" s="13" t="str">
        <f>IF(Tableau134567891011[[#This Row],[Repère]]="","",VLOOKUP(Tableau134567891011[[#This Row],[Repère]],Tableau1[#All],7,FALSE))</f>
        <v/>
      </c>
      <c r="H21" s="13" t="str">
        <f>IF(Tableau134567891011[[#This Row],[Repère]]="","",VLOOKUP(Tableau134567891011[[#This Row],[Repère]],Tableau1[#All],8,FALSE))</f>
        <v/>
      </c>
      <c r="I21" s="13" t="str">
        <f>IF(Tableau134567891011[[#This Row],[Repère]]="","",VLOOKUP(Tableau134567891011[[#This Row],[Repère]],Tableau1[#All],9,FALSE))</f>
        <v/>
      </c>
      <c r="J21" s="13" t="str">
        <f>IF(Tableau134567891011[[#This Row],[Repère]]="","",VLOOKUP(Tableau134567891011[[#This Row],[Repère]],Tableau1[#All],10,FALSE))</f>
        <v/>
      </c>
      <c r="K21" s="13" t="str">
        <f>IF(Tableau134567891011[[#This Row],[Repère]]="","",VLOOKUP(Tableau134567891011[[#This Row],[Repère]],Tableau1[#All],11,FALSE))</f>
        <v/>
      </c>
      <c r="L21" s="14" t="str">
        <f>IF(Tableau134567891011[[#This Row],[Repère]]="","",VLOOKUP(Tableau134567891011[[#This Row],[Repère]],Tableau1[#All],12,FALSE))</f>
        <v/>
      </c>
    </row>
    <row r="22" spans="1:12" x14ac:dyDescent="0.3">
      <c r="A22" s="18"/>
      <c r="B22" s="19"/>
      <c r="C22" s="13" t="str">
        <f>IF(Tableau134567891011[[#This Row],[Repère]]="","",VLOOKUP(Tableau134567891011[[#This Row],[Repère]],Tableau1[#All],3,FALSE))</f>
        <v/>
      </c>
      <c r="D22" s="13" t="str">
        <f>IF(Tableau134567891011[[#This Row],[Repère]]="","",VLOOKUP(Tableau134567891011[[#This Row],[Repère]],Tableau1[#All],4,FALSE))</f>
        <v/>
      </c>
      <c r="E22" s="13" t="str">
        <f>IF(Tableau134567891011[[#This Row],[Repère]]="","",VLOOKUP(Tableau134567891011[[#This Row],[Repère]],Tableau1[#All],5,FALSE))</f>
        <v/>
      </c>
      <c r="F22" s="13" t="str">
        <f>IF(Tableau134567891011[[#This Row],[Repère]]="","",VLOOKUP(Tableau134567891011[[#This Row],[Repère]],Tableau1[#All],6,FALSE))</f>
        <v/>
      </c>
      <c r="G22" s="13" t="str">
        <f>IF(Tableau134567891011[[#This Row],[Repère]]="","",VLOOKUP(Tableau134567891011[[#This Row],[Repère]],Tableau1[#All],7,FALSE))</f>
        <v/>
      </c>
      <c r="H22" s="13" t="str">
        <f>IF(Tableau134567891011[[#This Row],[Repère]]="","",VLOOKUP(Tableau134567891011[[#This Row],[Repère]],Tableau1[#All],8,FALSE))</f>
        <v/>
      </c>
      <c r="I22" s="13" t="str">
        <f>IF(Tableau134567891011[[#This Row],[Repère]]="","",VLOOKUP(Tableau134567891011[[#This Row],[Repère]],Tableau1[#All],9,FALSE))</f>
        <v/>
      </c>
      <c r="J22" s="13" t="str">
        <f>IF(Tableau134567891011[[#This Row],[Repère]]="","",VLOOKUP(Tableau134567891011[[#This Row],[Repère]],Tableau1[#All],10,FALSE))</f>
        <v/>
      </c>
      <c r="K22" s="13" t="str">
        <f>IF(Tableau134567891011[[#This Row],[Repère]]="","",VLOOKUP(Tableau134567891011[[#This Row],[Repère]],Tableau1[#All],11,FALSE))</f>
        <v/>
      </c>
      <c r="L22" s="14" t="str">
        <f>IF(Tableau134567891011[[#This Row],[Repère]]="","",VLOOKUP(Tableau134567891011[[#This Row],[Repère]],Tableau1[#All],12,FALSE))</f>
        <v/>
      </c>
    </row>
    <row r="23" spans="1:12" x14ac:dyDescent="0.3">
      <c r="A23" s="18"/>
      <c r="B23" s="19"/>
      <c r="C23" s="13" t="str">
        <f>IF(Tableau134567891011[[#This Row],[Repère]]="","",VLOOKUP(Tableau134567891011[[#This Row],[Repère]],Tableau1[#All],3,FALSE))</f>
        <v/>
      </c>
      <c r="D23" s="13" t="str">
        <f>IF(Tableau134567891011[[#This Row],[Repère]]="","",VLOOKUP(Tableau134567891011[[#This Row],[Repère]],Tableau1[#All],4,FALSE))</f>
        <v/>
      </c>
      <c r="E23" s="13" t="str">
        <f>IF(Tableau134567891011[[#This Row],[Repère]]="","",VLOOKUP(Tableau134567891011[[#This Row],[Repère]],Tableau1[#All],5,FALSE))</f>
        <v/>
      </c>
      <c r="F23" s="13" t="str">
        <f>IF(Tableau134567891011[[#This Row],[Repère]]="","",VLOOKUP(Tableau134567891011[[#This Row],[Repère]],Tableau1[#All],6,FALSE))</f>
        <v/>
      </c>
      <c r="G23" s="13" t="str">
        <f>IF(Tableau134567891011[[#This Row],[Repère]]="","",VLOOKUP(Tableau134567891011[[#This Row],[Repère]],Tableau1[#All],7,FALSE))</f>
        <v/>
      </c>
      <c r="H23" s="13" t="str">
        <f>IF(Tableau134567891011[[#This Row],[Repère]]="","",VLOOKUP(Tableau134567891011[[#This Row],[Repère]],Tableau1[#All],8,FALSE))</f>
        <v/>
      </c>
      <c r="I23" s="13" t="str">
        <f>IF(Tableau134567891011[[#This Row],[Repère]]="","",VLOOKUP(Tableau134567891011[[#This Row],[Repère]],Tableau1[#All],9,FALSE))</f>
        <v/>
      </c>
      <c r="J23" s="13" t="str">
        <f>IF(Tableau134567891011[[#This Row],[Repère]]="","",VLOOKUP(Tableau134567891011[[#This Row],[Repère]],Tableau1[#All],10,FALSE))</f>
        <v/>
      </c>
      <c r="K23" s="13" t="str">
        <f>IF(Tableau134567891011[[#This Row],[Repère]]="","",VLOOKUP(Tableau134567891011[[#This Row],[Repère]],Tableau1[#All],11,FALSE))</f>
        <v/>
      </c>
      <c r="L23" s="14" t="str">
        <f>IF(Tableau134567891011[[#This Row],[Repère]]="","",VLOOKUP(Tableau134567891011[[#This Row],[Repère]],Tableau1[#All],12,FALSE))</f>
        <v/>
      </c>
    </row>
    <row r="24" spans="1:12" x14ac:dyDescent="0.3">
      <c r="A24" s="18"/>
      <c r="B24" s="19"/>
      <c r="C24" s="13" t="str">
        <f>IF(Tableau134567891011[[#This Row],[Repère]]="","",VLOOKUP(Tableau134567891011[[#This Row],[Repère]],Tableau1[#All],3,FALSE))</f>
        <v/>
      </c>
      <c r="D24" s="13" t="str">
        <f>IF(Tableau134567891011[[#This Row],[Repère]]="","",VLOOKUP(Tableau134567891011[[#This Row],[Repère]],Tableau1[#All],4,FALSE))</f>
        <v/>
      </c>
      <c r="E24" s="13" t="str">
        <f>IF(Tableau134567891011[[#This Row],[Repère]]="","",VLOOKUP(Tableau134567891011[[#This Row],[Repère]],Tableau1[#All],5,FALSE))</f>
        <v/>
      </c>
      <c r="F24" s="13" t="str">
        <f>IF(Tableau134567891011[[#This Row],[Repère]]="","",VLOOKUP(Tableau134567891011[[#This Row],[Repère]],Tableau1[#All],6,FALSE))</f>
        <v/>
      </c>
      <c r="G24" s="13" t="str">
        <f>IF(Tableau134567891011[[#This Row],[Repère]]="","",VLOOKUP(Tableau134567891011[[#This Row],[Repère]],Tableau1[#All],7,FALSE))</f>
        <v/>
      </c>
      <c r="H24" s="13" t="str">
        <f>IF(Tableau134567891011[[#This Row],[Repère]]="","",VLOOKUP(Tableau134567891011[[#This Row],[Repère]],Tableau1[#All],8,FALSE))</f>
        <v/>
      </c>
      <c r="I24" s="13" t="str">
        <f>IF(Tableau134567891011[[#This Row],[Repère]]="","",VLOOKUP(Tableau134567891011[[#This Row],[Repère]],Tableau1[#All],9,FALSE))</f>
        <v/>
      </c>
      <c r="J24" s="13" t="str">
        <f>IF(Tableau134567891011[[#This Row],[Repère]]="","",VLOOKUP(Tableau134567891011[[#This Row],[Repère]],Tableau1[#All],10,FALSE))</f>
        <v/>
      </c>
      <c r="K24" s="13" t="str">
        <f>IF(Tableau134567891011[[#This Row],[Repère]]="","",VLOOKUP(Tableau134567891011[[#This Row],[Repère]],Tableau1[#All],11,FALSE))</f>
        <v/>
      </c>
      <c r="L24" s="14" t="str">
        <f>IF(Tableau134567891011[[#This Row],[Repère]]="","",VLOOKUP(Tableau134567891011[[#This Row],[Repère]],Tableau1[#All],12,FALSE))</f>
        <v/>
      </c>
    </row>
    <row r="25" spans="1:12" x14ac:dyDescent="0.3">
      <c r="A25" s="18"/>
      <c r="B25" s="19"/>
      <c r="C25" s="13" t="str">
        <f>IF(Tableau134567891011[[#This Row],[Repère]]="","",VLOOKUP(Tableau134567891011[[#This Row],[Repère]],Tableau1[#All],3,FALSE))</f>
        <v/>
      </c>
      <c r="D25" s="13" t="str">
        <f>IF(Tableau134567891011[[#This Row],[Repère]]="","",VLOOKUP(Tableau134567891011[[#This Row],[Repère]],Tableau1[#All],4,FALSE))</f>
        <v/>
      </c>
      <c r="E25" s="13" t="str">
        <f>IF(Tableau134567891011[[#This Row],[Repère]]="","",VLOOKUP(Tableau134567891011[[#This Row],[Repère]],Tableau1[#All],5,FALSE))</f>
        <v/>
      </c>
      <c r="F25" s="13" t="str">
        <f>IF(Tableau134567891011[[#This Row],[Repère]]="","",VLOOKUP(Tableau134567891011[[#This Row],[Repère]],Tableau1[#All],6,FALSE))</f>
        <v/>
      </c>
      <c r="G25" s="13" t="str">
        <f>IF(Tableau134567891011[[#This Row],[Repère]]="","",VLOOKUP(Tableau134567891011[[#This Row],[Repère]],Tableau1[#All],7,FALSE))</f>
        <v/>
      </c>
      <c r="H25" s="13" t="str">
        <f>IF(Tableau134567891011[[#This Row],[Repère]]="","",VLOOKUP(Tableau134567891011[[#This Row],[Repère]],Tableau1[#All],8,FALSE))</f>
        <v/>
      </c>
      <c r="I25" s="13" t="str">
        <f>IF(Tableau134567891011[[#This Row],[Repère]]="","",VLOOKUP(Tableau134567891011[[#This Row],[Repère]],Tableau1[#All],9,FALSE))</f>
        <v/>
      </c>
      <c r="J25" s="13" t="str">
        <f>IF(Tableau134567891011[[#This Row],[Repère]]="","",VLOOKUP(Tableau134567891011[[#This Row],[Repère]],Tableau1[#All],10,FALSE))</f>
        <v/>
      </c>
      <c r="K25" s="13" t="str">
        <f>IF(Tableau134567891011[[#This Row],[Repère]]="","",VLOOKUP(Tableau134567891011[[#This Row],[Repère]],Tableau1[#All],11,FALSE))</f>
        <v/>
      </c>
      <c r="L25" s="14" t="str">
        <f>IF(Tableau134567891011[[#This Row],[Repère]]="","",VLOOKUP(Tableau134567891011[[#This Row],[Repère]],Tableau1[#All],12,FALSE))</f>
        <v/>
      </c>
    </row>
    <row r="26" spans="1:12" x14ac:dyDescent="0.3">
      <c r="A26" s="18"/>
      <c r="B26" s="19"/>
      <c r="C26" s="13" t="str">
        <f>IF(Tableau134567891011[[#This Row],[Repère]]="","",VLOOKUP(Tableau134567891011[[#This Row],[Repère]],Tableau1[#All],3,FALSE))</f>
        <v/>
      </c>
      <c r="D26" s="13" t="str">
        <f>IF(Tableau134567891011[[#This Row],[Repère]]="","",VLOOKUP(Tableau134567891011[[#This Row],[Repère]],Tableau1[#All],4,FALSE))</f>
        <v/>
      </c>
      <c r="E26" s="13" t="str">
        <f>IF(Tableau134567891011[[#This Row],[Repère]]="","",VLOOKUP(Tableau134567891011[[#This Row],[Repère]],Tableau1[#All],5,FALSE))</f>
        <v/>
      </c>
      <c r="F26" s="13" t="str">
        <f>IF(Tableau134567891011[[#This Row],[Repère]]="","",VLOOKUP(Tableau134567891011[[#This Row],[Repère]],Tableau1[#All],6,FALSE))</f>
        <v/>
      </c>
      <c r="G26" s="13" t="str">
        <f>IF(Tableau134567891011[[#This Row],[Repère]]="","",VLOOKUP(Tableau134567891011[[#This Row],[Repère]],Tableau1[#All],7,FALSE))</f>
        <v/>
      </c>
      <c r="H26" s="13" t="str">
        <f>IF(Tableau134567891011[[#This Row],[Repère]]="","",VLOOKUP(Tableau134567891011[[#This Row],[Repère]],Tableau1[#All],8,FALSE))</f>
        <v/>
      </c>
      <c r="I26" s="13" t="str">
        <f>IF(Tableau134567891011[[#This Row],[Repère]]="","",VLOOKUP(Tableau134567891011[[#This Row],[Repère]],Tableau1[#All],9,FALSE))</f>
        <v/>
      </c>
      <c r="J26" s="13" t="str">
        <f>IF(Tableau134567891011[[#This Row],[Repère]]="","",VLOOKUP(Tableau134567891011[[#This Row],[Repère]],Tableau1[#All],10,FALSE))</f>
        <v/>
      </c>
      <c r="K26" s="13" t="str">
        <f>IF(Tableau134567891011[[#This Row],[Repère]]="","",VLOOKUP(Tableau134567891011[[#This Row],[Repère]],Tableau1[#All],11,FALSE))</f>
        <v/>
      </c>
      <c r="L26" s="14" t="str">
        <f>IF(Tableau134567891011[[#This Row],[Repère]]="","",VLOOKUP(Tableau134567891011[[#This Row],[Repère]],Tableau1[#All],12,FALSE))</f>
        <v/>
      </c>
    </row>
    <row r="27" spans="1:12" x14ac:dyDescent="0.3">
      <c r="A27" s="18"/>
      <c r="B27" s="19"/>
      <c r="C27" s="13" t="str">
        <f>IF(Tableau134567891011[[#This Row],[Repère]]="","",VLOOKUP(Tableau134567891011[[#This Row],[Repère]],Tableau1[#All],3,FALSE))</f>
        <v/>
      </c>
      <c r="D27" s="13" t="str">
        <f>IF(Tableau134567891011[[#This Row],[Repère]]="","",VLOOKUP(Tableau134567891011[[#This Row],[Repère]],Tableau1[#All],4,FALSE))</f>
        <v/>
      </c>
      <c r="E27" s="13" t="str">
        <f>IF(Tableau134567891011[[#This Row],[Repère]]="","",VLOOKUP(Tableau134567891011[[#This Row],[Repère]],Tableau1[#All],5,FALSE))</f>
        <v/>
      </c>
      <c r="F27" s="13" t="str">
        <f>IF(Tableau134567891011[[#This Row],[Repère]]="","",VLOOKUP(Tableau134567891011[[#This Row],[Repère]],Tableau1[#All],6,FALSE))</f>
        <v/>
      </c>
      <c r="G27" s="13" t="str">
        <f>IF(Tableau134567891011[[#This Row],[Repère]]="","",VLOOKUP(Tableau134567891011[[#This Row],[Repère]],Tableau1[#All],7,FALSE))</f>
        <v/>
      </c>
      <c r="H27" s="13" t="str">
        <f>IF(Tableau134567891011[[#This Row],[Repère]]="","",VLOOKUP(Tableau134567891011[[#This Row],[Repère]],Tableau1[#All],8,FALSE))</f>
        <v/>
      </c>
      <c r="I27" s="13" t="str">
        <f>IF(Tableau134567891011[[#This Row],[Repère]]="","",VLOOKUP(Tableau134567891011[[#This Row],[Repère]],Tableau1[#All],9,FALSE))</f>
        <v/>
      </c>
      <c r="J27" s="13" t="str">
        <f>IF(Tableau134567891011[[#This Row],[Repère]]="","",VLOOKUP(Tableau134567891011[[#This Row],[Repère]],Tableau1[#All],10,FALSE))</f>
        <v/>
      </c>
      <c r="K27" s="13" t="str">
        <f>IF(Tableau134567891011[[#This Row],[Repère]]="","",VLOOKUP(Tableau134567891011[[#This Row],[Repère]],Tableau1[#All],11,FALSE))</f>
        <v/>
      </c>
      <c r="L27" s="14" t="str">
        <f>IF(Tableau134567891011[[#This Row],[Repère]]="","",VLOOKUP(Tableau134567891011[[#This Row],[Repère]],Tableau1[#All],12,FALSE))</f>
        <v/>
      </c>
    </row>
    <row r="28" spans="1:12" x14ac:dyDescent="0.3">
      <c r="A28" s="18"/>
      <c r="B28" s="19"/>
      <c r="C28" s="13" t="str">
        <f>IF(Tableau134567891011[[#This Row],[Repère]]="","",VLOOKUP(Tableau134567891011[[#This Row],[Repère]],Tableau1[#All],3,FALSE))</f>
        <v/>
      </c>
      <c r="D28" s="13" t="str">
        <f>IF(Tableau134567891011[[#This Row],[Repère]]="","",VLOOKUP(Tableau134567891011[[#This Row],[Repère]],Tableau1[#All],4,FALSE))</f>
        <v/>
      </c>
      <c r="E28" s="13" t="str">
        <f>IF(Tableau134567891011[[#This Row],[Repère]]="","",VLOOKUP(Tableau134567891011[[#This Row],[Repère]],Tableau1[#All],5,FALSE))</f>
        <v/>
      </c>
      <c r="F28" s="13" t="str">
        <f>IF(Tableau134567891011[[#This Row],[Repère]]="","",VLOOKUP(Tableau134567891011[[#This Row],[Repère]],Tableau1[#All],6,FALSE))</f>
        <v/>
      </c>
      <c r="G28" s="13" t="str">
        <f>IF(Tableau134567891011[[#This Row],[Repère]]="","",VLOOKUP(Tableau134567891011[[#This Row],[Repère]],Tableau1[#All],7,FALSE))</f>
        <v/>
      </c>
      <c r="H28" s="13" t="str">
        <f>IF(Tableau134567891011[[#This Row],[Repère]]="","",VLOOKUP(Tableau134567891011[[#This Row],[Repère]],Tableau1[#All],8,FALSE))</f>
        <v/>
      </c>
      <c r="I28" s="13" t="str">
        <f>IF(Tableau134567891011[[#This Row],[Repère]]="","",VLOOKUP(Tableau134567891011[[#This Row],[Repère]],Tableau1[#All],9,FALSE))</f>
        <v/>
      </c>
      <c r="J28" s="13" t="str">
        <f>IF(Tableau134567891011[[#This Row],[Repère]]="","",VLOOKUP(Tableau134567891011[[#This Row],[Repère]],Tableau1[#All],10,FALSE))</f>
        <v/>
      </c>
      <c r="K28" s="13" t="str">
        <f>IF(Tableau134567891011[[#This Row],[Repère]]="","",VLOOKUP(Tableau134567891011[[#This Row],[Repère]],Tableau1[#All],11,FALSE))</f>
        <v/>
      </c>
      <c r="L28" s="14" t="str">
        <f>IF(Tableau134567891011[[#This Row],[Repère]]="","",VLOOKUP(Tableau134567891011[[#This Row],[Repère]],Tableau1[#All],12,FALSE))</f>
        <v/>
      </c>
    </row>
    <row r="29" spans="1:12" x14ac:dyDescent="0.3">
      <c r="A29" s="18"/>
      <c r="B29" s="19"/>
      <c r="C29" s="13" t="str">
        <f>IF(Tableau134567891011[[#This Row],[Repère]]="","",VLOOKUP(Tableau134567891011[[#This Row],[Repère]],Tableau1[#All],3,FALSE))</f>
        <v/>
      </c>
      <c r="D29" s="13" t="str">
        <f>IF(Tableau134567891011[[#This Row],[Repère]]="","",VLOOKUP(Tableau134567891011[[#This Row],[Repère]],Tableau1[#All],4,FALSE))</f>
        <v/>
      </c>
      <c r="E29" s="13" t="str">
        <f>IF(Tableau134567891011[[#This Row],[Repère]]="","",VLOOKUP(Tableau134567891011[[#This Row],[Repère]],Tableau1[#All],5,FALSE))</f>
        <v/>
      </c>
      <c r="F29" s="13" t="str">
        <f>IF(Tableau134567891011[[#This Row],[Repère]]="","",VLOOKUP(Tableau134567891011[[#This Row],[Repère]],Tableau1[#All],6,FALSE))</f>
        <v/>
      </c>
      <c r="G29" s="13" t="str">
        <f>IF(Tableau134567891011[[#This Row],[Repère]]="","",VLOOKUP(Tableau134567891011[[#This Row],[Repère]],Tableau1[#All],7,FALSE))</f>
        <v/>
      </c>
      <c r="H29" s="13" t="str">
        <f>IF(Tableau134567891011[[#This Row],[Repère]]="","",VLOOKUP(Tableau134567891011[[#This Row],[Repère]],Tableau1[#All],8,FALSE))</f>
        <v/>
      </c>
      <c r="I29" s="13" t="str">
        <f>IF(Tableau134567891011[[#This Row],[Repère]]="","",VLOOKUP(Tableau134567891011[[#This Row],[Repère]],Tableau1[#All],9,FALSE))</f>
        <v/>
      </c>
      <c r="J29" s="13" t="str">
        <f>IF(Tableau134567891011[[#This Row],[Repère]]="","",VLOOKUP(Tableau134567891011[[#This Row],[Repère]],Tableau1[#All],10,FALSE))</f>
        <v/>
      </c>
      <c r="K29" s="13" t="str">
        <f>IF(Tableau134567891011[[#This Row],[Repère]]="","",VLOOKUP(Tableau134567891011[[#This Row],[Repère]],Tableau1[#All],11,FALSE))</f>
        <v/>
      </c>
      <c r="L29" s="14" t="str">
        <f>IF(Tableau134567891011[[#This Row],[Repère]]="","",VLOOKUP(Tableau134567891011[[#This Row],[Repère]],Tableau1[#All],12,FALSE))</f>
        <v/>
      </c>
    </row>
    <row r="30" spans="1:12" x14ac:dyDescent="0.3">
      <c r="A30" s="18"/>
      <c r="B30" s="19"/>
      <c r="C30" s="13" t="str">
        <f>IF(Tableau134567891011[[#This Row],[Repère]]="","",VLOOKUP(Tableau134567891011[[#This Row],[Repère]],Tableau1[#All],3,FALSE))</f>
        <v/>
      </c>
      <c r="D30" s="13" t="str">
        <f>IF(Tableau134567891011[[#This Row],[Repère]]="","",VLOOKUP(Tableau134567891011[[#This Row],[Repère]],Tableau1[#All],4,FALSE))</f>
        <v/>
      </c>
      <c r="E30" s="13" t="str">
        <f>IF(Tableau134567891011[[#This Row],[Repère]]="","",VLOOKUP(Tableau134567891011[[#This Row],[Repère]],Tableau1[#All],5,FALSE))</f>
        <v/>
      </c>
      <c r="F30" s="13" t="str">
        <f>IF(Tableau134567891011[[#This Row],[Repère]]="","",VLOOKUP(Tableau134567891011[[#This Row],[Repère]],Tableau1[#All],6,FALSE))</f>
        <v/>
      </c>
      <c r="G30" s="13" t="str">
        <f>IF(Tableau134567891011[[#This Row],[Repère]]="","",VLOOKUP(Tableau134567891011[[#This Row],[Repère]],Tableau1[#All],7,FALSE))</f>
        <v/>
      </c>
      <c r="H30" s="13" t="str">
        <f>IF(Tableau134567891011[[#This Row],[Repère]]="","",VLOOKUP(Tableau134567891011[[#This Row],[Repère]],Tableau1[#All],8,FALSE))</f>
        <v/>
      </c>
      <c r="I30" s="13" t="str">
        <f>IF(Tableau134567891011[[#This Row],[Repère]]="","",VLOOKUP(Tableau134567891011[[#This Row],[Repère]],Tableau1[#All],9,FALSE))</f>
        <v/>
      </c>
      <c r="J30" s="13" t="str">
        <f>IF(Tableau134567891011[[#This Row],[Repère]]="","",VLOOKUP(Tableau134567891011[[#This Row],[Repère]],Tableau1[#All],10,FALSE))</f>
        <v/>
      </c>
      <c r="K30" s="13" t="str">
        <f>IF(Tableau134567891011[[#This Row],[Repère]]="","",VLOOKUP(Tableau134567891011[[#This Row],[Repère]],Tableau1[#All],11,FALSE))</f>
        <v/>
      </c>
      <c r="L30" s="14" t="str">
        <f>IF(Tableau134567891011[[#This Row],[Repère]]="","",VLOOKUP(Tableau134567891011[[#This Row],[Repère]],Tableau1[#All],12,FALSE))</f>
        <v/>
      </c>
    </row>
    <row r="31" spans="1:12" x14ac:dyDescent="0.3">
      <c r="A31" s="18"/>
      <c r="B31" s="19"/>
      <c r="C31" s="13" t="str">
        <f>IF(Tableau134567891011[[#This Row],[Repère]]="","",VLOOKUP(Tableau134567891011[[#This Row],[Repère]],Tableau1[#All],3,FALSE))</f>
        <v/>
      </c>
      <c r="D31" s="13" t="str">
        <f>IF(Tableau134567891011[[#This Row],[Repère]]="","",VLOOKUP(Tableau134567891011[[#This Row],[Repère]],Tableau1[#All],4,FALSE))</f>
        <v/>
      </c>
      <c r="E31" s="13" t="str">
        <f>IF(Tableau134567891011[[#This Row],[Repère]]="","",VLOOKUP(Tableau134567891011[[#This Row],[Repère]],Tableau1[#All],5,FALSE))</f>
        <v/>
      </c>
      <c r="F31" s="13" t="str">
        <f>IF(Tableau134567891011[[#This Row],[Repère]]="","",VLOOKUP(Tableau134567891011[[#This Row],[Repère]],Tableau1[#All],6,FALSE))</f>
        <v/>
      </c>
      <c r="G31" s="13" t="str">
        <f>IF(Tableau134567891011[[#This Row],[Repère]]="","",VLOOKUP(Tableau134567891011[[#This Row],[Repère]],Tableau1[#All],7,FALSE))</f>
        <v/>
      </c>
      <c r="H31" s="13" t="str">
        <f>IF(Tableau134567891011[[#This Row],[Repère]]="","",VLOOKUP(Tableau134567891011[[#This Row],[Repère]],Tableau1[#All],8,FALSE))</f>
        <v/>
      </c>
      <c r="I31" s="13" t="str">
        <f>IF(Tableau134567891011[[#This Row],[Repère]]="","",VLOOKUP(Tableau134567891011[[#This Row],[Repère]],Tableau1[#All],9,FALSE))</f>
        <v/>
      </c>
      <c r="J31" s="13" t="str">
        <f>IF(Tableau134567891011[[#This Row],[Repère]]="","",VLOOKUP(Tableau134567891011[[#This Row],[Repère]],Tableau1[#All],10,FALSE))</f>
        <v/>
      </c>
      <c r="K31" s="13" t="str">
        <f>IF(Tableau134567891011[[#This Row],[Repère]]="","",VLOOKUP(Tableau134567891011[[#This Row],[Repère]],Tableau1[#All],11,FALSE))</f>
        <v/>
      </c>
      <c r="L31" s="14" t="str">
        <f>IF(Tableau134567891011[[#This Row],[Repère]]="","",VLOOKUP(Tableau134567891011[[#This Row],[Repère]],Tableau1[#All],12,FALSE))</f>
        <v/>
      </c>
    </row>
    <row r="32" spans="1:12" x14ac:dyDescent="0.3">
      <c r="A32" s="18"/>
      <c r="B32" s="19"/>
      <c r="C32" s="13" t="str">
        <f>IF(Tableau134567891011[[#This Row],[Repère]]="","",VLOOKUP(Tableau134567891011[[#This Row],[Repère]],Tableau1[#All],3,FALSE))</f>
        <v/>
      </c>
      <c r="D32" s="13" t="str">
        <f>IF(Tableau134567891011[[#This Row],[Repère]]="","",VLOOKUP(Tableau134567891011[[#This Row],[Repère]],Tableau1[#All],4,FALSE))</f>
        <v/>
      </c>
      <c r="E32" s="13" t="str">
        <f>IF(Tableau134567891011[[#This Row],[Repère]]="","",VLOOKUP(Tableau134567891011[[#This Row],[Repère]],Tableau1[#All],5,FALSE))</f>
        <v/>
      </c>
      <c r="F32" s="13" t="str">
        <f>IF(Tableau134567891011[[#This Row],[Repère]]="","",VLOOKUP(Tableau134567891011[[#This Row],[Repère]],Tableau1[#All],6,FALSE))</f>
        <v/>
      </c>
      <c r="G32" s="13" t="str">
        <f>IF(Tableau134567891011[[#This Row],[Repère]]="","",VLOOKUP(Tableau134567891011[[#This Row],[Repère]],Tableau1[#All],7,FALSE))</f>
        <v/>
      </c>
      <c r="H32" s="13" t="str">
        <f>IF(Tableau134567891011[[#This Row],[Repère]]="","",VLOOKUP(Tableau134567891011[[#This Row],[Repère]],Tableau1[#All],8,FALSE))</f>
        <v/>
      </c>
      <c r="I32" s="13" t="str">
        <f>IF(Tableau134567891011[[#This Row],[Repère]]="","",VLOOKUP(Tableau134567891011[[#This Row],[Repère]],Tableau1[#All],9,FALSE))</f>
        <v/>
      </c>
      <c r="J32" s="13" t="str">
        <f>IF(Tableau134567891011[[#This Row],[Repère]]="","",VLOOKUP(Tableau134567891011[[#This Row],[Repère]],Tableau1[#All],10,FALSE))</f>
        <v/>
      </c>
      <c r="K32" s="13" t="str">
        <f>IF(Tableau134567891011[[#This Row],[Repère]]="","",VLOOKUP(Tableau134567891011[[#This Row],[Repère]],Tableau1[#All],11,FALSE))</f>
        <v/>
      </c>
      <c r="L32" s="14" t="str">
        <f>IF(Tableau134567891011[[#This Row],[Repère]]="","",VLOOKUP(Tableau134567891011[[#This Row],[Repère]],Tableau1[#All],12,FALSE))</f>
        <v/>
      </c>
    </row>
    <row r="33" spans="1:12" x14ac:dyDescent="0.3">
      <c r="A33" s="18"/>
      <c r="B33" s="19"/>
      <c r="C33" s="13" t="str">
        <f>IF(Tableau134567891011[[#This Row],[Repère]]="","",VLOOKUP(Tableau134567891011[[#This Row],[Repère]],Tableau1[#All],3,FALSE))</f>
        <v/>
      </c>
      <c r="D33" s="13" t="str">
        <f>IF(Tableau134567891011[[#This Row],[Repère]]="","",VLOOKUP(Tableau134567891011[[#This Row],[Repère]],Tableau1[#All],4,FALSE))</f>
        <v/>
      </c>
      <c r="E33" s="13" t="str">
        <f>IF(Tableau134567891011[[#This Row],[Repère]]="","",VLOOKUP(Tableau134567891011[[#This Row],[Repère]],Tableau1[#All],5,FALSE))</f>
        <v/>
      </c>
      <c r="F33" s="13" t="str">
        <f>IF(Tableau134567891011[[#This Row],[Repère]]="","",VLOOKUP(Tableau134567891011[[#This Row],[Repère]],Tableau1[#All],6,FALSE))</f>
        <v/>
      </c>
      <c r="G33" s="13" t="str">
        <f>IF(Tableau134567891011[[#This Row],[Repère]]="","",VLOOKUP(Tableau134567891011[[#This Row],[Repère]],Tableau1[#All],7,FALSE))</f>
        <v/>
      </c>
      <c r="H33" s="13" t="str">
        <f>IF(Tableau134567891011[[#This Row],[Repère]]="","",VLOOKUP(Tableau134567891011[[#This Row],[Repère]],Tableau1[#All],8,FALSE))</f>
        <v/>
      </c>
      <c r="I33" s="13" t="str">
        <f>IF(Tableau134567891011[[#This Row],[Repère]]="","",VLOOKUP(Tableau134567891011[[#This Row],[Repère]],Tableau1[#All],9,FALSE))</f>
        <v/>
      </c>
      <c r="J33" s="13" t="str">
        <f>IF(Tableau134567891011[[#This Row],[Repère]]="","",VLOOKUP(Tableau134567891011[[#This Row],[Repère]],Tableau1[#All],10,FALSE))</f>
        <v/>
      </c>
      <c r="K33" s="13" t="str">
        <f>IF(Tableau134567891011[[#This Row],[Repère]]="","",VLOOKUP(Tableau134567891011[[#This Row],[Repère]],Tableau1[#All],11,FALSE))</f>
        <v/>
      </c>
      <c r="L33" s="14" t="str">
        <f>IF(Tableau134567891011[[#This Row],[Repère]]="","",VLOOKUP(Tableau134567891011[[#This Row],[Repère]],Tableau1[#All],12,FALSE))</f>
        <v/>
      </c>
    </row>
    <row r="34" spans="1:12" x14ac:dyDescent="0.3">
      <c r="A34" s="18"/>
      <c r="B34" s="19"/>
      <c r="C34" s="13" t="str">
        <f>IF(Tableau134567891011[[#This Row],[Repère]]="","",VLOOKUP(Tableau134567891011[[#This Row],[Repère]],Tableau1[#All],3,FALSE))</f>
        <v/>
      </c>
      <c r="D34" s="13" t="str">
        <f>IF(Tableau134567891011[[#This Row],[Repère]]="","",VLOOKUP(Tableau134567891011[[#This Row],[Repère]],Tableau1[#All],4,FALSE))</f>
        <v/>
      </c>
      <c r="E34" s="13" t="str">
        <f>IF(Tableau134567891011[[#This Row],[Repère]]="","",VLOOKUP(Tableau134567891011[[#This Row],[Repère]],Tableau1[#All],5,FALSE))</f>
        <v/>
      </c>
      <c r="F34" s="13" t="str">
        <f>IF(Tableau134567891011[[#This Row],[Repère]]="","",VLOOKUP(Tableau134567891011[[#This Row],[Repère]],Tableau1[#All],6,FALSE))</f>
        <v/>
      </c>
      <c r="G34" s="13" t="str">
        <f>IF(Tableau134567891011[[#This Row],[Repère]]="","",VLOOKUP(Tableau134567891011[[#This Row],[Repère]],Tableau1[#All],7,FALSE))</f>
        <v/>
      </c>
      <c r="H34" s="13" t="str">
        <f>IF(Tableau134567891011[[#This Row],[Repère]]="","",VLOOKUP(Tableau134567891011[[#This Row],[Repère]],Tableau1[#All],8,FALSE))</f>
        <v/>
      </c>
      <c r="I34" s="13" t="str">
        <f>IF(Tableau134567891011[[#This Row],[Repère]]="","",VLOOKUP(Tableau134567891011[[#This Row],[Repère]],Tableau1[#All],9,FALSE))</f>
        <v/>
      </c>
      <c r="J34" s="13" t="str">
        <f>IF(Tableau134567891011[[#This Row],[Repère]]="","",VLOOKUP(Tableau134567891011[[#This Row],[Repère]],Tableau1[#All],10,FALSE))</f>
        <v/>
      </c>
      <c r="K34" s="13" t="str">
        <f>IF(Tableau134567891011[[#This Row],[Repère]]="","",VLOOKUP(Tableau134567891011[[#This Row],[Repère]],Tableau1[#All],11,FALSE))</f>
        <v/>
      </c>
      <c r="L34" s="14" t="str">
        <f>IF(Tableau134567891011[[#This Row],[Repère]]="","",VLOOKUP(Tableau134567891011[[#This Row],[Repère]],Tableau1[#All],12,FALSE))</f>
        <v/>
      </c>
    </row>
    <row r="35" spans="1:12" x14ac:dyDescent="0.3">
      <c r="A35" s="18"/>
      <c r="B35" s="19"/>
      <c r="C35" s="13" t="str">
        <f>IF(Tableau134567891011[[#This Row],[Repère]]="","",VLOOKUP(Tableau134567891011[[#This Row],[Repère]],Tableau1[#All],3,FALSE))</f>
        <v/>
      </c>
      <c r="D35" s="13" t="str">
        <f>IF(Tableau134567891011[[#This Row],[Repère]]="","",VLOOKUP(Tableau134567891011[[#This Row],[Repère]],Tableau1[#All],4,FALSE))</f>
        <v/>
      </c>
      <c r="E35" s="13" t="str">
        <f>IF(Tableau134567891011[[#This Row],[Repère]]="","",VLOOKUP(Tableau134567891011[[#This Row],[Repère]],Tableau1[#All],5,FALSE))</f>
        <v/>
      </c>
      <c r="F35" s="13" t="str">
        <f>IF(Tableau134567891011[[#This Row],[Repère]]="","",VLOOKUP(Tableau134567891011[[#This Row],[Repère]],Tableau1[#All],6,FALSE))</f>
        <v/>
      </c>
      <c r="G35" s="13" t="str">
        <f>IF(Tableau134567891011[[#This Row],[Repère]]="","",VLOOKUP(Tableau134567891011[[#This Row],[Repère]],Tableau1[#All],7,FALSE))</f>
        <v/>
      </c>
      <c r="H35" s="13" t="str">
        <f>IF(Tableau134567891011[[#This Row],[Repère]]="","",VLOOKUP(Tableau134567891011[[#This Row],[Repère]],Tableau1[#All],8,FALSE))</f>
        <v/>
      </c>
      <c r="I35" s="13" t="str">
        <f>IF(Tableau134567891011[[#This Row],[Repère]]="","",VLOOKUP(Tableau134567891011[[#This Row],[Repère]],Tableau1[#All],9,FALSE))</f>
        <v/>
      </c>
      <c r="J35" s="13" t="str">
        <f>IF(Tableau134567891011[[#This Row],[Repère]]="","",VLOOKUP(Tableau134567891011[[#This Row],[Repère]],Tableau1[#All],10,FALSE))</f>
        <v/>
      </c>
      <c r="K35" s="13" t="str">
        <f>IF(Tableau134567891011[[#This Row],[Repère]]="","",VLOOKUP(Tableau134567891011[[#This Row],[Repère]],Tableau1[#All],11,FALSE))</f>
        <v/>
      </c>
      <c r="L35" s="14" t="str">
        <f>IF(Tableau134567891011[[#This Row],[Repère]]="","",VLOOKUP(Tableau134567891011[[#This Row],[Repère]],Tableau1[#All],12,FALSE))</f>
        <v/>
      </c>
    </row>
    <row r="36" spans="1:12" x14ac:dyDescent="0.3">
      <c r="A36" s="18"/>
      <c r="B36" s="19"/>
      <c r="C36" s="13" t="str">
        <f>IF(Tableau134567891011[[#This Row],[Repère]]="","",VLOOKUP(Tableau134567891011[[#This Row],[Repère]],Tableau1[#All],3,FALSE))</f>
        <v/>
      </c>
      <c r="D36" s="13" t="str">
        <f>IF(Tableau134567891011[[#This Row],[Repère]]="","",VLOOKUP(Tableau134567891011[[#This Row],[Repère]],Tableau1[#All],4,FALSE))</f>
        <v/>
      </c>
      <c r="E36" s="13" t="str">
        <f>IF(Tableau134567891011[[#This Row],[Repère]]="","",VLOOKUP(Tableau134567891011[[#This Row],[Repère]],Tableau1[#All],5,FALSE))</f>
        <v/>
      </c>
      <c r="F36" s="13" t="str">
        <f>IF(Tableau134567891011[[#This Row],[Repère]]="","",VLOOKUP(Tableau134567891011[[#This Row],[Repère]],Tableau1[#All],6,FALSE))</f>
        <v/>
      </c>
      <c r="G36" s="13" t="str">
        <f>IF(Tableau134567891011[[#This Row],[Repère]]="","",VLOOKUP(Tableau134567891011[[#This Row],[Repère]],Tableau1[#All],7,FALSE))</f>
        <v/>
      </c>
      <c r="H36" s="13" t="str">
        <f>IF(Tableau134567891011[[#This Row],[Repère]]="","",VLOOKUP(Tableau134567891011[[#This Row],[Repère]],Tableau1[#All],8,FALSE))</f>
        <v/>
      </c>
      <c r="I36" s="13" t="str">
        <f>IF(Tableau134567891011[[#This Row],[Repère]]="","",VLOOKUP(Tableau134567891011[[#This Row],[Repère]],Tableau1[#All],9,FALSE))</f>
        <v/>
      </c>
      <c r="J36" s="13" t="str">
        <f>IF(Tableau134567891011[[#This Row],[Repère]]="","",VLOOKUP(Tableau134567891011[[#This Row],[Repère]],Tableau1[#All],10,FALSE))</f>
        <v/>
      </c>
      <c r="K36" s="13" t="str">
        <f>IF(Tableau134567891011[[#This Row],[Repère]]="","",VLOOKUP(Tableau134567891011[[#This Row],[Repère]],Tableau1[#All],11,FALSE))</f>
        <v/>
      </c>
      <c r="L36" s="14" t="str">
        <f>IF(Tableau134567891011[[#This Row],[Repère]]="","",VLOOKUP(Tableau134567891011[[#This Row],[Repère]],Tableau1[#All],12,FALSE))</f>
        <v/>
      </c>
    </row>
    <row r="37" spans="1:12" x14ac:dyDescent="0.3">
      <c r="A37" s="18"/>
      <c r="B37" s="19"/>
      <c r="C37" s="13" t="str">
        <f>IF(Tableau134567891011[[#This Row],[Repère]]="","",VLOOKUP(Tableau134567891011[[#This Row],[Repère]],Tableau1[#All],3,FALSE))</f>
        <v/>
      </c>
      <c r="D37" s="13" t="str">
        <f>IF(Tableau134567891011[[#This Row],[Repère]]="","",VLOOKUP(Tableau134567891011[[#This Row],[Repère]],Tableau1[#All],4,FALSE))</f>
        <v/>
      </c>
      <c r="E37" s="13" t="str">
        <f>IF(Tableau134567891011[[#This Row],[Repère]]="","",VLOOKUP(Tableau134567891011[[#This Row],[Repère]],Tableau1[#All],5,FALSE))</f>
        <v/>
      </c>
      <c r="F37" s="13" t="str">
        <f>IF(Tableau134567891011[[#This Row],[Repère]]="","",VLOOKUP(Tableau134567891011[[#This Row],[Repère]],Tableau1[#All],6,FALSE))</f>
        <v/>
      </c>
      <c r="G37" s="13" t="str">
        <f>IF(Tableau134567891011[[#This Row],[Repère]]="","",VLOOKUP(Tableau134567891011[[#This Row],[Repère]],Tableau1[#All],7,FALSE))</f>
        <v/>
      </c>
      <c r="H37" s="13" t="str">
        <f>IF(Tableau134567891011[[#This Row],[Repère]]="","",VLOOKUP(Tableau134567891011[[#This Row],[Repère]],Tableau1[#All],8,FALSE))</f>
        <v/>
      </c>
      <c r="I37" s="13" t="str">
        <f>IF(Tableau134567891011[[#This Row],[Repère]]="","",VLOOKUP(Tableau134567891011[[#This Row],[Repère]],Tableau1[#All],9,FALSE))</f>
        <v/>
      </c>
      <c r="J37" s="13" t="str">
        <f>IF(Tableau134567891011[[#This Row],[Repère]]="","",VLOOKUP(Tableau134567891011[[#This Row],[Repère]],Tableau1[#All],10,FALSE))</f>
        <v/>
      </c>
      <c r="K37" s="13" t="str">
        <f>IF(Tableau134567891011[[#This Row],[Repère]]="","",VLOOKUP(Tableau134567891011[[#This Row],[Repère]],Tableau1[#All],11,FALSE))</f>
        <v/>
      </c>
      <c r="L37" s="14" t="str">
        <f>IF(Tableau134567891011[[#This Row],[Repère]]="","",VLOOKUP(Tableau134567891011[[#This Row],[Repère]],Tableau1[#All],12,FALSE))</f>
        <v/>
      </c>
    </row>
    <row r="38" spans="1:12" x14ac:dyDescent="0.3">
      <c r="A38" s="18"/>
      <c r="B38" s="19"/>
      <c r="C38" s="13" t="str">
        <f>IF(Tableau134567891011[[#This Row],[Repère]]="","",VLOOKUP(Tableau134567891011[[#This Row],[Repère]],Tableau1[#All],3,FALSE))</f>
        <v/>
      </c>
      <c r="D38" s="13" t="str">
        <f>IF(Tableau134567891011[[#This Row],[Repère]]="","",VLOOKUP(Tableau134567891011[[#This Row],[Repère]],Tableau1[#All],4,FALSE))</f>
        <v/>
      </c>
      <c r="E38" s="13" t="str">
        <f>IF(Tableau134567891011[[#This Row],[Repère]]="","",VLOOKUP(Tableau134567891011[[#This Row],[Repère]],Tableau1[#All],5,FALSE))</f>
        <v/>
      </c>
      <c r="F38" s="13" t="str">
        <f>IF(Tableau134567891011[[#This Row],[Repère]]="","",VLOOKUP(Tableau134567891011[[#This Row],[Repère]],Tableau1[#All],6,FALSE))</f>
        <v/>
      </c>
      <c r="G38" s="13" t="str">
        <f>IF(Tableau134567891011[[#This Row],[Repère]]="","",VLOOKUP(Tableau134567891011[[#This Row],[Repère]],Tableau1[#All],7,FALSE))</f>
        <v/>
      </c>
      <c r="H38" s="13" t="str">
        <f>IF(Tableau134567891011[[#This Row],[Repère]]="","",VLOOKUP(Tableau134567891011[[#This Row],[Repère]],Tableau1[#All],8,FALSE))</f>
        <v/>
      </c>
      <c r="I38" s="13" t="str">
        <f>IF(Tableau134567891011[[#This Row],[Repère]]="","",VLOOKUP(Tableau134567891011[[#This Row],[Repère]],Tableau1[#All],9,FALSE))</f>
        <v/>
      </c>
      <c r="J38" s="13" t="str">
        <f>IF(Tableau134567891011[[#This Row],[Repère]]="","",VLOOKUP(Tableau134567891011[[#This Row],[Repère]],Tableau1[#All],10,FALSE))</f>
        <v/>
      </c>
      <c r="K38" s="13" t="str">
        <f>IF(Tableau134567891011[[#This Row],[Repère]]="","",VLOOKUP(Tableau134567891011[[#This Row],[Repère]],Tableau1[#All],11,FALSE))</f>
        <v/>
      </c>
      <c r="L38" s="14" t="str">
        <f>IF(Tableau134567891011[[#This Row],[Repère]]="","",VLOOKUP(Tableau134567891011[[#This Row],[Repère]],Tableau1[#All],12,FALSE))</f>
        <v/>
      </c>
    </row>
    <row r="39" spans="1:12" x14ac:dyDescent="0.3">
      <c r="A39" s="18"/>
      <c r="B39" s="19"/>
      <c r="C39" s="13" t="str">
        <f>IF(Tableau134567891011[[#This Row],[Repère]]="","",VLOOKUP(Tableau134567891011[[#This Row],[Repère]],Tableau1[#All],3,FALSE))</f>
        <v/>
      </c>
      <c r="D39" s="13" t="str">
        <f>IF(Tableau134567891011[[#This Row],[Repère]]="","",VLOOKUP(Tableau134567891011[[#This Row],[Repère]],Tableau1[#All],4,FALSE))</f>
        <v/>
      </c>
      <c r="E39" s="13" t="str">
        <f>IF(Tableau134567891011[[#This Row],[Repère]]="","",VLOOKUP(Tableau134567891011[[#This Row],[Repère]],Tableau1[#All],5,FALSE))</f>
        <v/>
      </c>
      <c r="F39" s="13" t="str">
        <f>IF(Tableau134567891011[[#This Row],[Repère]]="","",VLOOKUP(Tableau134567891011[[#This Row],[Repère]],Tableau1[#All],6,FALSE))</f>
        <v/>
      </c>
      <c r="G39" s="13" t="str">
        <f>IF(Tableau134567891011[[#This Row],[Repère]]="","",VLOOKUP(Tableau134567891011[[#This Row],[Repère]],Tableau1[#All],7,FALSE))</f>
        <v/>
      </c>
      <c r="H39" s="13" t="str">
        <f>IF(Tableau134567891011[[#This Row],[Repère]]="","",VLOOKUP(Tableau134567891011[[#This Row],[Repère]],Tableau1[#All],8,FALSE))</f>
        <v/>
      </c>
      <c r="I39" s="13" t="str">
        <f>IF(Tableau134567891011[[#This Row],[Repère]]="","",VLOOKUP(Tableau134567891011[[#This Row],[Repère]],Tableau1[#All],9,FALSE))</f>
        <v/>
      </c>
      <c r="J39" s="13" t="str">
        <f>IF(Tableau134567891011[[#This Row],[Repère]]="","",VLOOKUP(Tableau134567891011[[#This Row],[Repère]],Tableau1[#All],10,FALSE))</f>
        <v/>
      </c>
      <c r="K39" s="13" t="str">
        <f>IF(Tableau134567891011[[#This Row],[Repère]]="","",VLOOKUP(Tableau134567891011[[#This Row],[Repère]],Tableau1[#All],11,FALSE))</f>
        <v/>
      </c>
      <c r="L39" s="14" t="str">
        <f>IF(Tableau134567891011[[#This Row],[Repère]]="","",VLOOKUP(Tableau134567891011[[#This Row],[Repère]],Tableau1[#All],12,FALSE))</f>
        <v/>
      </c>
    </row>
    <row r="40" spans="1:12" x14ac:dyDescent="0.3">
      <c r="A40" s="18"/>
      <c r="B40" s="19"/>
      <c r="C40" s="13" t="str">
        <f>IF(Tableau134567891011[[#This Row],[Repère]]="","",VLOOKUP(Tableau134567891011[[#This Row],[Repère]],Tableau1[#All],3,FALSE))</f>
        <v/>
      </c>
      <c r="D40" s="13" t="str">
        <f>IF(Tableau134567891011[[#This Row],[Repère]]="","",VLOOKUP(Tableau134567891011[[#This Row],[Repère]],Tableau1[#All],4,FALSE))</f>
        <v/>
      </c>
      <c r="E40" s="13" t="str">
        <f>IF(Tableau134567891011[[#This Row],[Repère]]="","",VLOOKUP(Tableau134567891011[[#This Row],[Repère]],Tableau1[#All],5,FALSE))</f>
        <v/>
      </c>
      <c r="F40" s="13" t="str">
        <f>IF(Tableau134567891011[[#This Row],[Repère]]="","",VLOOKUP(Tableau134567891011[[#This Row],[Repère]],Tableau1[#All],6,FALSE))</f>
        <v/>
      </c>
      <c r="G40" s="13" t="str">
        <f>IF(Tableau134567891011[[#This Row],[Repère]]="","",VLOOKUP(Tableau134567891011[[#This Row],[Repère]],Tableau1[#All],7,FALSE))</f>
        <v/>
      </c>
      <c r="H40" s="13" t="str">
        <f>IF(Tableau134567891011[[#This Row],[Repère]]="","",VLOOKUP(Tableau134567891011[[#This Row],[Repère]],Tableau1[#All],8,FALSE))</f>
        <v/>
      </c>
      <c r="I40" s="13" t="str">
        <f>IF(Tableau134567891011[[#This Row],[Repère]]="","",VLOOKUP(Tableau134567891011[[#This Row],[Repère]],Tableau1[#All],9,FALSE))</f>
        <v/>
      </c>
      <c r="J40" s="13" t="str">
        <f>IF(Tableau134567891011[[#This Row],[Repère]]="","",VLOOKUP(Tableau134567891011[[#This Row],[Repère]],Tableau1[#All],10,FALSE))</f>
        <v/>
      </c>
      <c r="K40" s="13" t="str">
        <f>IF(Tableau134567891011[[#This Row],[Repère]]="","",VLOOKUP(Tableau134567891011[[#This Row],[Repère]],Tableau1[#All],11,FALSE))</f>
        <v/>
      </c>
      <c r="L40" s="14" t="str">
        <f>IF(Tableau134567891011[[#This Row],[Repère]]="","",VLOOKUP(Tableau134567891011[[#This Row],[Repère]],Tableau1[#All],12,FALSE))</f>
        <v/>
      </c>
    </row>
    <row r="41" spans="1:12" x14ac:dyDescent="0.3">
      <c r="A41" s="18"/>
      <c r="B41" s="19"/>
      <c r="C41" s="13" t="str">
        <f>IF(Tableau134567891011[[#This Row],[Repère]]="","",VLOOKUP(Tableau134567891011[[#This Row],[Repère]],Tableau1[#All],3,FALSE))</f>
        <v/>
      </c>
      <c r="D41" s="13" t="str">
        <f>IF(Tableau134567891011[[#This Row],[Repère]]="","",VLOOKUP(Tableau134567891011[[#This Row],[Repère]],Tableau1[#All],4,FALSE))</f>
        <v/>
      </c>
      <c r="E41" s="13" t="str">
        <f>IF(Tableau134567891011[[#This Row],[Repère]]="","",VLOOKUP(Tableau134567891011[[#This Row],[Repère]],Tableau1[#All],5,FALSE))</f>
        <v/>
      </c>
      <c r="F41" s="13" t="str">
        <f>IF(Tableau134567891011[[#This Row],[Repère]]="","",VLOOKUP(Tableau134567891011[[#This Row],[Repère]],Tableau1[#All],6,FALSE))</f>
        <v/>
      </c>
      <c r="G41" s="13" t="str">
        <f>IF(Tableau134567891011[[#This Row],[Repère]]="","",VLOOKUP(Tableau134567891011[[#This Row],[Repère]],Tableau1[#All],7,FALSE))</f>
        <v/>
      </c>
      <c r="H41" s="13" t="str">
        <f>IF(Tableau134567891011[[#This Row],[Repère]]="","",VLOOKUP(Tableau134567891011[[#This Row],[Repère]],Tableau1[#All],8,FALSE))</f>
        <v/>
      </c>
      <c r="I41" s="13" t="str">
        <f>IF(Tableau134567891011[[#This Row],[Repère]]="","",VLOOKUP(Tableau134567891011[[#This Row],[Repère]],Tableau1[#All],9,FALSE))</f>
        <v/>
      </c>
      <c r="J41" s="13" t="str">
        <f>IF(Tableau134567891011[[#This Row],[Repère]]="","",VLOOKUP(Tableau134567891011[[#This Row],[Repère]],Tableau1[#All],10,FALSE))</f>
        <v/>
      </c>
      <c r="K41" s="13" t="str">
        <f>IF(Tableau134567891011[[#This Row],[Repère]]="","",VLOOKUP(Tableau134567891011[[#This Row],[Repère]],Tableau1[#All],11,FALSE))</f>
        <v/>
      </c>
      <c r="L41" s="14" t="str">
        <f>IF(Tableau134567891011[[#This Row],[Repère]]="","",VLOOKUP(Tableau134567891011[[#This Row],[Repère]],Tableau1[#All],12,FALSE))</f>
        <v/>
      </c>
    </row>
    <row r="42" spans="1:12" x14ac:dyDescent="0.3">
      <c r="A42" s="18"/>
      <c r="B42" s="19"/>
      <c r="C42" s="13" t="str">
        <f>IF(Tableau134567891011[[#This Row],[Repère]]="","",VLOOKUP(Tableau134567891011[[#This Row],[Repère]],Tableau1[#All],3,FALSE))</f>
        <v/>
      </c>
      <c r="D42" s="13" t="str">
        <f>IF(Tableau134567891011[[#This Row],[Repère]]="","",VLOOKUP(Tableau134567891011[[#This Row],[Repère]],Tableau1[#All],4,FALSE))</f>
        <v/>
      </c>
      <c r="E42" s="13" t="str">
        <f>IF(Tableau134567891011[[#This Row],[Repère]]="","",VLOOKUP(Tableau134567891011[[#This Row],[Repère]],Tableau1[#All],5,FALSE))</f>
        <v/>
      </c>
      <c r="F42" s="13" t="str">
        <f>IF(Tableau134567891011[[#This Row],[Repère]]="","",VLOOKUP(Tableau134567891011[[#This Row],[Repère]],Tableau1[#All],6,FALSE))</f>
        <v/>
      </c>
      <c r="G42" s="13" t="str">
        <f>IF(Tableau134567891011[[#This Row],[Repère]]="","",VLOOKUP(Tableau134567891011[[#This Row],[Repère]],Tableau1[#All],7,FALSE))</f>
        <v/>
      </c>
      <c r="H42" s="13" t="str">
        <f>IF(Tableau134567891011[[#This Row],[Repère]]="","",VLOOKUP(Tableau134567891011[[#This Row],[Repère]],Tableau1[#All],8,FALSE))</f>
        <v/>
      </c>
      <c r="I42" s="13" t="str">
        <f>IF(Tableau134567891011[[#This Row],[Repère]]="","",VLOOKUP(Tableau134567891011[[#This Row],[Repère]],Tableau1[#All],9,FALSE))</f>
        <v/>
      </c>
      <c r="J42" s="13" t="str">
        <f>IF(Tableau134567891011[[#This Row],[Repère]]="","",VLOOKUP(Tableau134567891011[[#This Row],[Repère]],Tableau1[#All],10,FALSE))</f>
        <v/>
      </c>
      <c r="K42" s="13" t="str">
        <f>IF(Tableau134567891011[[#This Row],[Repère]]="","",VLOOKUP(Tableau134567891011[[#This Row],[Repère]],Tableau1[#All],11,FALSE))</f>
        <v/>
      </c>
      <c r="L42" s="14" t="str">
        <f>IF(Tableau134567891011[[#This Row],[Repère]]="","",VLOOKUP(Tableau134567891011[[#This Row],[Repère]],Tableau1[#All],12,FALSE))</f>
        <v/>
      </c>
    </row>
    <row r="43" spans="1:12" x14ac:dyDescent="0.3">
      <c r="A43" s="18"/>
      <c r="B43" s="19"/>
      <c r="C43" s="13" t="str">
        <f>IF(Tableau134567891011[[#This Row],[Repère]]="","",VLOOKUP(Tableau134567891011[[#This Row],[Repère]],Tableau1[#All],3,FALSE))</f>
        <v/>
      </c>
      <c r="D43" s="13" t="str">
        <f>IF(Tableau134567891011[[#This Row],[Repère]]="","",VLOOKUP(Tableau134567891011[[#This Row],[Repère]],Tableau1[#All],4,FALSE))</f>
        <v/>
      </c>
      <c r="E43" s="13" t="str">
        <f>IF(Tableau134567891011[[#This Row],[Repère]]="","",VLOOKUP(Tableau134567891011[[#This Row],[Repère]],Tableau1[#All],5,FALSE))</f>
        <v/>
      </c>
      <c r="F43" s="13" t="str">
        <f>IF(Tableau134567891011[[#This Row],[Repère]]="","",VLOOKUP(Tableau134567891011[[#This Row],[Repère]],Tableau1[#All],6,FALSE))</f>
        <v/>
      </c>
      <c r="G43" s="13" t="str">
        <f>IF(Tableau134567891011[[#This Row],[Repère]]="","",VLOOKUP(Tableau134567891011[[#This Row],[Repère]],Tableau1[#All],7,FALSE))</f>
        <v/>
      </c>
      <c r="H43" s="13" t="str">
        <f>IF(Tableau134567891011[[#This Row],[Repère]]="","",VLOOKUP(Tableau134567891011[[#This Row],[Repère]],Tableau1[#All],8,FALSE))</f>
        <v/>
      </c>
      <c r="I43" s="13" t="str">
        <f>IF(Tableau134567891011[[#This Row],[Repère]]="","",VLOOKUP(Tableau134567891011[[#This Row],[Repère]],Tableau1[#All],9,FALSE))</f>
        <v/>
      </c>
      <c r="J43" s="13" t="str">
        <f>IF(Tableau134567891011[[#This Row],[Repère]]="","",VLOOKUP(Tableau134567891011[[#This Row],[Repère]],Tableau1[#All],10,FALSE))</f>
        <v/>
      </c>
      <c r="K43" s="13" t="str">
        <f>IF(Tableau134567891011[[#This Row],[Repère]]="","",VLOOKUP(Tableau134567891011[[#This Row],[Repère]],Tableau1[#All],11,FALSE))</f>
        <v/>
      </c>
      <c r="L43" s="14" t="str">
        <f>IF(Tableau134567891011[[#This Row],[Repère]]="","",VLOOKUP(Tableau134567891011[[#This Row],[Repère]],Tableau1[#All],12,FALSE))</f>
        <v/>
      </c>
    </row>
    <row r="44" spans="1:12" x14ac:dyDescent="0.3">
      <c r="A44" s="18"/>
      <c r="B44" s="19"/>
      <c r="C44" s="13" t="str">
        <f>IF(Tableau134567891011[[#This Row],[Repère]]="","",VLOOKUP(Tableau134567891011[[#This Row],[Repère]],Tableau1[#All],3,FALSE))</f>
        <v/>
      </c>
      <c r="D44" s="13" t="str">
        <f>IF(Tableau134567891011[[#This Row],[Repère]]="","",VLOOKUP(Tableau134567891011[[#This Row],[Repère]],Tableau1[#All],4,FALSE))</f>
        <v/>
      </c>
      <c r="E44" s="13" t="str">
        <f>IF(Tableau134567891011[[#This Row],[Repère]]="","",VLOOKUP(Tableau134567891011[[#This Row],[Repère]],Tableau1[#All],5,FALSE))</f>
        <v/>
      </c>
      <c r="F44" s="13" t="str">
        <f>IF(Tableau134567891011[[#This Row],[Repère]]="","",VLOOKUP(Tableau134567891011[[#This Row],[Repère]],Tableau1[#All],6,FALSE))</f>
        <v/>
      </c>
      <c r="G44" s="13" t="str">
        <f>IF(Tableau134567891011[[#This Row],[Repère]]="","",VLOOKUP(Tableau134567891011[[#This Row],[Repère]],Tableau1[#All],7,FALSE))</f>
        <v/>
      </c>
      <c r="H44" s="13" t="str">
        <f>IF(Tableau134567891011[[#This Row],[Repère]]="","",VLOOKUP(Tableau134567891011[[#This Row],[Repère]],Tableau1[#All],8,FALSE))</f>
        <v/>
      </c>
      <c r="I44" s="13" t="str">
        <f>IF(Tableau134567891011[[#This Row],[Repère]]="","",VLOOKUP(Tableau134567891011[[#This Row],[Repère]],Tableau1[#All],9,FALSE))</f>
        <v/>
      </c>
      <c r="J44" s="13" t="str">
        <f>IF(Tableau134567891011[[#This Row],[Repère]]="","",VLOOKUP(Tableau134567891011[[#This Row],[Repère]],Tableau1[#All],10,FALSE))</f>
        <v/>
      </c>
      <c r="K44" s="13" t="str">
        <f>IF(Tableau134567891011[[#This Row],[Repère]]="","",VLOOKUP(Tableau134567891011[[#This Row],[Repère]],Tableau1[#All],11,FALSE))</f>
        <v/>
      </c>
      <c r="L44" s="14" t="str">
        <f>IF(Tableau134567891011[[#This Row],[Repère]]="","",VLOOKUP(Tableau134567891011[[#This Row],[Repère]],Tableau1[#All],12,FALSE))</f>
        <v/>
      </c>
    </row>
    <row r="45" spans="1:12" x14ac:dyDescent="0.3">
      <c r="A45" s="18"/>
      <c r="B45" s="19"/>
      <c r="C45" s="13" t="str">
        <f>IF(Tableau134567891011[[#This Row],[Repère]]="","",VLOOKUP(Tableau134567891011[[#This Row],[Repère]],Tableau1[#All],3,FALSE))</f>
        <v/>
      </c>
      <c r="D45" s="13" t="str">
        <f>IF(Tableau134567891011[[#This Row],[Repère]]="","",VLOOKUP(Tableau134567891011[[#This Row],[Repère]],Tableau1[#All],4,FALSE))</f>
        <v/>
      </c>
      <c r="E45" s="13" t="str">
        <f>IF(Tableau134567891011[[#This Row],[Repère]]="","",VLOOKUP(Tableau134567891011[[#This Row],[Repère]],Tableau1[#All],5,FALSE))</f>
        <v/>
      </c>
      <c r="F45" s="13" t="str">
        <f>IF(Tableau134567891011[[#This Row],[Repère]]="","",VLOOKUP(Tableau134567891011[[#This Row],[Repère]],Tableau1[#All],6,FALSE))</f>
        <v/>
      </c>
      <c r="G45" s="13" t="str">
        <f>IF(Tableau134567891011[[#This Row],[Repère]]="","",VLOOKUP(Tableau134567891011[[#This Row],[Repère]],Tableau1[#All],7,FALSE))</f>
        <v/>
      </c>
      <c r="H45" s="13" t="str">
        <f>IF(Tableau134567891011[[#This Row],[Repère]]="","",VLOOKUP(Tableau134567891011[[#This Row],[Repère]],Tableau1[#All],8,FALSE))</f>
        <v/>
      </c>
      <c r="I45" s="13" t="str">
        <f>IF(Tableau134567891011[[#This Row],[Repère]]="","",VLOOKUP(Tableau134567891011[[#This Row],[Repère]],Tableau1[#All],9,FALSE))</f>
        <v/>
      </c>
      <c r="J45" s="13" t="str">
        <f>IF(Tableau134567891011[[#This Row],[Repère]]="","",VLOOKUP(Tableau134567891011[[#This Row],[Repère]],Tableau1[#All],10,FALSE))</f>
        <v/>
      </c>
      <c r="K45" s="13" t="str">
        <f>IF(Tableau134567891011[[#This Row],[Repère]]="","",VLOOKUP(Tableau134567891011[[#This Row],[Repère]],Tableau1[#All],11,FALSE))</f>
        <v/>
      </c>
      <c r="L45" s="14" t="str">
        <f>IF(Tableau134567891011[[#This Row],[Repère]]="","",VLOOKUP(Tableau134567891011[[#This Row],[Repère]],Tableau1[#All],12,FALSE))</f>
        <v/>
      </c>
    </row>
    <row r="46" spans="1:12" x14ac:dyDescent="0.3">
      <c r="A46" s="18"/>
      <c r="B46" s="19"/>
      <c r="C46" s="13" t="str">
        <f>IF(Tableau134567891011[[#This Row],[Repère]]="","",VLOOKUP(Tableau134567891011[[#This Row],[Repère]],Tableau1[#All],3,FALSE))</f>
        <v/>
      </c>
      <c r="D46" s="13" t="str">
        <f>IF(Tableau134567891011[[#This Row],[Repère]]="","",VLOOKUP(Tableau134567891011[[#This Row],[Repère]],Tableau1[#All],4,FALSE))</f>
        <v/>
      </c>
      <c r="E46" s="13" t="str">
        <f>IF(Tableau134567891011[[#This Row],[Repère]]="","",VLOOKUP(Tableau134567891011[[#This Row],[Repère]],Tableau1[#All],5,FALSE))</f>
        <v/>
      </c>
      <c r="F46" s="13" t="str">
        <f>IF(Tableau134567891011[[#This Row],[Repère]]="","",VLOOKUP(Tableau134567891011[[#This Row],[Repère]],Tableau1[#All],6,FALSE))</f>
        <v/>
      </c>
      <c r="G46" s="13" t="str">
        <f>IF(Tableau134567891011[[#This Row],[Repère]]="","",VLOOKUP(Tableau134567891011[[#This Row],[Repère]],Tableau1[#All],7,FALSE))</f>
        <v/>
      </c>
      <c r="H46" s="13" t="str">
        <f>IF(Tableau134567891011[[#This Row],[Repère]]="","",VLOOKUP(Tableau134567891011[[#This Row],[Repère]],Tableau1[#All],8,FALSE))</f>
        <v/>
      </c>
      <c r="I46" s="13" t="str">
        <f>IF(Tableau134567891011[[#This Row],[Repère]]="","",VLOOKUP(Tableau134567891011[[#This Row],[Repère]],Tableau1[#All],9,FALSE))</f>
        <v/>
      </c>
      <c r="J46" s="13" t="str">
        <f>IF(Tableau134567891011[[#This Row],[Repère]]="","",VLOOKUP(Tableau134567891011[[#This Row],[Repère]],Tableau1[#All],10,FALSE))</f>
        <v/>
      </c>
      <c r="K46" s="13" t="str">
        <f>IF(Tableau134567891011[[#This Row],[Repère]]="","",VLOOKUP(Tableau134567891011[[#This Row],[Repère]],Tableau1[#All],11,FALSE))</f>
        <v/>
      </c>
      <c r="L46" s="14" t="str">
        <f>IF(Tableau134567891011[[#This Row],[Repère]]="","",VLOOKUP(Tableau134567891011[[#This Row],[Repère]],Tableau1[#All],12,FALSE))</f>
        <v/>
      </c>
    </row>
    <row r="47" spans="1:12" x14ac:dyDescent="0.3">
      <c r="A47" s="18"/>
      <c r="B47" s="19"/>
      <c r="C47" s="13" t="str">
        <f>IF(Tableau134567891011[[#This Row],[Repère]]="","",VLOOKUP(Tableau134567891011[[#This Row],[Repère]],Tableau1[#All],3,FALSE))</f>
        <v/>
      </c>
      <c r="D47" s="13" t="str">
        <f>IF(Tableau134567891011[[#This Row],[Repère]]="","",VLOOKUP(Tableau134567891011[[#This Row],[Repère]],Tableau1[#All],4,FALSE))</f>
        <v/>
      </c>
      <c r="E47" s="13" t="str">
        <f>IF(Tableau134567891011[[#This Row],[Repère]]="","",VLOOKUP(Tableau134567891011[[#This Row],[Repère]],Tableau1[#All],5,FALSE))</f>
        <v/>
      </c>
      <c r="F47" s="13" t="str">
        <f>IF(Tableau134567891011[[#This Row],[Repère]]="","",VLOOKUP(Tableau134567891011[[#This Row],[Repère]],Tableau1[#All],6,FALSE))</f>
        <v/>
      </c>
      <c r="G47" s="13" t="str">
        <f>IF(Tableau134567891011[[#This Row],[Repère]]="","",VLOOKUP(Tableau134567891011[[#This Row],[Repère]],Tableau1[#All],7,FALSE))</f>
        <v/>
      </c>
      <c r="H47" s="13" t="str">
        <f>IF(Tableau134567891011[[#This Row],[Repère]]="","",VLOOKUP(Tableau134567891011[[#This Row],[Repère]],Tableau1[#All],8,FALSE))</f>
        <v/>
      </c>
      <c r="I47" s="13" t="str">
        <f>IF(Tableau134567891011[[#This Row],[Repère]]="","",VLOOKUP(Tableau134567891011[[#This Row],[Repère]],Tableau1[#All],9,FALSE))</f>
        <v/>
      </c>
      <c r="J47" s="13" t="str">
        <f>IF(Tableau134567891011[[#This Row],[Repère]]="","",VLOOKUP(Tableau134567891011[[#This Row],[Repère]],Tableau1[#All],10,FALSE))</f>
        <v/>
      </c>
      <c r="K47" s="13" t="str">
        <f>IF(Tableau134567891011[[#This Row],[Repère]]="","",VLOOKUP(Tableau134567891011[[#This Row],[Repère]],Tableau1[#All],11,FALSE))</f>
        <v/>
      </c>
      <c r="L47" s="14" t="str">
        <f>IF(Tableau134567891011[[#This Row],[Repère]]="","",VLOOKUP(Tableau134567891011[[#This Row],[Repère]],Tableau1[#All],12,FALSE))</f>
        <v/>
      </c>
    </row>
    <row r="48" spans="1:12" x14ac:dyDescent="0.3">
      <c r="A48" s="18"/>
      <c r="B48" s="19"/>
      <c r="C48" s="13" t="str">
        <f>IF(Tableau134567891011[[#This Row],[Repère]]="","",VLOOKUP(Tableau134567891011[[#This Row],[Repère]],Tableau1[#All],3,FALSE))</f>
        <v/>
      </c>
      <c r="D48" s="13" t="str">
        <f>IF(Tableau134567891011[[#This Row],[Repère]]="","",VLOOKUP(Tableau134567891011[[#This Row],[Repère]],Tableau1[#All],4,FALSE))</f>
        <v/>
      </c>
      <c r="E48" s="13" t="str">
        <f>IF(Tableau134567891011[[#This Row],[Repère]]="","",VLOOKUP(Tableau134567891011[[#This Row],[Repère]],Tableau1[#All],5,FALSE))</f>
        <v/>
      </c>
      <c r="F48" s="13" t="str">
        <f>IF(Tableau134567891011[[#This Row],[Repère]]="","",VLOOKUP(Tableau134567891011[[#This Row],[Repère]],Tableau1[#All],6,FALSE))</f>
        <v/>
      </c>
      <c r="G48" s="13" t="str">
        <f>IF(Tableau134567891011[[#This Row],[Repère]]="","",VLOOKUP(Tableau134567891011[[#This Row],[Repère]],Tableau1[#All],7,FALSE))</f>
        <v/>
      </c>
      <c r="H48" s="13" t="str">
        <f>IF(Tableau134567891011[[#This Row],[Repère]]="","",VLOOKUP(Tableau134567891011[[#This Row],[Repère]],Tableau1[#All],8,FALSE))</f>
        <v/>
      </c>
      <c r="I48" s="13" t="str">
        <f>IF(Tableau134567891011[[#This Row],[Repère]]="","",VLOOKUP(Tableau134567891011[[#This Row],[Repère]],Tableau1[#All],9,FALSE))</f>
        <v/>
      </c>
      <c r="J48" s="13" t="str">
        <f>IF(Tableau134567891011[[#This Row],[Repère]]="","",VLOOKUP(Tableau134567891011[[#This Row],[Repère]],Tableau1[#All],10,FALSE))</f>
        <v/>
      </c>
      <c r="K48" s="13" t="str">
        <f>IF(Tableau134567891011[[#This Row],[Repère]]="","",VLOOKUP(Tableau134567891011[[#This Row],[Repère]],Tableau1[#All],11,FALSE))</f>
        <v/>
      </c>
      <c r="L48" s="14" t="str">
        <f>IF(Tableau134567891011[[#This Row],[Repère]]="","",VLOOKUP(Tableau134567891011[[#This Row],[Repère]],Tableau1[#All],12,FALSE))</f>
        <v/>
      </c>
    </row>
    <row r="49" spans="1:12" x14ac:dyDescent="0.3">
      <c r="A49" s="18"/>
      <c r="B49" s="19"/>
      <c r="C49" s="13" t="str">
        <f>IF(Tableau134567891011[[#This Row],[Repère]]="","",VLOOKUP(Tableau134567891011[[#This Row],[Repère]],Tableau1[#All],3,FALSE))</f>
        <v/>
      </c>
      <c r="D49" s="13" t="str">
        <f>IF(Tableau134567891011[[#This Row],[Repère]]="","",VLOOKUP(Tableau134567891011[[#This Row],[Repère]],Tableau1[#All],4,FALSE))</f>
        <v/>
      </c>
      <c r="E49" s="13" t="str">
        <f>IF(Tableau134567891011[[#This Row],[Repère]]="","",VLOOKUP(Tableau134567891011[[#This Row],[Repère]],Tableau1[#All],5,FALSE))</f>
        <v/>
      </c>
      <c r="F49" s="13" t="str">
        <f>IF(Tableau134567891011[[#This Row],[Repère]]="","",VLOOKUP(Tableau134567891011[[#This Row],[Repère]],Tableau1[#All],6,FALSE))</f>
        <v/>
      </c>
      <c r="G49" s="13" t="str">
        <f>IF(Tableau134567891011[[#This Row],[Repère]]="","",VLOOKUP(Tableau134567891011[[#This Row],[Repère]],Tableau1[#All],7,FALSE))</f>
        <v/>
      </c>
      <c r="H49" s="13" t="str">
        <f>IF(Tableau134567891011[[#This Row],[Repère]]="","",VLOOKUP(Tableau134567891011[[#This Row],[Repère]],Tableau1[#All],8,FALSE))</f>
        <v/>
      </c>
      <c r="I49" s="13" t="str">
        <f>IF(Tableau134567891011[[#This Row],[Repère]]="","",VLOOKUP(Tableau134567891011[[#This Row],[Repère]],Tableau1[#All],9,FALSE))</f>
        <v/>
      </c>
      <c r="J49" s="13" t="str">
        <f>IF(Tableau134567891011[[#This Row],[Repère]]="","",VLOOKUP(Tableau134567891011[[#This Row],[Repère]],Tableau1[#All],10,FALSE))</f>
        <v/>
      </c>
      <c r="K49" s="13" t="str">
        <f>IF(Tableau134567891011[[#This Row],[Repère]]="","",VLOOKUP(Tableau134567891011[[#This Row],[Repère]],Tableau1[#All],11,FALSE))</f>
        <v/>
      </c>
      <c r="L49" s="14" t="str">
        <f>IF(Tableau134567891011[[#This Row],[Repère]]="","",VLOOKUP(Tableau134567891011[[#This Row],[Repère]],Tableau1[#All],12,FALSE))</f>
        <v/>
      </c>
    </row>
    <row r="50" spans="1:12" x14ac:dyDescent="0.3">
      <c r="A50" s="18"/>
      <c r="B50" s="19"/>
      <c r="C50" s="13" t="str">
        <f>IF(Tableau134567891011[[#This Row],[Repère]]="","",VLOOKUP(Tableau134567891011[[#This Row],[Repère]],Tableau1[#All],3,FALSE))</f>
        <v/>
      </c>
      <c r="D50" s="13" t="str">
        <f>IF(Tableau134567891011[[#This Row],[Repère]]="","",VLOOKUP(Tableau134567891011[[#This Row],[Repère]],Tableau1[#All],4,FALSE))</f>
        <v/>
      </c>
      <c r="E50" s="13" t="str">
        <f>IF(Tableau134567891011[[#This Row],[Repère]]="","",VLOOKUP(Tableau134567891011[[#This Row],[Repère]],Tableau1[#All],5,FALSE))</f>
        <v/>
      </c>
      <c r="F50" s="13" t="str">
        <f>IF(Tableau134567891011[[#This Row],[Repère]]="","",VLOOKUP(Tableau134567891011[[#This Row],[Repère]],Tableau1[#All],6,FALSE))</f>
        <v/>
      </c>
      <c r="G50" s="13" t="str">
        <f>IF(Tableau134567891011[[#This Row],[Repère]]="","",VLOOKUP(Tableau134567891011[[#This Row],[Repère]],Tableau1[#All],7,FALSE))</f>
        <v/>
      </c>
      <c r="H50" s="13" t="str">
        <f>IF(Tableau134567891011[[#This Row],[Repère]]="","",VLOOKUP(Tableau134567891011[[#This Row],[Repère]],Tableau1[#All],8,FALSE))</f>
        <v/>
      </c>
      <c r="I50" s="13" t="str">
        <f>IF(Tableau134567891011[[#This Row],[Repère]]="","",VLOOKUP(Tableau134567891011[[#This Row],[Repère]],Tableau1[#All],9,FALSE))</f>
        <v/>
      </c>
      <c r="J50" s="13" t="str">
        <f>IF(Tableau134567891011[[#This Row],[Repère]]="","",VLOOKUP(Tableau134567891011[[#This Row],[Repère]],Tableau1[#All],10,FALSE))</f>
        <v/>
      </c>
      <c r="K50" s="13" t="str">
        <f>IF(Tableau134567891011[[#This Row],[Repère]]="","",VLOOKUP(Tableau134567891011[[#This Row],[Repère]],Tableau1[#All],11,FALSE))</f>
        <v/>
      </c>
      <c r="L50" s="14" t="str">
        <f>IF(Tableau134567891011[[#This Row],[Repère]]="","",VLOOKUP(Tableau134567891011[[#This Row],[Repère]],Tableau1[#All],12,FALSE))</f>
        <v/>
      </c>
    </row>
    <row r="51" spans="1:12" x14ac:dyDescent="0.3">
      <c r="A51" s="18"/>
      <c r="B51" s="19"/>
      <c r="C51" s="13" t="str">
        <f>IF(Tableau134567891011[[#This Row],[Repère]]="","",VLOOKUP(Tableau134567891011[[#This Row],[Repère]],Tableau1[#All],3,FALSE))</f>
        <v/>
      </c>
      <c r="D51" s="13" t="str">
        <f>IF(Tableau134567891011[[#This Row],[Repère]]="","",VLOOKUP(Tableau134567891011[[#This Row],[Repère]],Tableau1[#All],4,FALSE))</f>
        <v/>
      </c>
      <c r="E51" s="13" t="str">
        <f>IF(Tableau134567891011[[#This Row],[Repère]]="","",VLOOKUP(Tableau134567891011[[#This Row],[Repère]],Tableau1[#All],5,FALSE))</f>
        <v/>
      </c>
      <c r="F51" s="13" t="str">
        <f>IF(Tableau134567891011[[#This Row],[Repère]]="","",VLOOKUP(Tableau134567891011[[#This Row],[Repère]],Tableau1[#All],6,FALSE))</f>
        <v/>
      </c>
      <c r="G51" s="13" t="str">
        <f>IF(Tableau134567891011[[#This Row],[Repère]]="","",VLOOKUP(Tableau134567891011[[#This Row],[Repère]],Tableau1[#All],7,FALSE))</f>
        <v/>
      </c>
      <c r="H51" s="13" t="str">
        <f>IF(Tableau134567891011[[#This Row],[Repère]]="","",VLOOKUP(Tableau134567891011[[#This Row],[Repère]],Tableau1[#All],8,FALSE))</f>
        <v/>
      </c>
      <c r="I51" s="13" t="str">
        <f>IF(Tableau134567891011[[#This Row],[Repère]]="","",VLOOKUP(Tableau134567891011[[#This Row],[Repère]],Tableau1[#All],9,FALSE))</f>
        <v/>
      </c>
      <c r="J51" s="13" t="str">
        <f>IF(Tableau134567891011[[#This Row],[Repère]]="","",VLOOKUP(Tableau134567891011[[#This Row],[Repère]],Tableau1[#All],10,FALSE))</f>
        <v/>
      </c>
      <c r="K51" s="13" t="str">
        <f>IF(Tableau134567891011[[#This Row],[Repère]]="","",VLOOKUP(Tableau134567891011[[#This Row],[Repère]],Tableau1[#All],11,FALSE))</f>
        <v/>
      </c>
      <c r="L51" s="14" t="str">
        <f>IF(Tableau134567891011[[#This Row],[Repère]]="","",VLOOKUP(Tableau134567891011[[#This Row],[Repère]],Tableau1[#All],12,FALSE))</f>
        <v/>
      </c>
    </row>
    <row r="52" spans="1:12" x14ac:dyDescent="0.3">
      <c r="A52" s="18"/>
      <c r="B52" s="19"/>
      <c r="C52" s="13" t="str">
        <f>IF(Tableau134567891011[[#This Row],[Repère]]="","",VLOOKUP(Tableau134567891011[[#This Row],[Repère]],Tableau1[#All],3,FALSE))</f>
        <v/>
      </c>
      <c r="D52" s="13" t="str">
        <f>IF(Tableau134567891011[[#This Row],[Repère]]="","",VLOOKUP(Tableau134567891011[[#This Row],[Repère]],Tableau1[#All],4,FALSE))</f>
        <v/>
      </c>
      <c r="E52" s="13" t="str">
        <f>IF(Tableau134567891011[[#This Row],[Repère]]="","",VLOOKUP(Tableau134567891011[[#This Row],[Repère]],Tableau1[#All],5,FALSE))</f>
        <v/>
      </c>
      <c r="F52" s="13" t="str">
        <f>IF(Tableau134567891011[[#This Row],[Repère]]="","",VLOOKUP(Tableau134567891011[[#This Row],[Repère]],Tableau1[#All],6,FALSE))</f>
        <v/>
      </c>
      <c r="G52" s="13" t="str">
        <f>IF(Tableau134567891011[[#This Row],[Repère]]="","",VLOOKUP(Tableau134567891011[[#This Row],[Repère]],Tableau1[#All],7,FALSE))</f>
        <v/>
      </c>
      <c r="H52" s="13" t="str">
        <f>IF(Tableau134567891011[[#This Row],[Repère]]="","",VLOOKUP(Tableau134567891011[[#This Row],[Repère]],Tableau1[#All],8,FALSE))</f>
        <v/>
      </c>
      <c r="I52" s="13" t="str">
        <f>IF(Tableau134567891011[[#This Row],[Repère]]="","",VLOOKUP(Tableau134567891011[[#This Row],[Repère]],Tableau1[#All],9,FALSE))</f>
        <v/>
      </c>
      <c r="J52" s="13" t="str">
        <f>IF(Tableau134567891011[[#This Row],[Repère]]="","",VLOOKUP(Tableau134567891011[[#This Row],[Repère]],Tableau1[#All],10,FALSE))</f>
        <v/>
      </c>
      <c r="K52" s="13" t="str">
        <f>IF(Tableau134567891011[[#This Row],[Repère]]="","",VLOOKUP(Tableau134567891011[[#This Row],[Repère]],Tableau1[#All],11,FALSE))</f>
        <v/>
      </c>
      <c r="L52" s="14" t="str">
        <f>IF(Tableau134567891011[[#This Row],[Repère]]="","",VLOOKUP(Tableau134567891011[[#This Row],[Repère]],Tableau1[#All],12,FALSE))</f>
        <v/>
      </c>
    </row>
    <row r="53" spans="1:12" x14ac:dyDescent="0.3">
      <c r="A53" s="18"/>
      <c r="B53" s="19"/>
      <c r="C53" s="13" t="str">
        <f>IF(Tableau134567891011[[#This Row],[Repère]]="","",VLOOKUP(Tableau134567891011[[#This Row],[Repère]],Tableau1[#All],3,FALSE))</f>
        <v/>
      </c>
      <c r="D53" s="13" t="str">
        <f>IF(Tableau134567891011[[#This Row],[Repère]]="","",VLOOKUP(Tableau134567891011[[#This Row],[Repère]],Tableau1[#All],4,FALSE))</f>
        <v/>
      </c>
      <c r="E53" s="13" t="str">
        <f>IF(Tableau134567891011[[#This Row],[Repère]]="","",VLOOKUP(Tableau134567891011[[#This Row],[Repère]],Tableau1[#All],5,FALSE))</f>
        <v/>
      </c>
      <c r="F53" s="13" t="str">
        <f>IF(Tableau134567891011[[#This Row],[Repère]]="","",VLOOKUP(Tableau134567891011[[#This Row],[Repère]],Tableau1[#All],6,FALSE))</f>
        <v/>
      </c>
      <c r="G53" s="13" t="str">
        <f>IF(Tableau134567891011[[#This Row],[Repère]]="","",VLOOKUP(Tableau134567891011[[#This Row],[Repère]],Tableau1[#All],7,FALSE))</f>
        <v/>
      </c>
      <c r="H53" s="13" t="str">
        <f>IF(Tableau134567891011[[#This Row],[Repère]]="","",VLOOKUP(Tableau134567891011[[#This Row],[Repère]],Tableau1[#All],8,FALSE))</f>
        <v/>
      </c>
      <c r="I53" s="13" t="str">
        <f>IF(Tableau134567891011[[#This Row],[Repère]]="","",VLOOKUP(Tableau134567891011[[#This Row],[Repère]],Tableau1[#All],9,FALSE))</f>
        <v/>
      </c>
      <c r="J53" s="13" t="str">
        <f>IF(Tableau134567891011[[#This Row],[Repère]]="","",VLOOKUP(Tableau134567891011[[#This Row],[Repère]],Tableau1[#All],10,FALSE))</f>
        <v/>
      </c>
      <c r="K53" s="13" t="str">
        <f>IF(Tableau134567891011[[#This Row],[Repère]]="","",VLOOKUP(Tableau134567891011[[#This Row],[Repère]],Tableau1[#All],11,FALSE))</f>
        <v/>
      </c>
      <c r="L53" s="14" t="str">
        <f>IF(Tableau134567891011[[#This Row],[Repère]]="","",VLOOKUP(Tableau134567891011[[#This Row],[Repère]],Tableau1[#All],12,FALSE))</f>
        <v/>
      </c>
    </row>
    <row r="54" spans="1:12" x14ac:dyDescent="0.3">
      <c r="A54" s="18"/>
      <c r="B54" s="19"/>
      <c r="C54" s="13" t="str">
        <f>IF(Tableau134567891011[[#This Row],[Repère]]="","",VLOOKUP(Tableau134567891011[[#This Row],[Repère]],Tableau1[#All],3,FALSE))</f>
        <v/>
      </c>
      <c r="D54" s="13" t="str">
        <f>IF(Tableau134567891011[[#This Row],[Repère]]="","",VLOOKUP(Tableau134567891011[[#This Row],[Repère]],Tableau1[#All],4,FALSE))</f>
        <v/>
      </c>
      <c r="E54" s="13" t="str">
        <f>IF(Tableau134567891011[[#This Row],[Repère]]="","",VLOOKUP(Tableau134567891011[[#This Row],[Repère]],Tableau1[#All],5,FALSE))</f>
        <v/>
      </c>
      <c r="F54" s="13" t="str">
        <f>IF(Tableau134567891011[[#This Row],[Repère]]="","",VLOOKUP(Tableau134567891011[[#This Row],[Repère]],Tableau1[#All],6,FALSE))</f>
        <v/>
      </c>
      <c r="G54" s="13" t="str">
        <f>IF(Tableau134567891011[[#This Row],[Repère]]="","",VLOOKUP(Tableau134567891011[[#This Row],[Repère]],Tableau1[#All],7,FALSE))</f>
        <v/>
      </c>
      <c r="H54" s="13" t="str">
        <f>IF(Tableau134567891011[[#This Row],[Repère]]="","",VLOOKUP(Tableau134567891011[[#This Row],[Repère]],Tableau1[#All],8,FALSE))</f>
        <v/>
      </c>
      <c r="I54" s="13" t="str">
        <f>IF(Tableau134567891011[[#This Row],[Repère]]="","",VLOOKUP(Tableau134567891011[[#This Row],[Repère]],Tableau1[#All],9,FALSE))</f>
        <v/>
      </c>
      <c r="J54" s="13" t="str">
        <f>IF(Tableau134567891011[[#This Row],[Repère]]="","",VLOOKUP(Tableau134567891011[[#This Row],[Repère]],Tableau1[#All],10,FALSE))</f>
        <v/>
      </c>
      <c r="K54" s="13" t="str">
        <f>IF(Tableau134567891011[[#This Row],[Repère]]="","",VLOOKUP(Tableau134567891011[[#This Row],[Repère]],Tableau1[#All],11,FALSE))</f>
        <v/>
      </c>
      <c r="L54" s="14" t="str">
        <f>IF(Tableau134567891011[[#This Row],[Repère]]="","",VLOOKUP(Tableau134567891011[[#This Row],[Repère]],Tableau1[#All],12,FALSE))</f>
        <v/>
      </c>
    </row>
    <row r="55" spans="1:12" x14ac:dyDescent="0.3">
      <c r="A55" s="18"/>
      <c r="B55" s="19"/>
      <c r="C55" s="13" t="str">
        <f>IF(Tableau134567891011[[#This Row],[Repère]]="","",VLOOKUP(Tableau134567891011[[#This Row],[Repère]],Tableau1[#All],3,FALSE))</f>
        <v/>
      </c>
      <c r="D55" s="13" t="str">
        <f>IF(Tableau134567891011[[#This Row],[Repère]]="","",VLOOKUP(Tableau134567891011[[#This Row],[Repère]],Tableau1[#All],4,FALSE))</f>
        <v/>
      </c>
      <c r="E55" s="13" t="str">
        <f>IF(Tableau134567891011[[#This Row],[Repère]]="","",VLOOKUP(Tableau134567891011[[#This Row],[Repère]],Tableau1[#All],5,FALSE))</f>
        <v/>
      </c>
      <c r="F55" s="13" t="str">
        <f>IF(Tableau134567891011[[#This Row],[Repère]]="","",VLOOKUP(Tableau134567891011[[#This Row],[Repère]],Tableau1[#All],6,FALSE))</f>
        <v/>
      </c>
      <c r="G55" s="13" t="str">
        <f>IF(Tableau134567891011[[#This Row],[Repère]]="","",VLOOKUP(Tableau134567891011[[#This Row],[Repère]],Tableau1[#All],7,FALSE))</f>
        <v/>
      </c>
      <c r="H55" s="13" t="str">
        <f>IF(Tableau134567891011[[#This Row],[Repère]]="","",VLOOKUP(Tableau134567891011[[#This Row],[Repère]],Tableau1[#All],8,FALSE))</f>
        <v/>
      </c>
      <c r="I55" s="13" t="str">
        <f>IF(Tableau134567891011[[#This Row],[Repère]]="","",VLOOKUP(Tableau134567891011[[#This Row],[Repère]],Tableau1[#All],9,FALSE))</f>
        <v/>
      </c>
      <c r="J55" s="13" t="str">
        <f>IF(Tableau134567891011[[#This Row],[Repère]]="","",VLOOKUP(Tableau134567891011[[#This Row],[Repère]],Tableau1[#All],10,FALSE))</f>
        <v/>
      </c>
      <c r="K55" s="13" t="str">
        <f>IF(Tableau134567891011[[#This Row],[Repère]]="","",VLOOKUP(Tableau134567891011[[#This Row],[Repère]],Tableau1[#All],11,FALSE))</f>
        <v/>
      </c>
      <c r="L55" s="14" t="str">
        <f>IF(Tableau134567891011[[#This Row],[Repère]]="","",VLOOKUP(Tableau134567891011[[#This Row],[Repère]],Tableau1[#All],12,FALSE))</f>
        <v/>
      </c>
    </row>
    <row r="56" spans="1:12" x14ac:dyDescent="0.3">
      <c r="A56" s="18"/>
      <c r="B56" s="19"/>
      <c r="C56" s="13" t="str">
        <f>IF(Tableau134567891011[[#This Row],[Repère]]="","",VLOOKUP(Tableau134567891011[[#This Row],[Repère]],Tableau1[#All],3,FALSE))</f>
        <v/>
      </c>
      <c r="D56" s="13" t="str">
        <f>IF(Tableau134567891011[[#This Row],[Repère]]="","",VLOOKUP(Tableau134567891011[[#This Row],[Repère]],Tableau1[#All],4,FALSE))</f>
        <v/>
      </c>
      <c r="E56" s="13" t="str">
        <f>IF(Tableau134567891011[[#This Row],[Repère]]="","",VLOOKUP(Tableau134567891011[[#This Row],[Repère]],Tableau1[#All],5,FALSE))</f>
        <v/>
      </c>
      <c r="F56" s="13" t="str">
        <f>IF(Tableau134567891011[[#This Row],[Repère]]="","",VLOOKUP(Tableau134567891011[[#This Row],[Repère]],Tableau1[#All],6,FALSE))</f>
        <v/>
      </c>
      <c r="G56" s="13" t="str">
        <f>IF(Tableau134567891011[[#This Row],[Repère]]="","",VLOOKUP(Tableau134567891011[[#This Row],[Repère]],Tableau1[#All],7,FALSE))</f>
        <v/>
      </c>
      <c r="H56" s="13" t="str">
        <f>IF(Tableau134567891011[[#This Row],[Repère]]="","",VLOOKUP(Tableau134567891011[[#This Row],[Repère]],Tableau1[#All],8,FALSE))</f>
        <v/>
      </c>
      <c r="I56" s="13" t="str">
        <f>IF(Tableau134567891011[[#This Row],[Repère]]="","",VLOOKUP(Tableau134567891011[[#This Row],[Repère]],Tableau1[#All],9,FALSE))</f>
        <v/>
      </c>
      <c r="J56" s="13" t="str">
        <f>IF(Tableau134567891011[[#This Row],[Repère]]="","",VLOOKUP(Tableau134567891011[[#This Row],[Repère]],Tableau1[#All],10,FALSE))</f>
        <v/>
      </c>
      <c r="K56" s="13" t="str">
        <f>IF(Tableau134567891011[[#This Row],[Repère]]="","",VLOOKUP(Tableau134567891011[[#This Row],[Repère]],Tableau1[#All],11,FALSE))</f>
        <v/>
      </c>
      <c r="L56" s="14" t="str">
        <f>IF(Tableau134567891011[[#This Row],[Repère]]="","",VLOOKUP(Tableau134567891011[[#This Row],[Repère]],Tableau1[#All],12,FALSE))</f>
        <v/>
      </c>
    </row>
    <row r="57" spans="1:12" x14ac:dyDescent="0.3">
      <c r="A57" s="18"/>
      <c r="B57" s="19"/>
      <c r="C57" s="13" t="str">
        <f>IF(Tableau134567891011[[#This Row],[Repère]]="","",VLOOKUP(Tableau134567891011[[#This Row],[Repère]],Tableau1[#All],3,FALSE))</f>
        <v/>
      </c>
      <c r="D57" s="13" t="str">
        <f>IF(Tableau134567891011[[#This Row],[Repère]]="","",VLOOKUP(Tableau134567891011[[#This Row],[Repère]],Tableau1[#All],4,FALSE))</f>
        <v/>
      </c>
      <c r="E57" s="13" t="str">
        <f>IF(Tableau134567891011[[#This Row],[Repère]]="","",VLOOKUP(Tableau134567891011[[#This Row],[Repère]],Tableau1[#All],5,FALSE))</f>
        <v/>
      </c>
      <c r="F57" s="13" t="str">
        <f>IF(Tableau134567891011[[#This Row],[Repère]]="","",VLOOKUP(Tableau134567891011[[#This Row],[Repère]],Tableau1[#All],6,FALSE))</f>
        <v/>
      </c>
      <c r="G57" s="13" t="str">
        <f>IF(Tableau134567891011[[#This Row],[Repère]]="","",VLOOKUP(Tableau134567891011[[#This Row],[Repère]],Tableau1[#All],7,FALSE))</f>
        <v/>
      </c>
      <c r="H57" s="13" t="str">
        <f>IF(Tableau134567891011[[#This Row],[Repère]]="","",VLOOKUP(Tableau134567891011[[#This Row],[Repère]],Tableau1[#All],8,FALSE))</f>
        <v/>
      </c>
      <c r="I57" s="13" t="str">
        <f>IF(Tableau134567891011[[#This Row],[Repère]]="","",VLOOKUP(Tableau134567891011[[#This Row],[Repère]],Tableau1[#All],9,FALSE))</f>
        <v/>
      </c>
      <c r="J57" s="13" t="str">
        <f>IF(Tableau134567891011[[#This Row],[Repère]]="","",VLOOKUP(Tableau134567891011[[#This Row],[Repère]],Tableau1[#All],10,FALSE))</f>
        <v/>
      </c>
      <c r="K57" s="13" t="str">
        <f>IF(Tableau134567891011[[#This Row],[Repère]]="","",VLOOKUP(Tableau134567891011[[#This Row],[Repère]],Tableau1[#All],11,FALSE))</f>
        <v/>
      </c>
      <c r="L57" s="14" t="str">
        <f>IF(Tableau134567891011[[#This Row],[Repère]]="","",VLOOKUP(Tableau134567891011[[#This Row],[Repère]],Tableau1[#All],12,FALSE))</f>
        <v/>
      </c>
    </row>
    <row r="58" spans="1:12" x14ac:dyDescent="0.3">
      <c r="A58" s="18"/>
      <c r="B58" s="19"/>
      <c r="C58" s="13" t="str">
        <f>IF(Tableau134567891011[[#This Row],[Repère]]="","",VLOOKUP(Tableau134567891011[[#This Row],[Repère]],Tableau1[#All],3,FALSE))</f>
        <v/>
      </c>
      <c r="D58" s="13" t="str">
        <f>IF(Tableau134567891011[[#This Row],[Repère]]="","",VLOOKUP(Tableau134567891011[[#This Row],[Repère]],Tableau1[#All],4,FALSE))</f>
        <v/>
      </c>
      <c r="E58" s="13" t="str">
        <f>IF(Tableau134567891011[[#This Row],[Repère]]="","",VLOOKUP(Tableau134567891011[[#This Row],[Repère]],Tableau1[#All],5,FALSE))</f>
        <v/>
      </c>
      <c r="F58" s="13" t="str">
        <f>IF(Tableau134567891011[[#This Row],[Repère]]="","",VLOOKUP(Tableau134567891011[[#This Row],[Repère]],Tableau1[#All],6,FALSE))</f>
        <v/>
      </c>
      <c r="G58" s="13" t="str">
        <f>IF(Tableau134567891011[[#This Row],[Repère]]="","",VLOOKUP(Tableau134567891011[[#This Row],[Repère]],Tableau1[#All],7,FALSE))</f>
        <v/>
      </c>
      <c r="H58" s="13" t="str">
        <f>IF(Tableau134567891011[[#This Row],[Repère]]="","",VLOOKUP(Tableau134567891011[[#This Row],[Repère]],Tableau1[#All],8,FALSE))</f>
        <v/>
      </c>
      <c r="I58" s="13" t="str">
        <f>IF(Tableau134567891011[[#This Row],[Repère]]="","",VLOOKUP(Tableau134567891011[[#This Row],[Repère]],Tableau1[#All],9,FALSE))</f>
        <v/>
      </c>
      <c r="J58" s="13" t="str">
        <f>IF(Tableau134567891011[[#This Row],[Repère]]="","",VLOOKUP(Tableau134567891011[[#This Row],[Repère]],Tableau1[#All],10,FALSE))</f>
        <v/>
      </c>
      <c r="K58" s="13" t="str">
        <f>IF(Tableau134567891011[[#This Row],[Repère]]="","",VLOOKUP(Tableau134567891011[[#This Row],[Repère]],Tableau1[#All],11,FALSE))</f>
        <v/>
      </c>
      <c r="L58" s="14" t="str">
        <f>IF(Tableau134567891011[[#This Row],[Repère]]="","",VLOOKUP(Tableau134567891011[[#This Row],[Repère]],Tableau1[#All],12,FALSE))</f>
        <v/>
      </c>
    </row>
    <row r="59" spans="1:12" x14ac:dyDescent="0.3">
      <c r="A59" s="18"/>
      <c r="B59" s="19"/>
      <c r="C59" s="13" t="str">
        <f>IF(Tableau134567891011[[#This Row],[Repère]]="","",VLOOKUP(Tableau134567891011[[#This Row],[Repère]],Tableau1[#All],3,FALSE))</f>
        <v/>
      </c>
      <c r="D59" s="13" t="str">
        <f>IF(Tableau134567891011[[#This Row],[Repère]]="","",VLOOKUP(Tableau134567891011[[#This Row],[Repère]],Tableau1[#All],4,FALSE))</f>
        <v/>
      </c>
      <c r="E59" s="13" t="str">
        <f>IF(Tableau134567891011[[#This Row],[Repère]]="","",VLOOKUP(Tableau134567891011[[#This Row],[Repère]],Tableau1[#All],5,FALSE))</f>
        <v/>
      </c>
      <c r="F59" s="13" t="str">
        <f>IF(Tableau134567891011[[#This Row],[Repère]]="","",VLOOKUP(Tableau134567891011[[#This Row],[Repère]],Tableau1[#All],6,FALSE))</f>
        <v/>
      </c>
      <c r="G59" s="13" t="str">
        <f>IF(Tableau134567891011[[#This Row],[Repère]]="","",VLOOKUP(Tableau134567891011[[#This Row],[Repère]],Tableau1[#All],7,FALSE))</f>
        <v/>
      </c>
      <c r="H59" s="13" t="str">
        <f>IF(Tableau134567891011[[#This Row],[Repère]]="","",VLOOKUP(Tableau134567891011[[#This Row],[Repère]],Tableau1[#All],8,FALSE))</f>
        <v/>
      </c>
      <c r="I59" s="13" t="str">
        <f>IF(Tableau134567891011[[#This Row],[Repère]]="","",VLOOKUP(Tableau134567891011[[#This Row],[Repère]],Tableau1[#All],9,FALSE))</f>
        <v/>
      </c>
      <c r="J59" s="13" t="str">
        <f>IF(Tableau134567891011[[#This Row],[Repère]]="","",VLOOKUP(Tableau134567891011[[#This Row],[Repère]],Tableau1[#All],10,FALSE))</f>
        <v/>
      </c>
      <c r="K59" s="13" t="str">
        <f>IF(Tableau134567891011[[#This Row],[Repère]]="","",VLOOKUP(Tableau134567891011[[#This Row],[Repère]],Tableau1[#All],11,FALSE))</f>
        <v/>
      </c>
      <c r="L59" s="14" t="str">
        <f>IF(Tableau134567891011[[#This Row],[Repère]]="","",VLOOKUP(Tableau134567891011[[#This Row],[Repère]],Tableau1[#All],12,FALSE))</f>
        <v/>
      </c>
    </row>
    <row r="60" spans="1:12" x14ac:dyDescent="0.3">
      <c r="A60" s="18"/>
      <c r="B60" s="19"/>
      <c r="C60" s="13" t="str">
        <f>IF(Tableau134567891011[[#This Row],[Repère]]="","",VLOOKUP(Tableau134567891011[[#This Row],[Repère]],Tableau1[#All],3,FALSE))</f>
        <v/>
      </c>
      <c r="D60" s="13" t="str">
        <f>IF(Tableau134567891011[[#This Row],[Repère]]="","",VLOOKUP(Tableau134567891011[[#This Row],[Repère]],Tableau1[#All],4,FALSE))</f>
        <v/>
      </c>
      <c r="E60" s="13" t="str">
        <f>IF(Tableau134567891011[[#This Row],[Repère]]="","",VLOOKUP(Tableau134567891011[[#This Row],[Repère]],Tableau1[#All],5,FALSE))</f>
        <v/>
      </c>
      <c r="F60" s="13" t="str">
        <f>IF(Tableau134567891011[[#This Row],[Repère]]="","",VLOOKUP(Tableau134567891011[[#This Row],[Repère]],Tableau1[#All],6,FALSE))</f>
        <v/>
      </c>
      <c r="G60" s="13" t="str">
        <f>IF(Tableau134567891011[[#This Row],[Repère]]="","",VLOOKUP(Tableau134567891011[[#This Row],[Repère]],Tableau1[#All],7,FALSE))</f>
        <v/>
      </c>
      <c r="H60" s="13" t="str">
        <f>IF(Tableau134567891011[[#This Row],[Repère]]="","",VLOOKUP(Tableau134567891011[[#This Row],[Repère]],Tableau1[#All],8,FALSE))</f>
        <v/>
      </c>
      <c r="I60" s="13" t="str">
        <f>IF(Tableau134567891011[[#This Row],[Repère]]="","",VLOOKUP(Tableau134567891011[[#This Row],[Repère]],Tableau1[#All],9,FALSE))</f>
        <v/>
      </c>
      <c r="J60" s="13" t="str">
        <f>IF(Tableau134567891011[[#This Row],[Repère]]="","",VLOOKUP(Tableau134567891011[[#This Row],[Repère]],Tableau1[#All],10,FALSE))</f>
        <v/>
      </c>
      <c r="K60" s="13" t="str">
        <f>IF(Tableau134567891011[[#This Row],[Repère]]="","",VLOOKUP(Tableau134567891011[[#This Row],[Repère]],Tableau1[#All],11,FALSE))</f>
        <v/>
      </c>
      <c r="L60" s="14" t="str">
        <f>IF(Tableau134567891011[[#This Row],[Repère]]="","",VLOOKUP(Tableau134567891011[[#This Row],[Repère]],Tableau1[#All],12,FALSE))</f>
        <v/>
      </c>
    </row>
    <row r="61" spans="1:12" x14ac:dyDescent="0.3">
      <c r="A61" s="18"/>
      <c r="B61" s="19"/>
      <c r="C61" s="13" t="str">
        <f>IF(Tableau134567891011[[#This Row],[Repère]]="","",VLOOKUP(Tableau134567891011[[#This Row],[Repère]],Tableau1[#All],3,FALSE))</f>
        <v/>
      </c>
      <c r="D61" s="13" t="str">
        <f>IF(Tableau134567891011[[#This Row],[Repère]]="","",VLOOKUP(Tableau134567891011[[#This Row],[Repère]],Tableau1[#All],4,FALSE))</f>
        <v/>
      </c>
      <c r="E61" s="13" t="str">
        <f>IF(Tableau134567891011[[#This Row],[Repère]]="","",VLOOKUP(Tableau134567891011[[#This Row],[Repère]],Tableau1[#All],5,FALSE))</f>
        <v/>
      </c>
      <c r="F61" s="13" t="str">
        <f>IF(Tableau134567891011[[#This Row],[Repère]]="","",VLOOKUP(Tableau134567891011[[#This Row],[Repère]],Tableau1[#All],6,FALSE))</f>
        <v/>
      </c>
      <c r="G61" s="13" t="str">
        <f>IF(Tableau134567891011[[#This Row],[Repère]]="","",VLOOKUP(Tableau134567891011[[#This Row],[Repère]],Tableau1[#All],7,FALSE))</f>
        <v/>
      </c>
      <c r="H61" s="13" t="str">
        <f>IF(Tableau134567891011[[#This Row],[Repère]]="","",VLOOKUP(Tableau134567891011[[#This Row],[Repère]],Tableau1[#All],8,FALSE))</f>
        <v/>
      </c>
      <c r="I61" s="13" t="str">
        <f>IF(Tableau134567891011[[#This Row],[Repère]]="","",VLOOKUP(Tableau134567891011[[#This Row],[Repère]],Tableau1[#All],9,FALSE))</f>
        <v/>
      </c>
      <c r="J61" s="13" t="str">
        <f>IF(Tableau134567891011[[#This Row],[Repère]]="","",VLOOKUP(Tableau134567891011[[#This Row],[Repère]],Tableau1[#All],10,FALSE))</f>
        <v/>
      </c>
      <c r="K61" s="13" t="str">
        <f>IF(Tableau134567891011[[#This Row],[Repère]]="","",VLOOKUP(Tableau134567891011[[#This Row],[Repère]],Tableau1[#All],11,FALSE))</f>
        <v/>
      </c>
      <c r="L61" s="14" t="str">
        <f>IF(Tableau134567891011[[#This Row],[Repère]]="","",VLOOKUP(Tableau134567891011[[#This Row],[Repère]],Tableau1[#All],12,FALSE))</f>
        <v/>
      </c>
    </row>
    <row r="62" spans="1:12" x14ac:dyDescent="0.3">
      <c r="A62" s="18"/>
      <c r="B62" s="19"/>
      <c r="C62" s="13" t="str">
        <f>IF(Tableau134567891011[[#This Row],[Repère]]="","",VLOOKUP(Tableau134567891011[[#This Row],[Repère]],Tableau1[#All],3,FALSE))</f>
        <v/>
      </c>
      <c r="D62" s="13" t="str">
        <f>IF(Tableau134567891011[[#This Row],[Repère]]="","",VLOOKUP(Tableau134567891011[[#This Row],[Repère]],Tableau1[#All],4,FALSE))</f>
        <v/>
      </c>
      <c r="E62" s="13" t="str">
        <f>IF(Tableau134567891011[[#This Row],[Repère]]="","",VLOOKUP(Tableau134567891011[[#This Row],[Repère]],Tableau1[#All],5,FALSE))</f>
        <v/>
      </c>
      <c r="F62" s="13" t="str">
        <f>IF(Tableau134567891011[[#This Row],[Repère]]="","",VLOOKUP(Tableau134567891011[[#This Row],[Repère]],Tableau1[#All],6,FALSE))</f>
        <v/>
      </c>
      <c r="G62" s="13" t="str">
        <f>IF(Tableau134567891011[[#This Row],[Repère]]="","",VLOOKUP(Tableau134567891011[[#This Row],[Repère]],Tableau1[#All],7,FALSE))</f>
        <v/>
      </c>
      <c r="H62" s="13" t="str">
        <f>IF(Tableau134567891011[[#This Row],[Repère]]="","",VLOOKUP(Tableau134567891011[[#This Row],[Repère]],Tableau1[#All],8,FALSE))</f>
        <v/>
      </c>
      <c r="I62" s="13" t="str">
        <f>IF(Tableau134567891011[[#This Row],[Repère]]="","",VLOOKUP(Tableau134567891011[[#This Row],[Repère]],Tableau1[#All],9,FALSE))</f>
        <v/>
      </c>
      <c r="J62" s="13" t="str">
        <f>IF(Tableau134567891011[[#This Row],[Repère]]="","",VLOOKUP(Tableau134567891011[[#This Row],[Repère]],Tableau1[#All],10,FALSE))</f>
        <v/>
      </c>
      <c r="K62" s="13" t="str">
        <f>IF(Tableau134567891011[[#This Row],[Repère]]="","",VLOOKUP(Tableau134567891011[[#This Row],[Repère]],Tableau1[#All],11,FALSE))</f>
        <v/>
      </c>
      <c r="L62" s="14" t="str">
        <f>IF(Tableau134567891011[[#This Row],[Repère]]="","",VLOOKUP(Tableau134567891011[[#This Row],[Repère]],Tableau1[#All],12,FALSE))</f>
        <v/>
      </c>
    </row>
    <row r="63" spans="1:12" x14ac:dyDescent="0.3">
      <c r="A63" s="18"/>
      <c r="B63" s="19"/>
      <c r="C63" s="13" t="str">
        <f>IF(Tableau134567891011[[#This Row],[Repère]]="","",VLOOKUP(Tableau134567891011[[#This Row],[Repère]],Tableau1[#All],3,FALSE))</f>
        <v/>
      </c>
      <c r="D63" s="13" t="str">
        <f>IF(Tableau134567891011[[#This Row],[Repère]]="","",VLOOKUP(Tableau134567891011[[#This Row],[Repère]],Tableau1[#All],4,FALSE))</f>
        <v/>
      </c>
      <c r="E63" s="13" t="str">
        <f>IF(Tableau134567891011[[#This Row],[Repère]]="","",VLOOKUP(Tableau134567891011[[#This Row],[Repère]],Tableau1[#All],5,FALSE))</f>
        <v/>
      </c>
      <c r="F63" s="13" t="str">
        <f>IF(Tableau134567891011[[#This Row],[Repère]]="","",VLOOKUP(Tableau134567891011[[#This Row],[Repère]],Tableau1[#All],6,FALSE))</f>
        <v/>
      </c>
      <c r="G63" s="13" t="str">
        <f>IF(Tableau134567891011[[#This Row],[Repère]]="","",VLOOKUP(Tableau134567891011[[#This Row],[Repère]],Tableau1[#All],7,FALSE))</f>
        <v/>
      </c>
      <c r="H63" s="13" t="str">
        <f>IF(Tableau134567891011[[#This Row],[Repère]]="","",VLOOKUP(Tableau134567891011[[#This Row],[Repère]],Tableau1[#All],8,FALSE))</f>
        <v/>
      </c>
      <c r="I63" s="13" t="str">
        <f>IF(Tableau134567891011[[#This Row],[Repère]]="","",VLOOKUP(Tableau134567891011[[#This Row],[Repère]],Tableau1[#All],9,FALSE))</f>
        <v/>
      </c>
      <c r="J63" s="13" t="str">
        <f>IF(Tableau134567891011[[#This Row],[Repère]]="","",VLOOKUP(Tableau134567891011[[#This Row],[Repère]],Tableau1[#All],10,FALSE))</f>
        <v/>
      </c>
      <c r="K63" s="13" t="str">
        <f>IF(Tableau134567891011[[#This Row],[Repère]]="","",VLOOKUP(Tableau134567891011[[#This Row],[Repère]],Tableau1[#All],11,FALSE))</f>
        <v/>
      </c>
      <c r="L63" s="14" t="str">
        <f>IF(Tableau134567891011[[#This Row],[Repère]]="","",VLOOKUP(Tableau134567891011[[#This Row],[Repère]],Tableau1[#All],12,FALSE))</f>
        <v/>
      </c>
    </row>
    <row r="64" spans="1:12" x14ac:dyDescent="0.3">
      <c r="A64" s="18"/>
      <c r="B64" s="19"/>
      <c r="C64" s="13" t="str">
        <f>IF(Tableau134567891011[[#This Row],[Repère]]="","",VLOOKUP(Tableau134567891011[[#This Row],[Repère]],Tableau1[#All],3,FALSE))</f>
        <v/>
      </c>
      <c r="D64" s="13" t="str">
        <f>IF(Tableau134567891011[[#This Row],[Repère]]="","",VLOOKUP(Tableau134567891011[[#This Row],[Repère]],Tableau1[#All],4,FALSE))</f>
        <v/>
      </c>
      <c r="E64" s="13" t="str">
        <f>IF(Tableau134567891011[[#This Row],[Repère]]="","",VLOOKUP(Tableau134567891011[[#This Row],[Repère]],Tableau1[#All],5,FALSE))</f>
        <v/>
      </c>
      <c r="F64" s="13" t="str">
        <f>IF(Tableau134567891011[[#This Row],[Repère]]="","",VLOOKUP(Tableau134567891011[[#This Row],[Repère]],Tableau1[#All],6,FALSE))</f>
        <v/>
      </c>
      <c r="G64" s="13" t="str">
        <f>IF(Tableau134567891011[[#This Row],[Repère]]="","",VLOOKUP(Tableau134567891011[[#This Row],[Repère]],Tableau1[#All],7,FALSE))</f>
        <v/>
      </c>
      <c r="H64" s="13" t="str">
        <f>IF(Tableau134567891011[[#This Row],[Repère]]="","",VLOOKUP(Tableau134567891011[[#This Row],[Repère]],Tableau1[#All],8,FALSE))</f>
        <v/>
      </c>
      <c r="I64" s="13" t="str">
        <f>IF(Tableau134567891011[[#This Row],[Repère]]="","",VLOOKUP(Tableau134567891011[[#This Row],[Repère]],Tableau1[#All],9,FALSE))</f>
        <v/>
      </c>
      <c r="J64" s="13" t="str">
        <f>IF(Tableau134567891011[[#This Row],[Repère]]="","",VLOOKUP(Tableau134567891011[[#This Row],[Repère]],Tableau1[#All],10,FALSE))</f>
        <v/>
      </c>
      <c r="K64" s="13" t="str">
        <f>IF(Tableau134567891011[[#This Row],[Repère]]="","",VLOOKUP(Tableau134567891011[[#This Row],[Repère]],Tableau1[#All],11,FALSE))</f>
        <v/>
      </c>
      <c r="L64" s="14" t="str">
        <f>IF(Tableau134567891011[[#This Row],[Repère]]="","",VLOOKUP(Tableau134567891011[[#This Row],[Repère]],Tableau1[#All],12,FALSE))</f>
        <v/>
      </c>
    </row>
    <row r="65" spans="1:12" x14ac:dyDescent="0.3">
      <c r="A65" s="18"/>
      <c r="B65" s="19"/>
      <c r="C65" s="13" t="str">
        <f>IF(Tableau134567891011[[#This Row],[Repère]]="","",VLOOKUP(Tableau134567891011[[#This Row],[Repère]],Tableau1[#All],3,FALSE))</f>
        <v/>
      </c>
      <c r="D65" s="13" t="str">
        <f>IF(Tableau134567891011[[#This Row],[Repère]]="","",VLOOKUP(Tableau134567891011[[#This Row],[Repère]],Tableau1[#All],4,FALSE))</f>
        <v/>
      </c>
      <c r="E65" s="13" t="str">
        <f>IF(Tableau134567891011[[#This Row],[Repère]]="","",VLOOKUP(Tableau134567891011[[#This Row],[Repère]],Tableau1[#All],5,FALSE))</f>
        <v/>
      </c>
      <c r="F65" s="13" t="str">
        <f>IF(Tableau134567891011[[#This Row],[Repère]]="","",VLOOKUP(Tableau134567891011[[#This Row],[Repère]],Tableau1[#All],6,FALSE))</f>
        <v/>
      </c>
      <c r="G65" s="13" t="str">
        <f>IF(Tableau134567891011[[#This Row],[Repère]]="","",VLOOKUP(Tableau134567891011[[#This Row],[Repère]],Tableau1[#All],7,FALSE))</f>
        <v/>
      </c>
      <c r="H65" s="13" t="str">
        <f>IF(Tableau134567891011[[#This Row],[Repère]]="","",VLOOKUP(Tableau134567891011[[#This Row],[Repère]],Tableau1[#All],8,FALSE))</f>
        <v/>
      </c>
      <c r="I65" s="13" t="str">
        <f>IF(Tableau134567891011[[#This Row],[Repère]]="","",VLOOKUP(Tableau134567891011[[#This Row],[Repère]],Tableau1[#All],9,FALSE))</f>
        <v/>
      </c>
      <c r="J65" s="13" t="str">
        <f>IF(Tableau134567891011[[#This Row],[Repère]]="","",VLOOKUP(Tableau134567891011[[#This Row],[Repère]],Tableau1[#All],10,FALSE))</f>
        <v/>
      </c>
      <c r="K65" s="13" t="str">
        <f>IF(Tableau134567891011[[#This Row],[Repère]]="","",VLOOKUP(Tableau134567891011[[#This Row],[Repère]],Tableau1[#All],11,FALSE))</f>
        <v/>
      </c>
      <c r="L65" s="14" t="str">
        <f>IF(Tableau134567891011[[#This Row],[Repère]]="","",VLOOKUP(Tableau134567891011[[#This Row],[Repère]],Tableau1[#All],12,FALSE))</f>
        <v/>
      </c>
    </row>
    <row r="66" spans="1:12" x14ac:dyDescent="0.3">
      <c r="A66" s="18"/>
      <c r="B66" s="19"/>
      <c r="C66" s="13" t="str">
        <f>IF(Tableau134567891011[[#This Row],[Repère]]="","",VLOOKUP(Tableau134567891011[[#This Row],[Repère]],Tableau1[#All],3,FALSE))</f>
        <v/>
      </c>
      <c r="D66" s="13" t="str">
        <f>IF(Tableau134567891011[[#This Row],[Repère]]="","",VLOOKUP(Tableau134567891011[[#This Row],[Repère]],Tableau1[#All],4,FALSE))</f>
        <v/>
      </c>
      <c r="E66" s="13" t="str">
        <f>IF(Tableau134567891011[[#This Row],[Repère]]="","",VLOOKUP(Tableau134567891011[[#This Row],[Repère]],Tableau1[#All],5,FALSE))</f>
        <v/>
      </c>
      <c r="F66" s="13" t="str">
        <f>IF(Tableau134567891011[[#This Row],[Repère]]="","",VLOOKUP(Tableau134567891011[[#This Row],[Repère]],Tableau1[#All],6,FALSE))</f>
        <v/>
      </c>
      <c r="G66" s="13" t="str">
        <f>IF(Tableau134567891011[[#This Row],[Repère]]="","",VLOOKUP(Tableau134567891011[[#This Row],[Repère]],Tableau1[#All],7,FALSE))</f>
        <v/>
      </c>
      <c r="H66" s="13" t="str">
        <f>IF(Tableau134567891011[[#This Row],[Repère]]="","",VLOOKUP(Tableau134567891011[[#This Row],[Repère]],Tableau1[#All],8,FALSE))</f>
        <v/>
      </c>
      <c r="I66" s="13" t="str">
        <f>IF(Tableau134567891011[[#This Row],[Repère]]="","",VLOOKUP(Tableau134567891011[[#This Row],[Repère]],Tableau1[#All],9,FALSE))</f>
        <v/>
      </c>
      <c r="J66" s="13" t="str">
        <f>IF(Tableau134567891011[[#This Row],[Repère]]="","",VLOOKUP(Tableau134567891011[[#This Row],[Repère]],Tableau1[#All],10,FALSE))</f>
        <v/>
      </c>
      <c r="K66" s="13" t="str">
        <f>IF(Tableau134567891011[[#This Row],[Repère]]="","",VLOOKUP(Tableau134567891011[[#This Row],[Repère]],Tableau1[#All],11,FALSE))</f>
        <v/>
      </c>
      <c r="L66" s="14" t="str">
        <f>IF(Tableau134567891011[[#This Row],[Repère]]="","",VLOOKUP(Tableau134567891011[[#This Row],[Repère]],Tableau1[#All],12,FALSE))</f>
        <v/>
      </c>
    </row>
    <row r="67" spans="1:12" x14ac:dyDescent="0.3">
      <c r="A67" s="18"/>
      <c r="B67" s="19"/>
      <c r="C67" s="13" t="str">
        <f>IF(Tableau134567891011[[#This Row],[Repère]]="","",VLOOKUP(Tableau134567891011[[#This Row],[Repère]],Tableau1[#All],3,FALSE))</f>
        <v/>
      </c>
      <c r="D67" s="13" t="str">
        <f>IF(Tableau134567891011[[#This Row],[Repère]]="","",VLOOKUP(Tableau134567891011[[#This Row],[Repère]],Tableau1[#All],4,FALSE))</f>
        <v/>
      </c>
      <c r="E67" s="13" t="str">
        <f>IF(Tableau134567891011[[#This Row],[Repère]]="","",VLOOKUP(Tableau134567891011[[#This Row],[Repère]],Tableau1[#All],5,FALSE))</f>
        <v/>
      </c>
      <c r="F67" s="13" t="str">
        <f>IF(Tableau134567891011[[#This Row],[Repère]]="","",VLOOKUP(Tableau134567891011[[#This Row],[Repère]],Tableau1[#All],6,FALSE))</f>
        <v/>
      </c>
      <c r="G67" s="13" t="str">
        <f>IF(Tableau134567891011[[#This Row],[Repère]]="","",VLOOKUP(Tableau134567891011[[#This Row],[Repère]],Tableau1[#All],7,FALSE))</f>
        <v/>
      </c>
      <c r="H67" s="13" t="str">
        <f>IF(Tableau134567891011[[#This Row],[Repère]]="","",VLOOKUP(Tableau134567891011[[#This Row],[Repère]],Tableau1[#All],8,FALSE))</f>
        <v/>
      </c>
      <c r="I67" s="13" t="str">
        <f>IF(Tableau134567891011[[#This Row],[Repère]]="","",VLOOKUP(Tableau134567891011[[#This Row],[Repère]],Tableau1[#All],9,FALSE))</f>
        <v/>
      </c>
      <c r="J67" s="13" t="str">
        <f>IF(Tableau134567891011[[#This Row],[Repère]]="","",VLOOKUP(Tableau134567891011[[#This Row],[Repère]],Tableau1[#All],10,FALSE))</f>
        <v/>
      </c>
      <c r="K67" s="13" t="str">
        <f>IF(Tableau134567891011[[#This Row],[Repère]]="","",VLOOKUP(Tableau134567891011[[#This Row],[Repère]],Tableau1[#All],11,FALSE))</f>
        <v/>
      </c>
      <c r="L67" s="14" t="str">
        <f>IF(Tableau134567891011[[#This Row],[Repère]]="","",VLOOKUP(Tableau134567891011[[#This Row],[Repère]],Tableau1[#All],12,FALSE))</f>
        <v/>
      </c>
    </row>
    <row r="68" spans="1:12" x14ac:dyDescent="0.3">
      <c r="A68" s="18"/>
      <c r="B68" s="19"/>
      <c r="C68" s="13" t="str">
        <f>IF(Tableau134567891011[[#This Row],[Repère]]="","",VLOOKUP(Tableau134567891011[[#This Row],[Repère]],Tableau1[#All],3,FALSE))</f>
        <v/>
      </c>
      <c r="D68" s="13" t="str">
        <f>IF(Tableau134567891011[[#This Row],[Repère]]="","",VLOOKUP(Tableau134567891011[[#This Row],[Repère]],Tableau1[#All],4,FALSE))</f>
        <v/>
      </c>
      <c r="E68" s="13" t="str">
        <f>IF(Tableau134567891011[[#This Row],[Repère]]="","",VLOOKUP(Tableau134567891011[[#This Row],[Repère]],Tableau1[#All],5,FALSE))</f>
        <v/>
      </c>
      <c r="F68" s="13" t="str">
        <f>IF(Tableau134567891011[[#This Row],[Repère]]="","",VLOOKUP(Tableau134567891011[[#This Row],[Repère]],Tableau1[#All],6,FALSE))</f>
        <v/>
      </c>
      <c r="G68" s="13" t="str">
        <f>IF(Tableau134567891011[[#This Row],[Repère]]="","",VLOOKUP(Tableau134567891011[[#This Row],[Repère]],Tableau1[#All],7,FALSE))</f>
        <v/>
      </c>
      <c r="H68" s="13" t="str">
        <f>IF(Tableau134567891011[[#This Row],[Repère]]="","",VLOOKUP(Tableau134567891011[[#This Row],[Repère]],Tableau1[#All],8,FALSE))</f>
        <v/>
      </c>
      <c r="I68" s="13" t="str">
        <f>IF(Tableau134567891011[[#This Row],[Repère]]="","",VLOOKUP(Tableau134567891011[[#This Row],[Repère]],Tableau1[#All],9,FALSE))</f>
        <v/>
      </c>
      <c r="J68" s="13" t="str">
        <f>IF(Tableau134567891011[[#This Row],[Repère]]="","",VLOOKUP(Tableau134567891011[[#This Row],[Repère]],Tableau1[#All],10,FALSE))</f>
        <v/>
      </c>
      <c r="K68" s="13" t="str">
        <f>IF(Tableau134567891011[[#This Row],[Repère]]="","",VLOOKUP(Tableau134567891011[[#This Row],[Repère]],Tableau1[#All],11,FALSE))</f>
        <v/>
      </c>
      <c r="L68" s="14" t="str">
        <f>IF(Tableau134567891011[[#This Row],[Repère]]="","",VLOOKUP(Tableau134567891011[[#This Row],[Repère]],Tableau1[#All],12,FALSE))</f>
        <v/>
      </c>
    </row>
    <row r="69" spans="1:12" x14ac:dyDescent="0.3">
      <c r="A69" s="18"/>
      <c r="B69" s="19"/>
      <c r="C69" s="13" t="str">
        <f>IF(Tableau134567891011[[#This Row],[Repère]]="","",VLOOKUP(Tableau134567891011[[#This Row],[Repère]],Tableau1[#All],3,FALSE))</f>
        <v/>
      </c>
      <c r="D69" s="13" t="str">
        <f>IF(Tableau134567891011[[#This Row],[Repère]]="","",VLOOKUP(Tableau134567891011[[#This Row],[Repère]],Tableau1[#All],4,FALSE))</f>
        <v/>
      </c>
      <c r="E69" s="13" t="str">
        <f>IF(Tableau134567891011[[#This Row],[Repère]]="","",VLOOKUP(Tableau134567891011[[#This Row],[Repère]],Tableau1[#All],5,FALSE))</f>
        <v/>
      </c>
      <c r="F69" s="13" t="str">
        <f>IF(Tableau134567891011[[#This Row],[Repère]]="","",VLOOKUP(Tableau134567891011[[#This Row],[Repère]],Tableau1[#All],6,FALSE))</f>
        <v/>
      </c>
      <c r="G69" s="13" t="str">
        <f>IF(Tableau134567891011[[#This Row],[Repère]]="","",VLOOKUP(Tableau134567891011[[#This Row],[Repère]],Tableau1[#All],7,FALSE))</f>
        <v/>
      </c>
      <c r="H69" s="13" t="str">
        <f>IF(Tableau134567891011[[#This Row],[Repère]]="","",VLOOKUP(Tableau134567891011[[#This Row],[Repère]],Tableau1[#All],8,FALSE))</f>
        <v/>
      </c>
      <c r="I69" s="13" t="str">
        <f>IF(Tableau134567891011[[#This Row],[Repère]]="","",VLOOKUP(Tableau134567891011[[#This Row],[Repère]],Tableau1[#All],9,FALSE))</f>
        <v/>
      </c>
      <c r="J69" s="13" t="str">
        <f>IF(Tableau134567891011[[#This Row],[Repère]]="","",VLOOKUP(Tableau134567891011[[#This Row],[Repère]],Tableau1[#All],10,FALSE))</f>
        <v/>
      </c>
      <c r="K69" s="13" t="str">
        <f>IF(Tableau134567891011[[#This Row],[Repère]]="","",VLOOKUP(Tableau134567891011[[#This Row],[Repère]],Tableau1[#All],11,FALSE))</f>
        <v/>
      </c>
      <c r="L69" s="14" t="str">
        <f>IF(Tableau134567891011[[#This Row],[Repère]]="","",VLOOKUP(Tableau134567891011[[#This Row],[Repère]],Tableau1[#All],12,FALSE))</f>
        <v/>
      </c>
    </row>
    <row r="70" spans="1:12" x14ac:dyDescent="0.3">
      <c r="A70" s="18"/>
      <c r="B70" s="19"/>
      <c r="C70" s="13" t="str">
        <f>IF(Tableau134567891011[[#This Row],[Repère]]="","",VLOOKUP(Tableau134567891011[[#This Row],[Repère]],Tableau1[#All],3,FALSE))</f>
        <v/>
      </c>
      <c r="D70" s="13" t="str">
        <f>IF(Tableau134567891011[[#This Row],[Repère]]="","",VLOOKUP(Tableau134567891011[[#This Row],[Repère]],Tableau1[#All],4,FALSE))</f>
        <v/>
      </c>
      <c r="E70" s="13" t="str">
        <f>IF(Tableau134567891011[[#This Row],[Repère]]="","",VLOOKUP(Tableau134567891011[[#This Row],[Repère]],Tableau1[#All],5,FALSE))</f>
        <v/>
      </c>
      <c r="F70" s="13" t="str">
        <f>IF(Tableau134567891011[[#This Row],[Repère]]="","",VLOOKUP(Tableau134567891011[[#This Row],[Repère]],Tableau1[#All],6,FALSE))</f>
        <v/>
      </c>
      <c r="G70" s="13" t="str">
        <f>IF(Tableau134567891011[[#This Row],[Repère]]="","",VLOOKUP(Tableau134567891011[[#This Row],[Repère]],Tableau1[#All],7,FALSE))</f>
        <v/>
      </c>
      <c r="H70" s="13" t="str">
        <f>IF(Tableau134567891011[[#This Row],[Repère]]="","",VLOOKUP(Tableau134567891011[[#This Row],[Repère]],Tableau1[#All],8,FALSE))</f>
        <v/>
      </c>
      <c r="I70" s="13" t="str">
        <f>IF(Tableau134567891011[[#This Row],[Repère]]="","",VLOOKUP(Tableau134567891011[[#This Row],[Repère]],Tableau1[#All],9,FALSE))</f>
        <v/>
      </c>
      <c r="J70" s="13" t="str">
        <f>IF(Tableau134567891011[[#This Row],[Repère]]="","",VLOOKUP(Tableau134567891011[[#This Row],[Repère]],Tableau1[#All],10,FALSE))</f>
        <v/>
      </c>
      <c r="K70" s="13" t="str">
        <f>IF(Tableau134567891011[[#This Row],[Repère]]="","",VLOOKUP(Tableau134567891011[[#This Row],[Repère]],Tableau1[#All],11,FALSE))</f>
        <v/>
      </c>
      <c r="L70" s="14" t="str">
        <f>IF(Tableau134567891011[[#This Row],[Repère]]="","",VLOOKUP(Tableau134567891011[[#This Row],[Repère]],Tableau1[#All],12,FALSE))</f>
        <v/>
      </c>
    </row>
    <row r="71" spans="1:12" x14ac:dyDescent="0.3">
      <c r="A71" s="18"/>
      <c r="B71" s="19"/>
      <c r="C71" s="13" t="str">
        <f>IF(Tableau134567891011[[#This Row],[Repère]]="","",VLOOKUP(Tableau134567891011[[#This Row],[Repère]],Tableau1[#All],3,FALSE))</f>
        <v/>
      </c>
      <c r="D71" s="13" t="str">
        <f>IF(Tableau134567891011[[#This Row],[Repère]]="","",VLOOKUP(Tableau134567891011[[#This Row],[Repère]],Tableau1[#All],4,FALSE))</f>
        <v/>
      </c>
      <c r="E71" s="13" t="str">
        <f>IF(Tableau134567891011[[#This Row],[Repère]]="","",VLOOKUP(Tableau134567891011[[#This Row],[Repère]],Tableau1[#All],5,FALSE))</f>
        <v/>
      </c>
      <c r="F71" s="13" t="str">
        <f>IF(Tableau134567891011[[#This Row],[Repère]]="","",VLOOKUP(Tableau134567891011[[#This Row],[Repère]],Tableau1[#All],6,FALSE))</f>
        <v/>
      </c>
      <c r="G71" s="13" t="str">
        <f>IF(Tableau134567891011[[#This Row],[Repère]]="","",VLOOKUP(Tableau134567891011[[#This Row],[Repère]],Tableau1[#All],7,FALSE))</f>
        <v/>
      </c>
      <c r="H71" s="13" t="str">
        <f>IF(Tableau134567891011[[#This Row],[Repère]]="","",VLOOKUP(Tableau134567891011[[#This Row],[Repère]],Tableau1[#All],8,FALSE))</f>
        <v/>
      </c>
      <c r="I71" s="13" t="str">
        <f>IF(Tableau134567891011[[#This Row],[Repère]]="","",VLOOKUP(Tableau134567891011[[#This Row],[Repère]],Tableau1[#All],9,FALSE))</f>
        <v/>
      </c>
      <c r="J71" s="13" t="str">
        <f>IF(Tableau134567891011[[#This Row],[Repère]]="","",VLOOKUP(Tableau134567891011[[#This Row],[Repère]],Tableau1[#All],10,FALSE))</f>
        <v/>
      </c>
      <c r="K71" s="13" t="str">
        <f>IF(Tableau134567891011[[#This Row],[Repère]]="","",VLOOKUP(Tableau134567891011[[#This Row],[Repère]],Tableau1[#All],11,FALSE))</f>
        <v/>
      </c>
      <c r="L71" s="14" t="str">
        <f>IF(Tableau134567891011[[#This Row],[Repère]]="","",VLOOKUP(Tableau134567891011[[#This Row],[Repère]],Tableau1[#All],12,FALSE))</f>
        <v/>
      </c>
    </row>
    <row r="72" spans="1:12" x14ac:dyDescent="0.3">
      <c r="A72" s="18"/>
      <c r="B72" s="19"/>
      <c r="C72" s="13" t="str">
        <f>IF(Tableau134567891011[[#This Row],[Repère]]="","",VLOOKUP(Tableau134567891011[[#This Row],[Repère]],Tableau1[#All],3,FALSE))</f>
        <v/>
      </c>
      <c r="D72" s="13" t="str">
        <f>IF(Tableau134567891011[[#This Row],[Repère]]="","",VLOOKUP(Tableau134567891011[[#This Row],[Repère]],Tableau1[#All],4,FALSE))</f>
        <v/>
      </c>
      <c r="E72" s="13" t="str">
        <f>IF(Tableau134567891011[[#This Row],[Repère]]="","",VLOOKUP(Tableau134567891011[[#This Row],[Repère]],Tableau1[#All],5,FALSE))</f>
        <v/>
      </c>
      <c r="F72" s="13" t="str">
        <f>IF(Tableau134567891011[[#This Row],[Repère]]="","",VLOOKUP(Tableau134567891011[[#This Row],[Repère]],Tableau1[#All],6,FALSE))</f>
        <v/>
      </c>
      <c r="G72" s="13" t="str">
        <f>IF(Tableau134567891011[[#This Row],[Repère]]="","",VLOOKUP(Tableau134567891011[[#This Row],[Repère]],Tableau1[#All],7,FALSE))</f>
        <v/>
      </c>
      <c r="H72" s="13" t="str">
        <f>IF(Tableau134567891011[[#This Row],[Repère]]="","",VLOOKUP(Tableau134567891011[[#This Row],[Repère]],Tableau1[#All],8,FALSE))</f>
        <v/>
      </c>
      <c r="I72" s="13" t="str">
        <f>IF(Tableau134567891011[[#This Row],[Repère]]="","",VLOOKUP(Tableau134567891011[[#This Row],[Repère]],Tableau1[#All],9,FALSE))</f>
        <v/>
      </c>
      <c r="J72" s="13" t="str">
        <f>IF(Tableau134567891011[[#This Row],[Repère]]="","",VLOOKUP(Tableau134567891011[[#This Row],[Repère]],Tableau1[#All],10,FALSE))</f>
        <v/>
      </c>
      <c r="K72" s="13" t="str">
        <f>IF(Tableau134567891011[[#This Row],[Repère]]="","",VLOOKUP(Tableau134567891011[[#This Row],[Repère]],Tableau1[#All],11,FALSE))</f>
        <v/>
      </c>
      <c r="L72" s="14" t="str">
        <f>IF(Tableau134567891011[[#This Row],[Repère]]="","",VLOOKUP(Tableau134567891011[[#This Row],[Repère]],Tableau1[#All],12,FALSE))</f>
        <v/>
      </c>
    </row>
    <row r="73" spans="1:12" x14ac:dyDescent="0.3">
      <c r="A73" s="18"/>
      <c r="B73" s="19"/>
      <c r="C73" s="13" t="str">
        <f>IF(Tableau134567891011[[#This Row],[Repère]]="","",VLOOKUP(Tableau134567891011[[#This Row],[Repère]],Tableau1[#All],3,FALSE))</f>
        <v/>
      </c>
      <c r="D73" s="13" t="str">
        <f>IF(Tableau134567891011[[#This Row],[Repère]]="","",VLOOKUP(Tableau134567891011[[#This Row],[Repère]],Tableau1[#All],4,FALSE))</f>
        <v/>
      </c>
      <c r="E73" s="13" t="str">
        <f>IF(Tableau134567891011[[#This Row],[Repère]]="","",VLOOKUP(Tableau134567891011[[#This Row],[Repère]],Tableau1[#All],5,FALSE))</f>
        <v/>
      </c>
      <c r="F73" s="13" t="str">
        <f>IF(Tableau134567891011[[#This Row],[Repère]]="","",VLOOKUP(Tableau134567891011[[#This Row],[Repère]],Tableau1[#All],6,FALSE))</f>
        <v/>
      </c>
      <c r="G73" s="13" t="str">
        <f>IF(Tableau134567891011[[#This Row],[Repère]]="","",VLOOKUP(Tableau134567891011[[#This Row],[Repère]],Tableau1[#All],7,FALSE))</f>
        <v/>
      </c>
      <c r="H73" s="13" t="str">
        <f>IF(Tableau134567891011[[#This Row],[Repère]]="","",VLOOKUP(Tableau134567891011[[#This Row],[Repère]],Tableau1[#All],8,FALSE))</f>
        <v/>
      </c>
      <c r="I73" s="13" t="str">
        <f>IF(Tableau134567891011[[#This Row],[Repère]]="","",VLOOKUP(Tableau134567891011[[#This Row],[Repère]],Tableau1[#All],9,FALSE))</f>
        <v/>
      </c>
      <c r="J73" s="13" t="str">
        <f>IF(Tableau134567891011[[#This Row],[Repère]]="","",VLOOKUP(Tableau134567891011[[#This Row],[Repère]],Tableau1[#All],10,FALSE))</f>
        <v/>
      </c>
      <c r="K73" s="13" t="str">
        <f>IF(Tableau134567891011[[#This Row],[Repère]]="","",VLOOKUP(Tableau134567891011[[#This Row],[Repère]],Tableau1[#All],11,FALSE))</f>
        <v/>
      </c>
      <c r="L73" s="14" t="str">
        <f>IF(Tableau134567891011[[#This Row],[Repère]]="","",VLOOKUP(Tableau134567891011[[#This Row],[Repère]],Tableau1[#All],12,FALSE))</f>
        <v/>
      </c>
    </row>
    <row r="74" spans="1:12" x14ac:dyDescent="0.3">
      <c r="A74" s="18"/>
      <c r="B74" s="19"/>
      <c r="C74" s="13" t="str">
        <f>IF(Tableau134567891011[[#This Row],[Repère]]="","",VLOOKUP(Tableau134567891011[[#This Row],[Repère]],Tableau1[#All],3,FALSE))</f>
        <v/>
      </c>
      <c r="D74" s="13" t="str">
        <f>IF(Tableau134567891011[[#This Row],[Repère]]="","",VLOOKUP(Tableau134567891011[[#This Row],[Repère]],Tableau1[#All],4,FALSE))</f>
        <v/>
      </c>
      <c r="E74" s="13" t="str">
        <f>IF(Tableau134567891011[[#This Row],[Repère]]="","",VLOOKUP(Tableau134567891011[[#This Row],[Repère]],Tableau1[#All],5,FALSE))</f>
        <v/>
      </c>
      <c r="F74" s="13" t="str">
        <f>IF(Tableau134567891011[[#This Row],[Repère]]="","",VLOOKUP(Tableau134567891011[[#This Row],[Repère]],Tableau1[#All],6,FALSE))</f>
        <v/>
      </c>
      <c r="G74" s="13" t="str">
        <f>IF(Tableau134567891011[[#This Row],[Repère]]="","",VLOOKUP(Tableau134567891011[[#This Row],[Repère]],Tableau1[#All],7,FALSE))</f>
        <v/>
      </c>
      <c r="H74" s="13" t="str">
        <f>IF(Tableau134567891011[[#This Row],[Repère]]="","",VLOOKUP(Tableau134567891011[[#This Row],[Repère]],Tableau1[#All],8,FALSE))</f>
        <v/>
      </c>
      <c r="I74" s="13" t="str">
        <f>IF(Tableau134567891011[[#This Row],[Repère]]="","",VLOOKUP(Tableau134567891011[[#This Row],[Repère]],Tableau1[#All],9,FALSE))</f>
        <v/>
      </c>
      <c r="J74" s="13" t="str">
        <f>IF(Tableau134567891011[[#This Row],[Repère]]="","",VLOOKUP(Tableau134567891011[[#This Row],[Repère]],Tableau1[#All],10,FALSE))</f>
        <v/>
      </c>
      <c r="K74" s="13" t="str">
        <f>IF(Tableau134567891011[[#This Row],[Repère]]="","",VLOOKUP(Tableau134567891011[[#This Row],[Repère]],Tableau1[#All],11,FALSE))</f>
        <v/>
      </c>
      <c r="L74" s="14" t="str">
        <f>IF(Tableau134567891011[[#This Row],[Repère]]="","",VLOOKUP(Tableau134567891011[[#This Row],[Repère]],Tableau1[#All],12,FALSE))</f>
        <v/>
      </c>
    </row>
    <row r="75" spans="1:12" x14ac:dyDescent="0.3">
      <c r="A75" s="18"/>
      <c r="B75" s="19"/>
      <c r="C75" s="13" t="str">
        <f>IF(Tableau134567891011[[#This Row],[Repère]]="","",VLOOKUP(Tableau134567891011[[#This Row],[Repère]],Tableau1[#All],3,FALSE))</f>
        <v/>
      </c>
      <c r="D75" s="13" t="str">
        <f>IF(Tableau134567891011[[#This Row],[Repère]]="","",VLOOKUP(Tableau134567891011[[#This Row],[Repère]],Tableau1[#All],4,FALSE))</f>
        <v/>
      </c>
      <c r="E75" s="13" t="str">
        <f>IF(Tableau134567891011[[#This Row],[Repère]]="","",VLOOKUP(Tableau134567891011[[#This Row],[Repère]],Tableau1[#All],5,FALSE))</f>
        <v/>
      </c>
      <c r="F75" s="13" t="str">
        <f>IF(Tableau134567891011[[#This Row],[Repère]]="","",VLOOKUP(Tableau134567891011[[#This Row],[Repère]],Tableau1[#All],6,FALSE))</f>
        <v/>
      </c>
      <c r="G75" s="13" t="str">
        <f>IF(Tableau134567891011[[#This Row],[Repère]]="","",VLOOKUP(Tableau134567891011[[#This Row],[Repère]],Tableau1[#All],7,FALSE))</f>
        <v/>
      </c>
      <c r="H75" s="13" t="str">
        <f>IF(Tableau134567891011[[#This Row],[Repère]]="","",VLOOKUP(Tableau134567891011[[#This Row],[Repère]],Tableau1[#All],8,FALSE))</f>
        <v/>
      </c>
      <c r="I75" s="13" t="str">
        <f>IF(Tableau134567891011[[#This Row],[Repère]]="","",VLOOKUP(Tableau134567891011[[#This Row],[Repère]],Tableau1[#All],9,FALSE))</f>
        <v/>
      </c>
      <c r="J75" s="13" t="str">
        <f>IF(Tableau134567891011[[#This Row],[Repère]]="","",VLOOKUP(Tableau134567891011[[#This Row],[Repère]],Tableau1[#All],10,FALSE))</f>
        <v/>
      </c>
      <c r="K75" s="13" t="str">
        <f>IF(Tableau134567891011[[#This Row],[Repère]]="","",VLOOKUP(Tableau134567891011[[#This Row],[Repère]],Tableau1[#All],11,FALSE))</f>
        <v/>
      </c>
      <c r="L75" s="14" t="str">
        <f>IF(Tableau134567891011[[#This Row],[Repère]]="","",VLOOKUP(Tableau134567891011[[#This Row],[Repère]],Tableau1[#All],12,FALSE))</f>
        <v/>
      </c>
    </row>
    <row r="76" spans="1:12" x14ac:dyDescent="0.3">
      <c r="A76" s="18"/>
      <c r="B76" s="19"/>
      <c r="C76" s="13" t="str">
        <f>IF(Tableau134567891011[[#This Row],[Repère]]="","",VLOOKUP(Tableau134567891011[[#This Row],[Repère]],Tableau1[#All],3,FALSE))</f>
        <v/>
      </c>
      <c r="D76" s="13" t="str">
        <f>IF(Tableau134567891011[[#This Row],[Repère]]="","",VLOOKUP(Tableau134567891011[[#This Row],[Repère]],Tableau1[#All],4,FALSE))</f>
        <v/>
      </c>
      <c r="E76" s="13" t="str">
        <f>IF(Tableau134567891011[[#This Row],[Repère]]="","",VLOOKUP(Tableau134567891011[[#This Row],[Repère]],Tableau1[#All],5,FALSE))</f>
        <v/>
      </c>
      <c r="F76" s="13" t="str">
        <f>IF(Tableau134567891011[[#This Row],[Repère]]="","",VLOOKUP(Tableau134567891011[[#This Row],[Repère]],Tableau1[#All],6,FALSE))</f>
        <v/>
      </c>
      <c r="G76" s="13" t="str">
        <f>IF(Tableau134567891011[[#This Row],[Repère]]="","",VLOOKUP(Tableau134567891011[[#This Row],[Repère]],Tableau1[#All],7,FALSE))</f>
        <v/>
      </c>
      <c r="H76" s="13" t="str">
        <f>IF(Tableau134567891011[[#This Row],[Repère]]="","",VLOOKUP(Tableau134567891011[[#This Row],[Repère]],Tableau1[#All],8,FALSE))</f>
        <v/>
      </c>
      <c r="I76" s="13" t="str">
        <f>IF(Tableau134567891011[[#This Row],[Repère]]="","",VLOOKUP(Tableau134567891011[[#This Row],[Repère]],Tableau1[#All],9,FALSE))</f>
        <v/>
      </c>
      <c r="J76" s="13" t="str">
        <f>IF(Tableau134567891011[[#This Row],[Repère]]="","",VLOOKUP(Tableau134567891011[[#This Row],[Repère]],Tableau1[#All],10,FALSE))</f>
        <v/>
      </c>
      <c r="K76" s="13" t="str">
        <f>IF(Tableau134567891011[[#This Row],[Repère]]="","",VLOOKUP(Tableau134567891011[[#This Row],[Repère]],Tableau1[#All],11,FALSE))</f>
        <v/>
      </c>
      <c r="L76" s="14" t="str">
        <f>IF(Tableau134567891011[[#This Row],[Repère]]="","",VLOOKUP(Tableau134567891011[[#This Row],[Repère]],Tableau1[#All],12,FALSE))</f>
        <v/>
      </c>
    </row>
    <row r="77" spans="1:12" x14ac:dyDescent="0.3">
      <c r="A77" s="18"/>
      <c r="B77" s="19"/>
      <c r="C77" s="13" t="str">
        <f>IF(Tableau134567891011[[#This Row],[Repère]]="","",VLOOKUP(Tableau134567891011[[#This Row],[Repère]],Tableau1[#All],3,FALSE))</f>
        <v/>
      </c>
      <c r="D77" s="13" t="str">
        <f>IF(Tableau134567891011[[#This Row],[Repère]]="","",VLOOKUP(Tableau134567891011[[#This Row],[Repère]],Tableau1[#All],4,FALSE))</f>
        <v/>
      </c>
      <c r="E77" s="13" t="str">
        <f>IF(Tableau134567891011[[#This Row],[Repère]]="","",VLOOKUP(Tableau134567891011[[#This Row],[Repère]],Tableau1[#All],5,FALSE))</f>
        <v/>
      </c>
      <c r="F77" s="13" t="str">
        <f>IF(Tableau134567891011[[#This Row],[Repère]]="","",VLOOKUP(Tableau134567891011[[#This Row],[Repère]],Tableau1[#All],6,FALSE))</f>
        <v/>
      </c>
      <c r="G77" s="13" t="str">
        <f>IF(Tableau134567891011[[#This Row],[Repère]]="","",VLOOKUP(Tableau134567891011[[#This Row],[Repère]],Tableau1[#All],7,FALSE))</f>
        <v/>
      </c>
      <c r="H77" s="13" t="str">
        <f>IF(Tableau134567891011[[#This Row],[Repère]]="","",VLOOKUP(Tableau134567891011[[#This Row],[Repère]],Tableau1[#All],8,FALSE))</f>
        <v/>
      </c>
      <c r="I77" s="13" t="str">
        <f>IF(Tableau134567891011[[#This Row],[Repère]]="","",VLOOKUP(Tableau134567891011[[#This Row],[Repère]],Tableau1[#All],9,FALSE))</f>
        <v/>
      </c>
      <c r="J77" s="13" t="str">
        <f>IF(Tableau134567891011[[#This Row],[Repère]]="","",VLOOKUP(Tableau134567891011[[#This Row],[Repère]],Tableau1[#All],10,FALSE))</f>
        <v/>
      </c>
      <c r="K77" s="13" t="str">
        <f>IF(Tableau134567891011[[#This Row],[Repère]]="","",VLOOKUP(Tableau134567891011[[#This Row],[Repère]],Tableau1[#All],11,FALSE))</f>
        <v/>
      </c>
      <c r="L77" s="14" t="str">
        <f>IF(Tableau134567891011[[#This Row],[Repère]]="","",VLOOKUP(Tableau134567891011[[#This Row],[Repère]],Tableau1[#All],12,FALSE))</f>
        <v/>
      </c>
    </row>
    <row r="78" spans="1:12" x14ac:dyDescent="0.3">
      <c r="A78" s="18"/>
      <c r="B78" s="19"/>
      <c r="C78" s="13" t="str">
        <f>IF(Tableau134567891011[[#This Row],[Repère]]="","",VLOOKUP(Tableau134567891011[[#This Row],[Repère]],Tableau1[#All],3,FALSE))</f>
        <v/>
      </c>
      <c r="D78" s="13" t="str">
        <f>IF(Tableau134567891011[[#This Row],[Repère]]="","",VLOOKUP(Tableau134567891011[[#This Row],[Repère]],Tableau1[#All],4,FALSE))</f>
        <v/>
      </c>
      <c r="E78" s="13" t="str">
        <f>IF(Tableau134567891011[[#This Row],[Repère]]="","",VLOOKUP(Tableau134567891011[[#This Row],[Repère]],Tableau1[#All],5,FALSE))</f>
        <v/>
      </c>
      <c r="F78" s="13" t="str">
        <f>IF(Tableau134567891011[[#This Row],[Repère]]="","",VLOOKUP(Tableau134567891011[[#This Row],[Repère]],Tableau1[#All],6,FALSE))</f>
        <v/>
      </c>
      <c r="G78" s="13" t="str">
        <f>IF(Tableau134567891011[[#This Row],[Repère]]="","",VLOOKUP(Tableau134567891011[[#This Row],[Repère]],Tableau1[#All],7,FALSE))</f>
        <v/>
      </c>
      <c r="H78" s="13" t="str">
        <f>IF(Tableau134567891011[[#This Row],[Repère]]="","",VLOOKUP(Tableau134567891011[[#This Row],[Repère]],Tableau1[#All],8,FALSE))</f>
        <v/>
      </c>
      <c r="I78" s="13" t="str">
        <f>IF(Tableau134567891011[[#This Row],[Repère]]="","",VLOOKUP(Tableau134567891011[[#This Row],[Repère]],Tableau1[#All],9,FALSE))</f>
        <v/>
      </c>
      <c r="J78" s="13" t="str">
        <f>IF(Tableau134567891011[[#This Row],[Repère]]="","",VLOOKUP(Tableau134567891011[[#This Row],[Repère]],Tableau1[#All],10,FALSE))</f>
        <v/>
      </c>
      <c r="K78" s="13" t="str">
        <f>IF(Tableau134567891011[[#This Row],[Repère]]="","",VLOOKUP(Tableau134567891011[[#This Row],[Repère]],Tableau1[#All],11,FALSE))</f>
        <v/>
      </c>
      <c r="L78" s="14" t="str">
        <f>IF(Tableau134567891011[[#This Row],[Repère]]="","",VLOOKUP(Tableau134567891011[[#This Row],[Repère]],Tableau1[#All],12,FALSE))</f>
        <v/>
      </c>
    </row>
    <row r="79" spans="1:12" x14ac:dyDescent="0.3">
      <c r="A79" s="18"/>
      <c r="B79" s="19"/>
      <c r="C79" s="13" t="str">
        <f>IF(Tableau134567891011[[#This Row],[Repère]]="","",VLOOKUP(Tableau134567891011[[#This Row],[Repère]],Tableau1[#All],3,FALSE))</f>
        <v/>
      </c>
      <c r="D79" s="13" t="str">
        <f>IF(Tableau134567891011[[#This Row],[Repère]]="","",VLOOKUP(Tableau134567891011[[#This Row],[Repère]],Tableau1[#All],4,FALSE))</f>
        <v/>
      </c>
      <c r="E79" s="13" t="str">
        <f>IF(Tableau134567891011[[#This Row],[Repère]]="","",VLOOKUP(Tableau134567891011[[#This Row],[Repère]],Tableau1[#All],5,FALSE))</f>
        <v/>
      </c>
      <c r="F79" s="13" t="str">
        <f>IF(Tableau134567891011[[#This Row],[Repère]]="","",VLOOKUP(Tableau134567891011[[#This Row],[Repère]],Tableau1[#All],6,FALSE))</f>
        <v/>
      </c>
      <c r="G79" s="13" t="str">
        <f>IF(Tableau134567891011[[#This Row],[Repère]]="","",VLOOKUP(Tableau134567891011[[#This Row],[Repère]],Tableau1[#All],7,FALSE))</f>
        <v/>
      </c>
      <c r="H79" s="13" t="str">
        <f>IF(Tableau134567891011[[#This Row],[Repère]]="","",VLOOKUP(Tableau134567891011[[#This Row],[Repère]],Tableau1[#All],8,FALSE))</f>
        <v/>
      </c>
      <c r="I79" s="13" t="str">
        <f>IF(Tableau134567891011[[#This Row],[Repère]]="","",VLOOKUP(Tableau134567891011[[#This Row],[Repère]],Tableau1[#All],9,FALSE))</f>
        <v/>
      </c>
      <c r="J79" s="13" t="str">
        <f>IF(Tableau134567891011[[#This Row],[Repère]]="","",VLOOKUP(Tableau134567891011[[#This Row],[Repère]],Tableau1[#All],10,FALSE))</f>
        <v/>
      </c>
      <c r="K79" s="13" t="str">
        <f>IF(Tableau134567891011[[#This Row],[Repère]]="","",VLOOKUP(Tableau134567891011[[#This Row],[Repère]],Tableau1[#All],11,FALSE))</f>
        <v/>
      </c>
      <c r="L79" s="14" t="str">
        <f>IF(Tableau134567891011[[#This Row],[Repère]]="","",VLOOKUP(Tableau134567891011[[#This Row],[Repère]],Tableau1[#All],12,FALSE))</f>
        <v/>
      </c>
    </row>
    <row r="80" spans="1:12" x14ac:dyDescent="0.3">
      <c r="A80" s="18"/>
      <c r="B80" s="19"/>
      <c r="C80" s="13" t="str">
        <f>IF(Tableau134567891011[[#This Row],[Repère]]="","",VLOOKUP(Tableau134567891011[[#This Row],[Repère]],Tableau1[#All],3,FALSE))</f>
        <v/>
      </c>
      <c r="D80" s="13" t="str">
        <f>IF(Tableau134567891011[[#This Row],[Repère]]="","",VLOOKUP(Tableau134567891011[[#This Row],[Repère]],Tableau1[#All],4,FALSE))</f>
        <v/>
      </c>
      <c r="E80" s="13" t="str">
        <f>IF(Tableau134567891011[[#This Row],[Repère]]="","",VLOOKUP(Tableau134567891011[[#This Row],[Repère]],Tableau1[#All],5,FALSE))</f>
        <v/>
      </c>
      <c r="F80" s="13" t="str">
        <f>IF(Tableau134567891011[[#This Row],[Repère]]="","",VLOOKUP(Tableau134567891011[[#This Row],[Repère]],Tableau1[#All],6,FALSE))</f>
        <v/>
      </c>
      <c r="G80" s="13" t="str">
        <f>IF(Tableau134567891011[[#This Row],[Repère]]="","",VLOOKUP(Tableau134567891011[[#This Row],[Repère]],Tableau1[#All],7,FALSE))</f>
        <v/>
      </c>
      <c r="H80" s="13" t="str">
        <f>IF(Tableau134567891011[[#This Row],[Repère]]="","",VLOOKUP(Tableau134567891011[[#This Row],[Repère]],Tableau1[#All],8,FALSE))</f>
        <v/>
      </c>
      <c r="I80" s="13" t="str">
        <f>IF(Tableau134567891011[[#This Row],[Repère]]="","",VLOOKUP(Tableau134567891011[[#This Row],[Repère]],Tableau1[#All],9,FALSE))</f>
        <v/>
      </c>
      <c r="J80" s="13" t="str">
        <f>IF(Tableau134567891011[[#This Row],[Repère]]="","",VLOOKUP(Tableau134567891011[[#This Row],[Repère]],Tableau1[#All],10,FALSE))</f>
        <v/>
      </c>
      <c r="K80" s="13" t="str">
        <f>IF(Tableau134567891011[[#This Row],[Repère]]="","",VLOOKUP(Tableau134567891011[[#This Row],[Repère]],Tableau1[#All],11,FALSE))</f>
        <v/>
      </c>
      <c r="L80" s="14" t="str">
        <f>IF(Tableau134567891011[[#This Row],[Repère]]="","",VLOOKUP(Tableau134567891011[[#This Row],[Repère]],Tableau1[#All],12,FALSE))</f>
        <v/>
      </c>
    </row>
    <row r="81" spans="1:12" x14ac:dyDescent="0.3">
      <c r="A81" s="18"/>
      <c r="B81" s="19"/>
      <c r="C81" s="13" t="str">
        <f>IF(Tableau134567891011[[#This Row],[Repère]]="","",VLOOKUP(Tableau134567891011[[#This Row],[Repère]],Tableau1[#All],3,FALSE))</f>
        <v/>
      </c>
      <c r="D81" s="13" t="str">
        <f>IF(Tableau134567891011[[#This Row],[Repère]]="","",VLOOKUP(Tableau134567891011[[#This Row],[Repère]],Tableau1[#All],4,FALSE))</f>
        <v/>
      </c>
      <c r="E81" s="13" t="str">
        <f>IF(Tableau134567891011[[#This Row],[Repère]]="","",VLOOKUP(Tableau134567891011[[#This Row],[Repère]],Tableau1[#All],5,FALSE))</f>
        <v/>
      </c>
      <c r="F81" s="13" t="str">
        <f>IF(Tableau134567891011[[#This Row],[Repère]]="","",VLOOKUP(Tableau134567891011[[#This Row],[Repère]],Tableau1[#All],6,FALSE))</f>
        <v/>
      </c>
      <c r="G81" s="13" t="str">
        <f>IF(Tableau134567891011[[#This Row],[Repère]]="","",VLOOKUP(Tableau134567891011[[#This Row],[Repère]],Tableau1[#All],7,FALSE))</f>
        <v/>
      </c>
      <c r="H81" s="13" t="str">
        <f>IF(Tableau134567891011[[#This Row],[Repère]]="","",VLOOKUP(Tableau134567891011[[#This Row],[Repère]],Tableau1[#All],8,FALSE))</f>
        <v/>
      </c>
      <c r="I81" s="13" t="str">
        <f>IF(Tableau134567891011[[#This Row],[Repère]]="","",VLOOKUP(Tableau134567891011[[#This Row],[Repère]],Tableau1[#All],9,FALSE))</f>
        <v/>
      </c>
      <c r="J81" s="13" t="str">
        <f>IF(Tableau134567891011[[#This Row],[Repère]]="","",VLOOKUP(Tableau134567891011[[#This Row],[Repère]],Tableau1[#All],10,FALSE))</f>
        <v/>
      </c>
      <c r="K81" s="13" t="str">
        <f>IF(Tableau134567891011[[#This Row],[Repère]]="","",VLOOKUP(Tableau134567891011[[#This Row],[Repère]],Tableau1[#All],11,FALSE))</f>
        <v/>
      </c>
      <c r="L81" s="14" t="str">
        <f>IF(Tableau134567891011[[#This Row],[Repère]]="","",VLOOKUP(Tableau134567891011[[#This Row],[Repère]],Tableau1[#All],12,FALSE))</f>
        <v/>
      </c>
    </row>
    <row r="82" spans="1:12" x14ac:dyDescent="0.3">
      <c r="A82" s="18"/>
      <c r="B82" s="19"/>
      <c r="C82" s="13" t="str">
        <f>IF(Tableau134567891011[[#This Row],[Repère]]="","",VLOOKUP(Tableau134567891011[[#This Row],[Repère]],Tableau1[#All],3,FALSE))</f>
        <v/>
      </c>
      <c r="D82" s="13" t="str">
        <f>IF(Tableau134567891011[[#This Row],[Repère]]="","",VLOOKUP(Tableau134567891011[[#This Row],[Repère]],Tableau1[#All],4,FALSE))</f>
        <v/>
      </c>
      <c r="E82" s="13" t="str">
        <f>IF(Tableau134567891011[[#This Row],[Repère]]="","",VLOOKUP(Tableau134567891011[[#This Row],[Repère]],Tableau1[#All],5,FALSE))</f>
        <v/>
      </c>
      <c r="F82" s="13" t="str">
        <f>IF(Tableau134567891011[[#This Row],[Repère]]="","",VLOOKUP(Tableau134567891011[[#This Row],[Repère]],Tableau1[#All],6,FALSE))</f>
        <v/>
      </c>
      <c r="G82" s="13" t="str">
        <f>IF(Tableau134567891011[[#This Row],[Repère]]="","",VLOOKUP(Tableau134567891011[[#This Row],[Repère]],Tableau1[#All],7,FALSE))</f>
        <v/>
      </c>
      <c r="H82" s="13" t="str">
        <f>IF(Tableau134567891011[[#This Row],[Repère]]="","",VLOOKUP(Tableau134567891011[[#This Row],[Repère]],Tableau1[#All],8,FALSE))</f>
        <v/>
      </c>
      <c r="I82" s="13" t="str">
        <f>IF(Tableau134567891011[[#This Row],[Repère]]="","",VLOOKUP(Tableau134567891011[[#This Row],[Repère]],Tableau1[#All],9,FALSE))</f>
        <v/>
      </c>
      <c r="J82" s="13" t="str">
        <f>IF(Tableau134567891011[[#This Row],[Repère]]="","",VLOOKUP(Tableau134567891011[[#This Row],[Repère]],Tableau1[#All],10,FALSE))</f>
        <v/>
      </c>
      <c r="K82" s="13" t="str">
        <f>IF(Tableau134567891011[[#This Row],[Repère]]="","",VLOOKUP(Tableau134567891011[[#This Row],[Repère]],Tableau1[#All],11,FALSE))</f>
        <v/>
      </c>
      <c r="L82" s="14" t="str">
        <f>IF(Tableau134567891011[[#This Row],[Repère]]="","",VLOOKUP(Tableau134567891011[[#This Row],[Repère]],Tableau1[#All],12,FALSE))</f>
        <v/>
      </c>
    </row>
    <row r="83" spans="1:12" x14ac:dyDescent="0.3">
      <c r="A83" s="18"/>
      <c r="B83" s="19"/>
      <c r="C83" s="13" t="str">
        <f>IF(Tableau134567891011[[#This Row],[Repère]]="","",VLOOKUP(Tableau134567891011[[#This Row],[Repère]],Tableau1[#All],3,FALSE))</f>
        <v/>
      </c>
      <c r="D83" s="13" t="str">
        <f>IF(Tableau134567891011[[#This Row],[Repère]]="","",VLOOKUP(Tableau134567891011[[#This Row],[Repère]],Tableau1[#All],4,FALSE))</f>
        <v/>
      </c>
      <c r="E83" s="13" t="str">
        <f>IF(Tableau134567891011[[#This Row],[Repère]]="","",VLOOKUP(Tableau134567891011[[#This Row],[Repère]],Tableau1[#All],5,FALSE))</f>
        <v/>
      </c>
      <c r="F83" s="13" t="str">
        <f>IF(Tableau134567891011[[#This Row],[Repère]]="","",VLOOKUP(Tableau134567891011[[#This Row],[Repère]],Tableau1[#All],6,FALSE))</f>
        <v/>
      </c>
      <c r="G83" s="13" t="str">
        <f>IF(Tableau134567891011[[#This Row],[Repère]]="","",VLOOKUP(Tableau134567891011[[#This Row],[Repère]],Tableau1[#All],7,FALSE))</f>
        <v/>
      </c>
      <c r="H83" s="13" t="str">
        <f>IF(Tableau134567891011[[#This Row],[Repère]]="","",VLOOKUP(Tableau134567891011[[#This Row],[Repère]],Tableau1[#All],8,FALSE))</f>
        <v/>
      </c>
      <c r="I83" s="13" t="str">
        <f>IF(Tableau134567891011[[#This Row],[Repère]]="","",VLOOKUP(Tableau134567891011[[#This Row],[Repère]],Tableau1[#All],9,FALSE))</f>
        <v/>
      </c>
      <c r="J83" s="13" t="str">
        <f>IF(Tableau134567891011[[#This Row],[Repère]]="","",VLOOKUP(Tableau134567891011[[#This Row],[Repère]],Tableau1[#All],10,FALSE))</f>
        <v/>
      </c>
      <c r="K83" s="13" t="str">
        <f>IF(Tableau134567891011[[#This Row],[Repère]]="","",VLOOKUP(Tableau134567891011[[#This Row],[Repère]],Tableau1[#All],11,FALSE))</f>
        <v/>
      </c>
      <c r="L83" s="14" t="str">
        <f>IF(Tableau134567891011[[#This Row],[Repère]]="","",VLOOKUP(Tableau134567891011[[#This Row],[Repère]],Tableau1[#All],12,FALSE))</f>
        <v/>
      </c>
    </row>
    <row r="84" spans="1:12" x14ac:dyDescent="0.3">
      <c r="A84" s="18"/>
      <c r="B84" s="19"/>
      <c r="C84" s="13" t="str">
        <f>IF(Tableau134567891011[[#This Row],[Repère]]="","",VLOOKUP(Tableau134567891011[[#This Row],[Repère]],Tableau1[#All],3,FALSE))</f>
        <v/>
      </c>
      <c r="D84" s="13" t="str">
        <f>IF(Tableau134567891011[[#This Row],[Repère]]="","",VLOOKUP(Tableau134567891011[[#This Row],[Repère]],Tableau1[#All],4,FALSE))</f>
        <v/>
      </c>
      <c r="E84" s="13" t="str">
        <f>IF(Tableau134567891011[[#This Row],[Repère]]="","",VLOOKUP(Tableau134567891011[[#This Row],[Repère]],Tableau1[#All],5,FALSE))</f>
        <v/>
      </c>
      <c r="F84" s="13" t="str">
        <f>IF(Tableau134567891011[[#This Row],[Repère]]="","",VLOOKUP(Tableau134567891011[[#This Row],[Repère]],Tableau1[#All],6,FALSE))</f>
        <v/>
      </c>
      <c r="G84" s="13" t="str">
        <f>IF(Tableau134567891011[[#This Row],[Repère]]="","",VLOOKUP(Tableau134567891011[[#This Row],[Repère]],Tableau1[#All],7,FALSE))</f>
        <v/>
      </c>
      <c r="H84" s="13" t="str">
        <f>IF(Tableau134567891011[[#This Row],[Repère]]="","",VLOOKUP(Tableau134567891011[[#This Row],[Repère]],Tableau1[#All],8,FALSE))</f>
        <v/>
      </c>
      <c r="I84" s="13" t="str">
        <f>IF(Tableau134567891011[[#This Row],[Repère]]="","",VLOOKUP(Tableau134567891011[[#This Row],[Repère]],Tableau1[#All],9,FALSE))</f>
        <v/>
      </c>
      <c r="J84" s="13" t="str">
        <f>IF(Tableau134567891011[[#This Row],[Repère]]="","",VLOOKUP(Tableau134567891011[[#This Row],[Repère]],Tableau1[#All],10,FALSE))</f>
        <v/>
      </c>
      <c r="K84" s="13" t="str">
        <f>IF(Tableau134567891011[[#This Row],[Repère]]="","",VLOOKUP(Tableau134567891011[[#This Row],[Repère]],Tableau1[#All],11,FALSE))</f>
        <v/>
      </c>
      <c r="L84" s="14" t="str">
        <f>IF(Tableau134567891011[[#This Row],[Repère]]="","",VLOOKUP(Tableau134567891011[[#This Row],[Repère]],Tableau1[#All],12,FALSE))</f>
        <v/>
      </c>
    </row>
    <row r="85" spans="1:12" x14ac:dyDescent="0.3">
      <c r="A85" s="18"/>
      <c r="B85" s="19"/>
      <c r="C85" s="13" t="str">
        <f>IF(Tableau134567891011[[#This Row],[Repère]]="","",VLOOKUP(Tableau134567891011[[#This Row],[Repère]],Tableau1[#All],3,FALSE))</f>
        <v/>
      </c>
      <c r="D85" s="13" t="str">
        <f>IF(Tableau134567891011[[#This Row],[Repère]]="","",VLOOKUP(Tableau134567891011[[#This Row],[Repère]],Tableau1[#All],4,FALSE))</f>
        <v/>
      </c>
      <c r="E85" s="13" t="str">
        <f>IF(Tableau134567891011[[#This Row],[Repère]]="","",VLOOKUP(Tableau134567891011[[#This Row],[Repère]],Tableau1[#All],5,FALSE))</f>
        <v/>
      </c>
      <c r="F85" s="13" t="str">
        <f>IF(Tableau134567891011[[#This Row],[Repère]]="","",VLOOKUP(Tableau134567891011[[#This Row],[Repère]],Tableau1[#All],6,FALSE))</f>
        <v/>
      </c>
      <c r="G85" s="13" t="str">
        <f>IF(Tableau134567891011[[#This Row],[Repère]]="","",VLOOKUP(Tableau134567891011[[#This Row],[Repère]],Tableau1[#All],7,FALSE))</f>
        <v/>
      </c>
      <c r="H85" s="13" t="str">
        <f>IF(Tableau134567891011[[#This Row],[Repère]]="","",VLOOKUP(Tableau134567891011[[#This Row],[Repère]],Tableau1[#All],8,FALSE))</f>
        <v/>
      </c>
      <c r="I85" s="13" t="str">
        <f>IF(Tableau134567891011[[#This Row],[Repère]]="","",VLOOKUP(Tableau134567891011[[#This Row],[Repère]],Tableau1[#All],9,FALSE))</f>
        <v/>
      </c>
      <c r="J85" s="13" t="str">
        <f>IF(Tableau134567891011[[#This Row],[Repère]]="","",VLOOKUP(Tableau134567891011[[#This Row],[Repère]],Tableau1[#All],10,FALSE))</f>
        <v/>
      </c>
      <c r="K85" s="13" t="str">
        <f>IF(Tableau134567891011[[#This Row],[Repère]]="","",VLOOKUP(Tableau134567891011[[#This Row],[Repère]],Tableau1[#All],11,FALSE))</f>
        <v/>
      </c>
      <c r="L85" s="14" t="str">
        <f>IF(Tableau134567891011[[#This Row],[Repère]]="","",VLOOKUP(Tableau134567891011[[#This Row],[Repère]],Tableau1[#All],12,FALSE))</f>
        <v/>
      </c>
    </row>
    <row r="86" spans="1:12" x14ac:dyDescent="0.3">
      <c r="A86" s="18"/>
      <c r="B86" s="19"/>
      <c r="C86" s="13" t="str">
        <f>IF(Tableau134567891011[[#This Row],[Repère]]="","",VLOOKUP(Tableau134567891011[[#This Row],[Repère]],Tableau1[#All],3,FALSE))</f>
        <v/>
      </c>
      <c r="D86" s="13" t="str">
        <f>IF(Tableau134567891011[[#This Row],[Repère]]="","",VLOOKUP(Tableau134567891011[[#This Row],[Repère]],Tableau1[#All],4,FALSE))</f>
        <v/>
      </c>
      <c r="E86" s="13" t="str">
        <f>IF(Tableau134567891011[[#This Row],[Repère]]="","",VLOOKUP(Tableau134567891011[[#This Row],[Repère]],Tableau1[#All],5,FALSE))</f>
        <v/>
      </c>
      <c r="F86" s="13" t="str">
        <f>IF(Tableau134567891011[[#This Row],[Repère]]="","",VLOOKUP(Tableau134567891011[[#This Row],[Repère]],Tableau1[#All],6,FALSE))</f>
        <v/>
      </c>
      <c r="G86" s="13" t="str">
        <f>IF(Tableau134567891011[[#This Row],[Repère]]="","",VLOOKUP(Tableau134567891011[[#This Row],[Repère]],Tableau1[#All],7,FALSE))</f>
        <v/>
      </c>
      <c r="H86" s="13" t="str">
        <f>IF(Tableau134567891011[[#This Row],[Repère]]="","",VLOOKUP(Tableau134567891011[[#This Row],[Repère]],Tableau1[#All],8,FALSE))</f>
        <v/>
      </c>
      <c r="I86" s="13" t="str">
        <f>IF(Tableau134567891011[[#This Row],[Repère]]="","",VLOOKUP(Tableau134567891011[[#This Row],[Repère]],Tableau1[#All],9,FALSE))</f>
        <v/>
      </c>
      <c r="J86" s="13" t="str">
        <f>IF(Tableau134567891011[[#This Row],[Repère]]="","",VLOOKUP(Tableau134567891011[[#This Row],[Repère]],Tableau1[#All],10,FALSE))</f>
        <v/>
      </c>
      <c r="K86" s="13" t="str">
        <f>IF(Tableau134567891011[[#This Row],[Repère]]="","",VLOOKUP(Tableau134567891011[[#This Row],[Repère]],Tableau1[#All],11,FALSE))</f>
        <v/>
      </c>
      <c r="L86" s="14" t="str">
        <f>IF(Tableau134567891011[[#This Row],[Repère]]="","",VLOOKUP(Tableau134567891011[[#This Row],[Repère]],Tableau1[#All],12,FALSE))</f>
        <v/>
      </c>
    </row>
    <row r="87" spans="1:12" x14ac:dyDescent="0.3">
      <c r="A87" s="18"/>
      <c r="B87" s="19"/>
      <c r="C87" s="13" t="str">
        <f>IF(Tableau134567891011[[#This Row],[Repère]]="","",VLOOKUP(Tableau134567891011[[#This Row],[Repère]],Tableau1[#All],3,FALSE))</f>
        <v/>
      </c>
      <c r="D87" s="13" t="str">
        <f>IF(Tableau134567891011[[#This Row],[Repère]]="","",VLOOKUP(Tableau134567891011[[#This Row],[Repère]],Tableau1[#All],4,FALSE))</f>
        <v/>
      </c>
      <c r="E87" s="13" t="str">
        <f>IF(Tableau134567891011[[#This Row],[Repère]]="","",VLOOKUP(Tableau134567891011[[#This Row],[Repère]],Tableau1[#All],5,FALSE))</f>
        <v/>
      </c>
      <c r="F87" s="13" t="str">
        <f>IF(Tableau134567891011[[#This Row],[Repère]]="","",VLOOKUP(Tableau134567891011[[#This Row],[Repère]],Tableau1[#All],6,FALSE))</f>
        <v/>
      </c>
      <c r="G87" s="13" t="str">
        <f>IF(Tableau134567891011[[#This Row],[Repère]]="","",VLOOKUP(Tableau134567891011[[#This Row],[Repère]],Tableau1[#All],7,FALSE))</f>
        <v/>
      </c>
      <c r="H87" s="13" t="str">
        <f>IF(Tableau134567891011[[#This Row],[Repère]]="","",VLOOKUP(Tableau134567891011[[#This Row],[Repère]],Tableau1[#All],8,FALSE))</f>
        <v/>
      </c>
      <c r="I87" s="13" t="str">
        <f>IF(Tableau134567891011[[#This Row],[Repère]]="","",VLOOKUP(Tableau134567891011[[#This Row],[Repère]],Tableau1[#All],9,FALSE))</f>
        <v/>
      </c>
      <c r="J87" s="13" t="str">
        <f>IF(Tableau134567891011[[#This Row],[Repère]]="","",VLOOKUP(Tableau134567891011[[#This Row],[Repère]],Tableau1[#All],10,FALSE))</f>
        <v/>
      </c>
      <c r="K87" s="13" t="str">
        <f>IF(Tableau134567891011[[#This Row],[Repère]]="","",VLOOKUP(Tableau134567891011[[#This Row],[Repère]],Tableau1[#All],11,FALSE))</f>
        <v/>
      </c>
      <c r="L87" s="14" t="str">
        <f>IF(Tableau134567891011[[#This Row],[Repère]]="","",VLOOKUP(Tableau134567891011[[#This Row],[Repère]],Tableau1[#All],12,FALSE))</f>
        <v/>
      </c>
    </row>
    <row r="88" spans="1:12" x14ac:dyDescent="0.3">
      <c r="A88" s="18"/>
      <c r="B88" s="19"/>
      <c r="C88" s="13" t="str">
        <f>IF(Tableau134567891011[[#This Row],[Repère]]="","",VLOOKUP(Tableau134567891011[[#This Row],[Repère]],Tableau1[#All],3,FALSE))</f>
        <v/>
      </c>
      <c r="D88" s="13" t="str">
        <f>IF(Tableau134567891011[[#This Row],[Repère]]="","",VLOOKUP(Tableau134567891011[[#This Row],[Repère]],Tableau1[#All],4,FALSE))</f>
        <v/>
      </c>
      <c r="E88" s="13" t="str">
        <f>IF(Tableau134567891011[[#This Row],[Repère]]="","",VLOOKUP(Tableau134567891011[[#This Row],[Repère]],Tableau1[#All],5,FALSE))</f>
        <v/>
      </c>
      <c r="F88" s="13" t="str">
        <f>IF(Tableau134567891011[[#This Row],[Repère]]="","",VLOOKUP(Tableau134567891011[[#This Row],[Repère]],Tableau1[#All],6,FALSE))</f>
        <v/>
      </c>
      <c r="G88" s="13" t="str">
        <f>IF(Tableau134567891011[[#This Row],[Repère]]="","",VLOOKUP(Tableau134567891011[[#This Row],[Repère]],Tableau1[#All],7,FALSE))</f>
        <v/>
      </c>
      <c r="H88" s="13" t="str">
        <f>IF(Tableau134567891011[[#This Row],[Repère]]="","",VLOOKUP(Tableau134567891011[[#This Row],[Repère]],Tableau1[#All],8,FALSE))</f>
        <v/>
      </c>
      <c r="I88" s="13" t="str">
        <f>IF(Tableau134567891011[[#This Row],[Repère]]="","",VLOOKUP(Tableau134567891011[[#This Row],[Repère]],Tableau1[#All],9,FALSE))</f>
        <v/>
      </c>
      <c r="J88" s="13" t="str">
        <f>IF(Tableau134567891011[[#This Row],[Repère]]="","",VLOOKUP(Tableau134567891011[[#This Row],[Repère]],Tableau1[#All],10,FALSE))</f>
        <v/>
      </c>
      <c r="K88" s="13" t="str">
        <f>IF(Tableau134567891011[[#This Row],[Repère]]="","",VLOOKUP(Tableau134567891011[[#This Row],[Repère]],Tableau1[#All],11,FALSE))</f>
        <v/>
      </c>
      <c r="L88" s="14" t="str">
        <f>IF(Tableau134567891011[[#This Row],[Repère]]="","",VLOOKUP(Tableau134567891011[[#This Row],[Repère]],Tableau1[#All],12,FALSE))</f>
        <v/>
      </c>
    </row>
    <row r="89" spans="1:12" x14ac:dyDescent="0.3">
      <c r="A89" s="18"/>
      <c r="B89" s="19"/>
      <c r="C89" s="13" t="str">
        <f>IF(Tableau134567891011[[#This Row],[Repère]]="","",VLOOKUP(Tableau134567891011[[#This Row],[Repère]],Tableau1[#All],3,FALSE))</f>
        <v/>
      </c>
      <c r="D89" s="13" t="str">
        <f>IF(Tableau134567891011[[#This Row],[Repère]]="","",VLOOKUP(Tableau134567891011[[#This Row],[Repère]],Tableau1[#All],4,FALSE))</f>
        <v/>
      </c>
      <c r="E89" s="13" t="str">
        <f>IF(Tableau134567891011[[#This Row],[Repère]]="","",VLOOKUP(Tableau134567891011[[#This Row],[Repère]],Tableau1[#All],5,FALSE))</f>
        <v/>
      </c>
      <c r="F89" s="13" t="str">
        <f>IF(Tableau134567891011[[#This Row],[Repère]]="","",VLOOKUP(Tableau134567891011[[#This Row],[Repère]],Tableau1[#All],6,FALSE))</f>
        <v/>
      </c>
      <c r="G89" s="13" t="str">
        <f>IF(Tableau134567891011[[#This Row],[Repère]]="","",VLOOKUP(Tableau134567891011[[#This Row],[Repère]],Tableau1[#All],7,FALSE))</f>
        <v/>
      </c>
      <c r="H89" s="13" t="str">
        <f>IF(Tableau134567891011[[#This Row],[Repère]]="","",VLOOKUP(Tableau134567891011[[#This Row],[Repère]],Tableau1[#All],8,FALSE))</f>
        <v/>
      </c>
      <c r="I89" s="13" t="str">
        <f>IF(Tableau134567891011[[#This Row],[Repère]]="","",VLOOKUP(Tableau134567891011[[#This Row],[Repère]],Tableau1[#All],9,FALSE))</f>
        <v/>
      </c>
      <c r="J89" s="13" t="str">
        <f>IF(Tableau134567891011[[#This Row],[Repère]]="","",VLOOKUP(Tableau134567891011[[#This Row],[Repère]],Tableau1[#All],10,FALSE))</f>
        <v/>
      </c>
      <c r="K89" s="13" t="str">
        <f>IF(Tableau134567891011[[#This Row],[Repère]]="","",VLOOKUP(Tableau134567891011[[#This Row],[Repère]],Tableau1[#All],11,FALSE))</f>
        <v/>
      </c>
      <c r="L89" s="14" t="str">
        <f>IF(Tableau134567891011[[#This Row],[Repère]]="","",VLOOKUP(Tableau134567891011[[#This Row],[Repère]],Tableau1[#All],12,FALSE))</f>
        <v/>
      </c>
    </row>
    <row r="90" spans="1:12" x14ac:dyDescent="0.3">
      <c r="A90" s="18"/>
      <c r="B90" s="19"/>
      <c r="C90" s="13" t="str">
        <f>IF(Tableau134567891011[[#This Row],[Repère]]="","",VLOOKUP(Tableau134567891011[[#This Row],[Repère]],Tableau1[#All],3,FALSE))</f>
        <v/>
      </c>
      <c r="D90" s="13" t="str">
        <f>IF(Tableau134567891011[[#This Row],[Repère]]="","",VLOOKUP(Tableau134567891011[[#This Row],[Repère]],Tableau1[#All],4,FALSE))</f>
        <v/>
      </c>
      <c r="E90" s="13" t="str">
        <f>IF(Tableau134567891011[[#This Row],[Repère]]="","",VLOOKUP(Tableau134567891011[[#This Row],[Repère]],Tableau1[#All],5,FALSE))</f>
        <v/>
      </c>
      <c r="F90" s="13" t="str">
        <f>IF(Tableau134567891011[[#This Row],[Repère]]="","",VLOOKUP(Tableau134567891011[[#This Row],[Repère]],Tableau1[#All],6,FALSE))</f>
        <v/>
      </c>
      <c r="G90" s="13" t="str">
        <f>IF(Tableau134567891011[[#This Row],[Repère]]="","",VLOOKUP(Tableau134567891011[[#This Row],[Repère]],Tableau1[#All],7,FALSE))</f>
        <v/>
      </c>
      <c r="H90" s="13" t="str">
        <f>IF(Tableau134567891011[[#This Row],[Repère]]="","",VLOOKUP(Tableau134567891011[[#This Row],[Repère]],Tableau1[#All],8,FALSE))</f>
        <v/>
      </c>
      <c r="I90" s="13" t="str">
        <f>IF(Tableau134567891011[[#This Row],[Repère]]="","",VLOOKUP(Tableau134567891011[[#This Row],[Repère]],Tableau1[#All],9,FALSE))</f>
        <v/>
      </c>
      <c r="J90" s="13" t="str">
        <f>IF(Tableau134567891011[[#This Row],[Repère]]="","",VLOOKUP(Tableau134567891011[[#This Row],[Repère]],Tableau1[#All],10,FALSE))</f>
        <v/>
      </c>
      <c r="K90" s="13" t="str">
        <f>IF(Tableau134567891011[[#This Row],[Repère]]="","",VLOOKUP(Tableau134567891011[[#This Row],[Repère]],Tableau1[#All],11,FALSE))</f>
        <v/>
      </c>
      <c r="L90" s="14" t="str">
        <f>IF(Tableau134567891011[[#This Row],[Repère]]="","",VLOOKUP(Tableau134567891011[[#This Row],[Repère]],Tableau1[#All],12,FALSE))</f>
        <v/>
      </c>
    </row>
    <row r="91" spans="1:12" x14ac:dyDescent="0.3">
      <c r="A91" s="18"/>
      <c r="B91" s="19"/>
      <c r="C91" s="13" t="str">
        <f>IF(Tableau134567891011[[#This Row],[Repère]]="","",VLOOKUP(Tableau134567891011[[#This Row],[Repère]],Tableau1[#All],3,FALSE))</f>
        <v/>
      </c>
      <c r="D91" s="13" t="str">
        <f>IF(Tableau134567891011[[#This Row],[Repère]]="","",VLOOKUP(Tableau134567891011[[#This Row],[Repère]],Tableau1[#All],4,FALSE))</f>
        <v/>
      </c>
      <c r="E91" s="13" t="str">
        <f>IF(Tableau134567891011[[#This Row],[Repère]]="","",VLOOKUP(Tableau134567891011[[#This Row],[Repère]],Tableau1[#All],5,FALSE))</f>
        <v/>
      </c>
      <c r="F91" s="13" t="str">
        <f>IF(Tableau134567891011[[#This Row],[Repère]]="","",VLOOKUP(Tableau134567891011[[#This Row],[Repère]],Tableau1[#All],6,FALSE))</f>
        <v/>
      </c>
      <c r="G91" s="13" t="str">
        <f>IF(Tableau134567891011[[#This Row],[Repère]]="","",VLOOKUP(Tableau134567891011[[#This Row],[Repère]],Tableau1[#All],7,FALSE))</f>
        <v/>
      </c>
      <c r="H91" s="13" t="str">
        <f>IF(Tableau134567891011[[#This Row],[Repère]]="","",VLOOKUP(Tableau134567891011[[#This Row],[Repère]],Tableau1[#All],8,FALSE))</f>
        <v/>
      </c>
      <c r="I91" s="13" t="str">
        <f>IF(Tableau134567891011[[#This Row],[Repère]]="","",VLOOKUP(Tableau134567891011[[#This Row],[Repère]],Tableau1[#All],9,FALSE))</f>
        <v/>
      </c>
      <c r="J91" s="13" t="str">
        <f>IF(Tableau134567891011[[#This Row],[Repère]]="","",VLOOKUP(Tableau134567891011[[#This Row],[Repère]],Tableau1[#All],10,FALSE))</f>
        <v/>
      </c>
      <c r="K91" s="13" t="str">
        <f>IF(Tableau134567891011[[#This Row],[Repère]]="","",VLOOKUP(Tableau134567891011[[#This Row],[Repère]],Tableau1[#All],11,FALSE))</f>
        <v/>
      </c>
      <c r="L91" s="14" t="str">
        <f>IF(Tableau134567891011[[#This Row],[Repère]]="","",VLOOKUP(Tableau134567891011[[#This Row],[Repère]],Tableau1[#All],12,FALSE))</f>
        <v/>
      </c>
    </row>
    <row r="92" spans="1:12" x14ac:dyDescent="0.3">
      <c r="A92" s="18"/>
      <c r="B92" s="19"/>
      <c r="C92" s="13" t="str">
        <f>IF(Tableau134567891011[[#This Row],[Repère]]="","",VLOOKUP(Tableau134567891011[[#This Row],[Repère]],Tableau1[#All],3,FALSE))</f>
        <v/>
      </c>
      <c r="D92" s="13" t="str">
        <f>IF(Tableau134567891011[[#This Row],[Repère]]="","",VLOOKUP(Tableau134567891011[[#This Row],[Repère]],Tableau1[#All],4,FALSE))</f>
        <v/>
      </c>
      <c r="E92" s="13" t="str">
        <f>IF(Tableau134567891011[[#This Row],[Repère]]="","",VLOOKUP(Tableau134567891011[[#This Row],[Repère]],Tableau1[#All],5,FALSE))</f>
        <v/>
      </c>
      <c r="F92" s="13" t="str">
        <f>IF(Tableau134567891011[[#This Row],[Repère]]="","",VLOOKUP(Tableau134567891011[[#This Row],[Repère]],Tableau1[#All],6,FALSE))</f>
        <v/>
      </c>
      <c r="G92" s="13" t="str">
        <f>IF(Tableau134567891011[[#This Row],[Repère]]="","",VLOOKUP(Tableau134567891011[[#This Row],[Repère]],Tableau1[#All],7,FALSE))</f>
        <v/>
      </c>
      <c r="H92" s="13" t="str">
        <f>IF(Tableau134567891011[[#This Row],[Repère]]="","",VLOOKUP(Tableau134567891011[[#This Row],[Repère]],Tableau1[#All],8,FALSE))</f>
        <v/>
      </c>
      <c r="I92" s="13" t="str">
        <f>IF(Tableau134567891011[[#This Row],[Repère]]="","",VLOOKUP(Tableau134567891011[[#This Row],[Repère]],Tableau1[#All],9,FALSE))</f>
        <v/>
      </c>
      <c r="J92" s="13" t="str">
        <f>IF(Tableau134567891011[[#This Row],[Repère]]="","",VLOOKUP(Tableau134567891011[[#This Row],[Repère]],Tableau1[#All],10,FALSE))</f>
        <v/>
      </c>
      <c r="K92" s="13" t="str">
        <f>IF(Tableau134567891011[[#This Row],[Repère]]="","",VLOOKUP(Tableau134567891011[[#This Row],[Repère]],Tableau1[#All],11,FALSE))</f>
        <v/>
      </c>
      <c r="L92" s="14" t="str">
        <f>IF(Tableau134567891011[[#This Row],[Repère]]="","",VLOOKUP(Tableau134567891011[[#This Row],[Repère]],Tableau1[#All],12,FALSE))</f>
        <v/>
      </c>
    </row>
    <row r="93" spans="1:12" x14ac:dyDescent="0.3">
      <c r="A93" s="18"/>
      <c r="B93" s="19"/>
      <c r="C93" s="13" t="str">
        <f>IF(Tableau134567891011[[#This Row],[Repère]]="","",VLOOKUP(Tableau134567891011[[#This Row],[Repère]],Tableau1[#All],3,FALSE))</f>
        <v/>
      </c>
      <c r="D93" s="13" t="str">
        <f>IF(Tableau134567891011[[#This Row],[Repère]]="","",VLOOKUP(Tableau134567891011[[#This Row],[Repère]],Tableau1[#All],4,FALSE))</f>
        <v/>
      </c>
      <c r="E93" s="13" t="str">
        <f>IF(Tableau134567891011[[#This Row],[Repère]]="","",VLOOKUP(Tableau134567891011[[#This Row],[Repère]],Tableau1[#All],5,FALSE))</f>
        <v/>
      </c>
      <c r="F93" s="13" t="str">
        <f>IF(Tableau134567891011[[#This Row],[Repère]]="","",VLOOKUP(Tableau134567891011[[#This Row],[Repère]],Tableau1[#All],6,FALSE))</f>
        <v/>
      </c>
      <c r="G93" s="13" t="str">
        <f>IF(Tableau134567891011[[#This Row],[Repère]]="","",VLOOKUP(Tableau134567891011[[#This Row],[Repère]],Tableau1[#All],7,FALSE))</f>
        <v/>
      </c>
      <c r="H93" s="13" t="str">
        <f>IF(Tableau134567891011[[#This Row],[Repère]]="","",VLOOKUP(Tableau134567891011[[#This Row],[Repère]],Tableau1[#All],8,FALSE))</f>
        <v/>
      </c>
      <c r="I93" s="13" t="str">
        <f>IF(Tableau134567891011[[#This Row],[Repère]]="","",VLOOKUP(Tableau134567891011[[#This Row],[Repère]],Tableau1[#All],9,FALSE))</f>
        <v/>
      </c>
      <c r="J93" s="13" t="str">
        <f>IF(Tableau134567891011[[#This Row],[Repère]]="","",VLOOKUP(Tableau134567891011[[#This Row],[Repère]],Tableau1[#All],10,FALSE))</f>
        <v/>
      </c>
      <c r="K93" s="13" t="str">
        <f>IF(Tableau134567891011[[#This Row],[Repère]]="","",VLOOKUP(Tableau134567891011[[#This Row],[Repère]],Tableau1[#All],11,FALSE))</f>
        <v/>
      </c>
      <c r="L93" s="14" t="str">
        <f>IF(Tableau134567891011[[#This Row],[Repère]]="","",VLOOKUP(Tableau134567891011[[#This Row],[Repère]],Tableau1[#All],12,FALSE))</f>
        <v/>
      </c>
    </row>
    <row r="94" spans="1:12" x14ac:dyDescent="0.3">
      <c r="A94" s="18"/>
      <c r="B94" s="19"/>
      <c r="C94" s="13" t="str">
        <f>IF(Tableau134567891011[[#This Row],[Repère]]="","",VLOOKUP(Tableau134567891011[[#This Row],[Repère]],Tableau1[#All],3,FALSE))</f>
        <v/>
      </c>
      <c r="D94" s="13" t="str">
        <f>IF(Tableau134567891011[[#This Row],[Repère]]="","",VLOOKUP(Tableau134567891011[[#This Row],[Repère]],Tableau1[#All],4,FALSE))</f>
        <v/>
      </c>
      <c r="E94" s="13" t="str">
        <f>IF(Tableau134567891011[[#This Row],[Repère]]="","",VLOOKUP(Tableau134567891011[[#This Row],[Repère]],Tableau1[#All],5,FALSE))</f>
        <v/>
      </c>
      <c r="F94" s="13" t="str">
        <f>IF(Tableau134567891011[[#This Row],[Repère]]="","",VLOOKUP(Tableau134567891011[[#This Row],[Repère]],Tableau1[#All],6,FALSE))</f>
        <v/>
      </c>
      <c r="G94" s="13" t="str">
        <f>IF(Tableau134567891011[[#This Row],[Repère]]="","",VLOOKUP(Tableau134567891011[[#This Row],[Repère]],Tableau1[#All],7,FALSE))</f>
        <v/>
      </c>
      <c r="H94" s="13" t="str">
        <f>IF(Tableau134567891011[[#This Row],[Repère]]="","",VLOOKUP(Tableau134567891011[[#This Row],[Repère]],Tableau1[#All],8,FALSE))</f>
        <v/>
      </c>
      <c r="I94" s="13" t="str">
        <f>IF(Tableau134567891011[[#This Row],[Repère]]="","",VLOOKUP(Tableau134567891011[[#This Row],[Repère]],Tableau1[#All],9,FALSE))</f>
        <v/>
      </c>
      <c r="J94" s="13" t="str">
        <f>IF(Tableau134567891011[[#This Row],[Repère]]="","",VLOOKUP(Tableau134567891011[[#This Row],[Repère]],Tableau1[#All],10,FALSE))</f>
        <v/>
      </c>
      <c r="K94" s="13" t="str">
        <f>IF(Tableau134567891011[[#This Row],[Repère]]="","",VLOOKUP(Tableau134567891011[[#This Row],[Repère]],Tableau1[#All],11,FALSE))</f>
        <v/>
      </c>
      <c r="L94" s="14" t="str">
        <f>IF(Tableau134567891011[[#This Row],[Repère]]="","",VLOOKUP(Tableau134567891011[[#This Row],[Repère]],Tableau1[#All],12,FALSE))</f>
        <v/>
      </c>
    </row>
    <row r="95" spans="1:12" x14ac:dyDescent="0.3">
      <c r="A95" s="18"/>
      <c r="B95" s="19"/>
      <c r="C95" s="13" t="str">
        <f>IF(Tableau134567891011[[#This Row],[Repère]]="","",VLOOKUP(Tableau134567891011[[#This Row],[Repère]],Tableau1[#All],3,FALSE))</f>
        <v/>
      </c>
      <c r="D95" s="13" t="str">
        <f>IF(Tableau134567891011[[#This Row],[Repère]]="","",VLOOKUP(Tableau134567891011[[#This Row],[Repère]],Tableau1[#All],4,FALSE))</f>
        <v/>
      </c>
      <c r="E95" s="13" t="str">
        <f>IF(Tableau134567891011[[#This Row],[Repère]]="","",VLOOKUP(Tableau134567891011[[#This Row],[Repère]],Tableau1[#All],5,FALSE))</f>
        <v/>
      </c>
      <c r="F95" s="13" t="str">
        <f>IF(Tableau134567891011[[#This Row],[Repère]]="","",VLOOKUP(Tableau134567891011[[#This Row],[Repère]],Tableau1[#All],6,FALSE))</f>
        <v/>
      </c>
      <c r="G95" s="13" t="str">
        <f>IF(Tableau134567891011[[#This Row],[Repère]]="","",VLOOKUP(Tableau134567891011[[#This Row],[Repère]],Tableau1[#All],7,FALSE))</f>
        <v/>
      </c>
      <c r="H95" s="13" t="str">
        <f>IF(Tableau134567891011[[#This Row],[Repère]]="","",VLOOKUP(Tableau134567891011[[#This Row],[Repère]],Tableau1[#All],8,FALSE))</f>
        <v/>
      </c>
      <c r="I95" s="13" t="str">
        <f>IF(Tableau134567891011[[#This Row],[Repère]]="","",VLOOKUP(Tableau134567891011[[#This Row],[Repère]],Tableau1[#All],9,FALSE))</f>
        <v/>
      </c>
      <c r="J95" s="13" t="str">
        <f>IF(Tableau134567891011[[#This Row],[Repère]]="","",VLOOKUP(Tableau134567891011[[#This Row],[Repère]],Tableau1[#All],10,FALSE))</f>
        <v/>
      </c>
      <c r="K95" s="13" t="str">
        <f>IF(Tableau134567891011[[#This Row],[Repère]]="","",VLOOKUP(Tableau134567891011[[#This Row],[Repère]],Tableau1[#All],11,FALSE))</f>
        <v/>
      </c>
      <c r="L95" s="14" t="str">
        <f>IF(Tableau134567891011[[#This Row],[Repère]]="","",VLOOKUP(Tableau134567891011[[#This Row],[Repère]],Tableau1[#All],12,FALSE))</f>
        <v/>
      </c>
    </row>
    <row r="96" spans="1:12" x14ac:dyDescent="0.3">
      <c r="A96" s="18"/>
      <c r="B96" s="19"/>
      <c r="C96" s="13" t="str">
        <f>IF(Tableau134567891011[[#This Row],[Repère]]="","",VLOOKUP(Tableau134567891011[[#This Row],[Repère]],Tableau1[#All],3,FALSE))</f>
        <v/>
      </c>
      <c r="D96" s="13" t="str">
        <f>IF(Tableau134567891011[[#This Row],[Repère]]="","",VLOOKUP(Tableau134567891011[[#This Row],[Repère]],Tableau1[#All],4,FALSE))</f>
        <v/>
      </c>
      <c r="E96" s="13" t="str">
        <f>IF(Tableau134567891011[[#This Row],[Repère]]="","",VLOOKUP(Tableau134567891011[[#This Row],[Repère]],Tableau1[#All],5,FALSE))</f>
        <v/>
      </c>
      <c r="F96" s="13" t="str">
        <f>IF(Tableau134567891011[[#This Row],[Repère]]="","",VLOOKUP(Tableau134567891011[[#This Row],[Repère]],Tableau1[#All],6,FALSE))</f>
        <v/>
      </c>
      <c r="G96" s="13" t="str">
        <f>IF(Tableau134567891011[[#This Row],[Repère]]="","",VLOOKUP(Tableau134567891011[[#This Row],[Repère]],Tableau1[#All],7,FALSE))</f>
        <v/>
      </c>
      <c r="H96" s="13" t="str">
        <f>IF(Tableau134567891011[[#This Row],[Repère]]="","",VLOOKUP(Tableau134567891011[[#This Row],[Repère]],Tableau1[#All],8,FALSE))</f>
        <v/>
      </c>
      <c r="I96" s="13" t="str">
        <f>IF(Tableau134567891011[[#This Row],[Repère]]="","",VLOOKUP(Tableau134567891011[[#This Row],[Repère]],Tableau1[#All],9,FALSE))</f>
        <v/>
      </c>
      <c r="J96" s="13" t="str">
        <f>IF(Tableau134567891011[[#This Row],[Repère]]="","",VLOOKUP(Tableau134567891011[[#This Row],[Repère]],Tableau1[#All],10,FALSE))</f>
        <v/>
      </c>
      <c r="K96" s="13" t="str">
        <f>IF(Tableau134567891011[[#This Row],[Repère]]="","",VLOOKUP(Tableau134567891011[[#This Row],[Repère]],Tableau1[#All],11,FALSE))</f>
        <v/>
      </c>
      <c r="L96" s="14" t="str">
        <f>IF(Tableau134567891011[[#This Row],[Repère]]="","",VLOOKUP(Tableau134567891011[[#This Row],[Repère]],Tableau1[#All],12,FALSE))</f>
        <v/>
      </c>
    </row>
    <row r="97" spans="1:12" x14ac:dyDescent="0.3">
      <c r="A97" s="18"/>
      <c r="B97" s="19"/>
      <c r="C97" s="13" t="str">
        <f>IF(Tableau134567891011[[#This Row],[Repère]]="","",VLOOKUP(Tableau134567891011[[#This Row],[Repère]],Tableau1[#All],3,FALSE))</f>
        <v/>
      </c>
      <c r="D97" s="13" t="str">
        <f>IF(Tableau134567891011[[#This Row],[Repère]]="","",VLOOKUP(Tableau134567891011[[#This Row],[Repère]],Tableau1[#All],4,FALSE))</f>
        <v/>
      </c>
      <c r="E97" s="13" t="str">
        <f>IF(Tableau134567891011[[#This Row],[Repère]]="","",VLOOKUP(Tableau134567891011[[#This Row],[Repère]],Tableau1[#All],5,FALSE))</f>
        <v/>
      </c>
      <c r="F97" s="13" t="str">
        <f>IF(Tableau134567891011[[#This Row],[Repère]]="","",VLOOKUP(Tableau134567891011[[#This Row],[Repère]],Tableau1[#All],6,FALSE))</f>
        <v/>
      </c>
      <c r="G97" s="13" t="str">
        <f>IF(Tableau134567891011[[#This Row],[Repère]]="","",VLOOKUP(Tableau134567891011[[#This Row],[Repère]],Tableau1[#All],7,FALSE))</f>
        <v/>
      </c>
      <c r="H97" s="13" t="str">
        <f>IF(Tableau134567891011[[#This Row],[Repère]]="","",VLOOKUP(Tableau134567891011[[#This Row],[Repère]],Tableau1[#All],8,FALSE))</f>
        <v/>
      </c>
      <c r="I97" s="13" t="str">
        <f>IF(Tableau134567891011[[#This Row],[Repère]]="","",VLOOKUP(Tableau134567891011[[#This Row],[Repère]],Tableau1[#All],9,FALSE))</f>
        <v/>
      </c>
      <c r="J97" s="13" t="str">
        <f>IF(Tableau134567891011[[#This Row],[Repère]]="","",VLOOKUP(Tableau134567891011[[#This Row],[Repère]],Tableau1[#All],10,FALSE))</f>
        <v/>
      </c>
      <c r="K97" s="13" t="str">
        <f>IF(Tableau134567891011[[#This Row],[Repère]]="","",VLOOKUP(Tableau134567891011[[#This Row],[Repère]],Tableau1[#All],11,FALSE))</f>
        <v/>
      </c>
      <c r="L97" s="14" t="str">
        <f>IF(Tableau134567891011[[#This Row],[Repère]]="","",VLOOKUP(Tableau134567891011[[#This Row],[Repère]],Tableau1[#All],12,FALSE))</f>
        <v/>
      </c>
    </row>
    <row r="98" spans="1:12" x14ac:dyDescent="0.3">
      <c r="A98" s="18"/>
      <c r="B98" s="19"/>
      <c r="C98" s="13" t="str">
        <f>IF(Tableau134567891011[[#This Row],[Repère]]="","",VLOOKUP(Tableau134567891011[[#This Row],[Repère]],Tableau1[#All],3,FALSE))</f>
        <v/>
      </c>
      <c r="D98" s="13" t="str">
        <f>IF(Tableau134567891011[[#This Row],[Repère]]="","",VLOOKUP(Tableau134567891011[[#This Row],[Repère]],Tableau1[#All],4,FALSE))</f>
        <v/>
      </c>
      <c r="E98" s="13" t="str">
        <f>IF(Tableau134567891011[[#This Row],[Repère]]="","",VLOOKUP(Tableau134567891011[[#This Row],[Repère]],Tableau1[#All],5,FALSE))</f>
        <v/>
      </c>
      <c r="F98" s="13" t="str">
        <f>IF(Tableau134567891011[[#This Row],[Repère]]="","",VLOOKUP(Tableau134567891011[[#This Row],[Repère]],Tableau1[#All],6,FALSE))</f>
        <v/>
      </c>
      <c r="G98" s="13" t="str">
        <f>IF(Tableau134567891011[[#This Row],[Repère]]="","",VLOOKUP(Tableau134567891011[[#This Row],[Repère]],Tableau1[#All],7,FALSE))</f>
        <v/>
      </c>
      <c r="H98" s="13" t="str">
        <f>IF(Tableau134567891011[[#This Row],[Repère]]="","",VLOOKUP(Tableau134567891011[[#This Row],[Repère]],Tableau1[#All],8,FALSE))</f>
        <v/>
      </c>
      <c r="I98" s="13" t="str">
        <f>IF(Tableau134567891011[[#This Row],[Repère]]="","",VLOOKUP(Tableau134567891011[[#This Row],[Repère]],Tableau1[#All],9,FALSE))</f>
        <v/>
      </c>
      <c r="J98" s="13" t="str">
        <f>IF(Tableau134567891011[[#This Row],[Repère]]="","",VLOOKUP(Tableau134567891011[[#This Row],[Repère]],Tableau1[#All],10,FALSE))</f>
        <v/>
      </c>
      <c r="K98" s="13" t="str">
        <f>IF(Tableau134567891011[[#This Row],[Repère]]="","",VLOOKUP(Tableau134567891011[[#This Row],[Repère]],Tableau1[#All],11,FALSE))</f>
        <v/>
      </c>
      <c r="L98" s="14" t="str">
        <f>IF(Tableau134567891011[[#This Row],[Repère]]="","",VLOOKUP(Tableau134567891011[[#This Row],[Repère]],Tableau1[#All],12,FALSE))</f>
        <v/>
      </c>
    </row>
    <row r="99" spans="1:12" x14ac:dyDescent="0.3">
      <c r="A99" s="18"/>
      <c r="B99" s="19"/>
      <c r="C99" s="13" t="str">
        <f>IF(Tableau134567891011[[#This Row],[Repère]]="","",VLOOKUP(Tableau134567891011[[#This Row],[Repère]],Tableau1[#All],3,FALSE))</f>
        <v/>
      </c>
      <c r="D99" s="13" t="str">
        <f>IF(Tableau134567891011[[#This Row],[Repère]]="","",VLOOKUP(Tableau134567891011[[#This Row],[Repère]],Tableau1[#All],4,FALSE))</f>
        <v/>
      </c>
      <c r="E99" s="13" t="str">
        <f>IF(Tableau134567891011[[#This Row],[Repère]]="","",VLOOKUP(Tableau134567891011[[#This Row],[Repère]],Tableau1[#All],5,FALSE))</f>
        <v/>
      </c>
      <c r="F99" s="13" t="str">
        <f>IF(Tableau134567891011[[#This Row],[Repère]]="","",VLOOKUP(Tableau134567891011[[#This Row],[Repère]],Tableau1[#All],6,FALSE))</f>
        <v/>
      </c>
      <c r="G99" s="13" t="str">
        <f>IF(Tableau134567891011[[#This Row],[Repère]]="","",VLOOKUP(Tableau134567891011[[#This Row],[Repère]],Tableau1[#All],7,FALSE))</f>
        <v/>
      </c>
      <c r="H99" s="13" t="str">
        <f>IF(Tableau134567891011[[#This Row],[Repère]]="","",VLOOKUP(Tableau134567891011[[#This Row],[Repère]],Tableau1[#All],8,FALSE))</f>
        <v/>
      </c>
      <c r="I99" s="13" t="str">
        <f>IF(Tableau134567891011[[#This Row],[Repère]]="","",VLOOKUP(Tableau134567891011[[#This Row],[Repère]],Tableau1[#All],9,FALSE))</f>
        <v/>
      </c>
      <c r="J99" s="13" t="str">
        <f>IF(Tableau134567891011[[#This Row],[Repère]]="","",VLOOKUP(Tableau134567891011[[#This Row],[Repère]],Tableau1[#All],10,FALSE))</f>
        <v/>
      </c>
      <c r="K99" s="13" t="str">
        <f>IF(Tableau134567891011[[#This Row],[Repère]]="","",VLOOKUP(Tableau134567891011[[#This Row],[Repère]],Tableau1[#All],11,FALSE))</f>
        <v/>
      </c>
      <c r="L99" s="14" t="str">
        <f>IF(Tableau134567891011[[#This Row],[Repère]]="","",VLOOKUP(Tableau134567891011[[#This Row],[Repère]],Tableau1[#All],12,FALSE))</f>
        <v/>
      </c>
    </row>
    <row r="100" spans="1:12" x14ac:dyDescent="0.3">
      <c r="A100" s="18"/>
      <c r="B100" s="19"/>
      <c r="C100" s="13" t="str">
        <f>IF(Tableau134567891011[[#This Row],[Repère]]="","",VLOOKUP(Tableau134567891011[[#This Row],[Repère]],Tableau1[#All],3,FALSE))</f>
        <v/>
      </c>
      <c r="D100" s="13" t="str">
        <f>IF(Tableau134567891011[[#This Row],[Repère]]="","",VLOOKUP(Tableau134567891011[[#This Row],[Repère]],Tableau1[#All],4,FALSE))</f>
        <v/>
      </c>
      <c r="E100" s="13" t="str">
        <f>IF(Tableau134567891011[[#This Row],[Repère]]="","",VLOOKUP(Tableau134567891011[[#This Row],[Repère]],Tableau1[#All],5,FALSE))</f>
        <v/>
      </c>
      <c r="F100" s="13" t="str">
        <f>IF(Tableau134567891011[[#This Row],[Repère]]="","",VLOOKUP(Tableau134567891011[[#This Row],[Repère]],Tableau1[#All],6,FALSE))</f>
        <v/>
      </c>
      <c r="G100" s="13" t="str">
        <f>IF(Tableau134567891011[[#This Row],[Repère]]="","",VLOOKUP(Tableau134567891011[[#This Row],[Repère]],Tableau1[#All],7,FALSE))</f>
        <v/>
      </c>
      <c r="H100" s="13" t="str">
        <f>IF(Tableau134567891011[[#This Row],[Repère]]="","",VLOOKUP(Tableau134567891011[[#This Row],[Repère]],Tableau1[#All],8,FALSE))</f>
        <v/>
      </c>
      <c r="I100" s="13" t="str">
        <f>IF(Tableau134567891011[[#This Row],[Repère]]="","",VLOOKUP(Tableau134567891011[[#This Row],[Repère]],Tableau1[#All],9,FALSE))</f>
        <v/>
      </c>
      <c r="J100" s="13" t="str">
        <f>IF(Tableau134567891011[[#This Row],[Repère]]="","",VLOOKUP(Tableau134567891011[[#This Row],[Repère]],Tableau1[#All],10,FALSE))</f>
        <v/>
      </c>
      <c r="K100" s="13" t="str">
        <f>IF(Tableau134567891011[[#This Row],[Repère]]="","",VLOOKUP(Tableau134567891011[[#This Row],[Repère]],Tableau1[#All],11,FALSE))</f>
        <v/>
      </c>
      <c r="L100" s="14" t="str">
        <f>IF(Tableau134567891011[[#This Row],[Repère]]="","",VLOOKUP(Tableau134567891011[[#This Row],[Repère]],Tableau1[#All],12,FALSE))</f>
        <v/>
      </c>
    </row>
    <row r="101" spans="1:12" x14ac:dyDescent="0.3">
      <c r="A101" s="18"/>
      <c r="B101" s="19"/>
      <c r="C101" s="13" t="str">
        <f>IF(Tableau134567891011[[#This Row],[Repère]]="","",VLOOKUP(Tableau134567891011[[#This Row],[Repère]],Tableau1[#All],3,FALSE))</f>
        <v/>
      </c>
      <c r="D101" s="13" t="str">
        <f>IF(Tableau134567891011[[#This Row],[Repère]]="","",VLOOKUP(Tableau134567891011[[#This Row],[Repère]],Tableau1[#All],4,FALSE))</f>
        <v/>
      </c>
      <c r="E101" s="13" t="str">
        <f>IF(Tableau134567891011[[#This Row],[Repère]]="","",VLOOKUP(Tableau134567891011[[#This Row],[Repère]],Tableau1[#All],5,FALSE))</f>
        <v/>
      </c>
      <c r="F101" s="13" t="str">
        <f>IF(Tableau134567891011[[#This Row],[Repère]]="","",VLOOKUP(Tableau134567891011[[#This Row],[Repère]],Tableau1[#All],6,FALSE))</f>
        <v/>
      </c>
      <c r="G101" s="13" t="str">
        <f>IF(Tableau134567891011[[#This Row],[Repère]]="","",VLOOKUP(Tableau134567891011[[#This Row],[Repère]],Tableau1[#All],7,FALSE))</f>
        <v/>
      </c>
      <c r="H101" s="13" t="str">
        <f>IF(Tableau134567891011[[#This Row],[Repère]]="","",VLOOKUP(Tableau134567891011[[#This Row],[Repère]],Tableau1[#All],8,FALSE))</f>
        <v/>
      </c>
      <c r="I101" s="13" t="str">
        <f>IF(Tableau134567891011[[#This Row],[Repère]]="","",VLOOKUP(Tableau134567891011[[#This Row],[Repère]],Tableau1[#All],9,FALSE))</f>
        <v/>
      </c>
      <c r="J101" s="13" t="str">
        <f>IF(Tableau134567891011[[#This Row],[Repère]]="","",VLOOKUP(Tableau134567891011[[#This Row],[Repère]],Tableau1[#All],10,FALSE))</f>
        <v/>
      </c>
      <c r="K101" s="13" t="str">
        <f>IF(Tableau134567891011[[#This Row],[Repère]]="","",VLOOKUP(Tableau134567891011[[#This Row],[Repère]],Tableau1[#All],11,FALSE))</f>
        <v/>
      </c>
      <c r="L101" s="14" t="str">
        <f>IF(Tableau134567891011[[#This Row],[Repère]]="","",VLOOKUP(Tableau134567891011[[#This Row],[Repère]],Tableau1[#All],12,FALSE))</f>
        <v/>
      </c>
    </row>
  </sheetData>
  <sheetProtection algorithmName="SHA-512" hashValue="Lj1EjkN3Xa36GySDvlvmWTvBoX4KsROvZqLqFULddKG8/eIx8m23nmF6Fn7Lofe50E4LS30sHuyGDa7EN1mPIw==" saltValue="QflNRDX0mgNGDeEH2BIkrQ==" spinCount="100000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36A8DA955CF34085F4394C969B37DD" ma:contentTypeVersion="10" ma:contentTypeDescription="Crée un document." ma:contentTypeScope="" ma:versionID="cb466c3f20f18b4738291a6b945c1af8">
  <xsd:schema xmlns:xsd="http://www.w3.org/2001/XMLSchema" xmlns:xs="http://www.w3.org/2001/XMLSchema" xmlns:p="http://schemas.microsoft.com/office/2006/metadata/properties" xmlns:ns2="e2b52338-0bcb-4fad-ba52-97423fe8476c" xmlns:ns3="64dcc3cc-325e-45d8-a049-86cbbf544669" targetNamespace="http://schemas.microsoft.com/office/2006/metadata/properties" ma:root="true" ma:fieldsID="55553ee36d0b01bb281f455d3716fdaf" ns2:_="" ns3:_="">
    <xsd:import namespace="e2b52338-0bcb-4fad-ba52-97423fe8476c"/>
    <xsd:import namespace="64dcc3cc-325e-45d8-a049-86cbbf544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52338-0bcb-4fad-ba52-97423fe84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a0c55e0-f497-49c5-847c-4a5a72b1df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3cc-325e-45d8-a049-86cbbf54466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d74a90d-b9b4-444e-958b-756c86d002d8}" ma:internalName="TaxCatchAll" ma:showField="CatchAllData" ma:web="64dcc3cc-325e-45d8-a049-86cbbf5446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b52338-0bcb-4fad-ba52-97423fe8476c">
      <Terms xmlns="http://schemas.microsoft.com/office/infopath/2007/PartnerControls"/>
    </lcf76f155ced4ddcb4097134ff3c332f>
    <TaxCatchAll xmlns="64dcc3cc-325e-45d8-a049-86cbbf544669" xsi:nil="true"/>
  </documentManagement>
</p:properties>
</file>

<file path=customXml/itemProps1.xml><?xml version="1.0" encoding="utf-8"?>
<ds:datastoreItem xmlns:ds="http://schemas.openxmlformats.org/officeDocument/2006/customXml" ds:itemID="{8FFD5CAF-747F-48D8-AB81-EE0F301CCF82}"/>
</file>

<file path=customXml/itemProps2.xml><?xml version="1.0" encoding="utf-8"?>
<ds:datastoreItem xmlns:ds="http://schemas.openxmlformats.org/officeDocument/2006/customXml" ds:itemID="{E3C8A845-710B-4F54-9413-AAD3564B89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50DE7A-EADC-42EF-86B8-B9556005BE4D}">
  <ds:schemaRefs>
    <ds:schemaRef ds:uri="http://schemas.microsoft.com/office/2006/metadata/properties"/>
    <ds:schemaRef ds:uri="http://schemas.microsoft.com/office/infopath/2007/PartnerControls"/>
    <ds:schemaRef ds:uri="78b63686-ce1e-41a8-8958-0c222841d00a"/>
    <ds:schemaRef ds:uri="3C061C53-7AF7-4E01-9CD9-2F35BE3950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Notice d'utilisation</vt:lpstr>
      <vt:lpstr>Nomenclature Générale</vt:lpstr>
      <vt:lpstr>ISO_001</vt:lpstr>
      <vt:lpstr>ISO_002</vt:lpstr>
      <vt:lpstr>ISO_003</vt:lpstr>
      <vt:lpstr>ISO_004</vt:lpstr>
      <vt:lpstr>ISO_005</vt:lpstr>
      <vt:lpstr>ISO_006</vt:lpstr>
      <vt:lpstr>ISO_007</vt:lpstr>
      <vt:lpstr>ISO_008</vt:lpstr>
      <vt:lpstr>ISO_009</vt:lpstr>
      <vt:lpstr>ISO_010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Léo BASTIANELLI</dc:creator>
  <cp:keywords/>
  <dc:description/>
  <cp:lastModifiedBy>Thomas GADAIS</cp:lastModifiedBy>
  <cp:revision/>
  <dcterms:created xsi:type="dcterms:W3CDTF">2015-06-05T18:19:34Z</dcterms:created>
  <dcterms:modified xsi:type="dcterms:W3CDTF">2026-06-24T09:43:37Z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0x010100A936A8DA955CF34085F4394C969B37DD</vt:lpwstr>
  </property>
</Properties>
</file>