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ge de Garde" sheetId="1" state="visible" r:id="rId1"/>
    <sheet name="Actions - Liste des livrables" sheetId="2" state="visible" r:id="rId2"/>
    <sheet name="Liste des lignes" sheetId="3" state="visible" r:id="rId3"/>
    <sheet name="Données Techniques" sheetId="4" state="visible" r:id="rId4"/>
    <sheet name="Suivi des plans client" sheetId="5" state="hidden" r:id="rId5"/>
    <sheet name="Heures BE" sheetId="6" state="visible" r:id="rId6"/>
    <sheet name="Référentiel (A COMPLETER)" sheetId="7" state="visible" r:id="rId7"/>
    <sheet name="Référentiel réglem. (DRAFT)" sheetId="8" state="visible" r:id="rId8"/>
    <sheet name="Mapping Heures BE (DRAFT)" sheetId="9" state="visible" r:id="rId9"/>
  </sheets>
  <definedNames>
    <definedName name="_xlnm.Print_Area" localSheetId="0">'Page de Garde'!$A$1:$J$31</definedName>
    <definedName name="_xlnm.Print_Area" localSheetId="1">'Actions - Liste des livrables'!$A$1:$H$50</definedName>
    <definedName name="_xlnm.Print_Area" localSheetId="2">'Liste des lignes'!$A$1:$J$38</definedName>
    <definedName name="_xlnm.Print_Area" localSheetId="3">'Données Techniques'!$A$1:$V$28</definedName>
    <definedName name="_xlnm.Print_Area" localSheetId="4">'Suivi des plans client'!$A$5:$L$17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/mm/yy;@"/>
    <numFmt numFmtId="165" formatCode="##\°\C"/>
    <numFmt numFmtId="166" formatCode="##&quot; ml&quot;"/>
    <numFmt numFmtId="167" formatCode="###&quot; Bars&quot;"/>
  </numFmts>
  <fonts count="24">
    <font>
      <name val="Calibri"/>
      <family val="2"/>
      <color theme="1"/>
      <sz val="11"/>
      <scheme val="minor"/>
    </font>
    <font>
      <name val="Tahoma"/>
      <family val="2"/>
      <color theme="1"/>
      <sz val="11"/>
    </font>
    <font>
      <name val="Tahoma"/>
      <family val="2"/>
      <color theme="1"/>
      <sz val="11"/>
    </font>
    <font>
      <name val="Tahoma"/>
      <family val="2"/>
      <b val="1"/>
      <color theme="1"/>
      <sz val="12"/>
    </font>
    <font>
      <name val="Tahoma"/>
      <family val="2"/>
      <color theme="1"/>
      <sz val="8"/>
    </font>
    <font>
      <name val="Tahoma"/>
      <family val="2"/>
      <b val="1"/>
      <color theme="1"/>
      <sz val="11"/>
    </font>
    <font>
      <name val="Tahoma"/>
      <family val="2"/>
      <b val="1"/>
      <color rgb="FFEEECE1"/>
      <sz val="11"/>
    </font>
    <font>
      <name val="Tahoma"/>
      <family val="2"/>
      <b val="1"/>
      <sz val="11"/>
    </font>
    <font>
      <name val="Tahoma"/>
      <family val="2"/>
      <b val="1"/>
      <color theme="1"/>
      <sz val="8"/>
    </font>
    <font>
      <name val="Tahoma"/>
      <family val="2"/>
      <color theme="1"/>
      <sz val="9"/>
    </font>
    <font>
      <name val="Tahoma"/>
      <family val="2"/>
      <color theme="0"/>
      <sz val="11"/>
    </font>
    <font>
      <name val="Tahoma"/>
      <family val="2"/>
      <b val="1"/>
      <color theme="0"/>
      <sz val="11"/>
    </font>
    <font>
      <name val="Tahoma"/>
      <family val="2"/>
      <sz val="11"/>
    </font>
    <font>
      <name val="Calibri"/>
      <family val="2"/>
      <color theme="1"/>
      <sz val="11"/>
      <scheme val="minor"/>
    </font>
    <font>
      <name val="Tahoma"/>
      <family val="2"/>
      <b val="1"/>
      <color rgb="FFEEECE1"/>
      <sz val="20"/>
    </font>
    <font>
      <name val="Arial"/>
      <family val="2"/>
      <sz val="10"/>
    </font>
    <font>
      <name val="Tahoma"/>
      <family val="2"/>
      <sz val="10"/>
    </font>
    <font>
      <name val="Tahoma"/>
      <family val="2"/>
      <color theme="1"/>
      <sz val="16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b val="1"/>
      <sz val="12"/>
    </font>
    <font>
      <b val="1"/>
    </font>
    <font>
      <i val="1"/>
      <color rgb="00CC0000"/>
    </font>
    <font>
      <b val="1"/>
      <i val="1"/>
    </font>
  </fonts>
  <fills count="9">
    <fill>
      <patternFill/>
    </fill>
    <fill>
      <patternFill patternType="gray125"/>
    </fill>
    <fill>
      <patternFill patternType="solid">
        <fgColor rgb="FF0030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BA9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13" fillId="0" borderId="0"/>
    <xf numFmtId="9" fontId="13" fillId="0" borderId="0"/>
    <xf numFmtId="0" fontId="15" fillId="0" borderId="0"/>
    <xf numFmtId="0" fontId="18" fillId="0" borderId="0"/>
  </cellStyleXfs>
  <cellXfs count="319"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49" fontId="5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0" borderId="0" pivotButton="0" quotePrefix="0" xfId="0"/>
    <xf numFmtId="164" fontId="9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2" fillId="5" borderId="10" applyAlignment="1" applyProtection="1" pivotButton="0" quotePrefix="0" xfId="0">
      <alignment horizontal="center" vertical="center"/>
      <protection locked="0" hidden="0"/>
    </xf>
    <xf numFmtId="0" fontId="2" fillId="5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6" fillId="0" borderId="1" applyAlignment="1" pivotButton="0" quotePrefix="0" xfId="2">
      <alignment horizontal="center" vertical="center"/>
    </xf>
    <xf numFmtId="0" fontId="7" fillId="0" borderId="1" applyAlignment="1" pivotButton="0" quotePrefix="0" xfId="2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1" fillId="2" borderId="28" applyAlignment="1" pivotButton="0" quotePrefix="0" xfId="0">
      <alignment horizontal="center" vertical="center"/>
    </xf>
    <xf numFmtId="0" fontId="11" fillId="2" borderId="29" applyAlignment="1" pivotButton="0" quotePrefix="0" xfId="0">
      <alignment horizontal="center" vertical="center"/>
    </xf>
    <xf numFmtId="0" fontId="11" fillId="2" borderId="29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9" fillId="0" borderId="10" applyAlignment="1" applyProtection="1" pivotButton="0" quotePrefix="0" xfId="0">
      <alignment horizontal="center" vertical="center"/>
      <protection locked="0" hidden="0"/>
    </xf>
    <xf numFmtId="0" fontId="9" fillId="0" borderId="11" applyAlignment="1" applyProtection="1" pivotButton="0" quotePrefix="0" xfId="0">
      <alignment horizontal="center" vertical="center"/>
      <protection locked="0" hidden="0"/>
    </xf>
    <xf numFmtId="0" fontId="9" fillId="0" borderId="12" applyAlignment="1" applyProtection="1" pivotButton="0" quotePrefix="0" xfId="0">
      <alignment horizontal="center" vertical="center"/>
      <protection locked="0" hidden="0"/>
    </xf>
    <xf numFmtId="0" fontId="9" fillId="0" borderId="14" applyAlignment="1" applyProtection="1" pivotButton="0" quotePrefix="0" xfId="0">
      <alignment horizontal="center" vertical="center"/>
      <protection locked="0" hidden="0"/>
    </xf>
    <xf numFmtId="0" fontId="5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5" borderId="3" applyAlignment="1" applyProtection="1" pivotButton="0" quotePrefix="0" xfId="0">
      <alignment horizontal="center" vertical="center" wrapText="1"/>
      <protection locked="0" hidden="0"/>
    </xf>
    <xf numFmtId="0" fontId="2" fillId="0" borderId="0" applyProtection="1" pivotButton="0" quotePrefix="0" xfId="0">
      <protection locked="0" hidden="0"/>
    </xf>
    <xf numFmtId="0" fontId="1" fillId="5" borderId="10" applyAlignment="1" applyProtection="1" pivotButton="0" quotePrefix="0" xfId="0">
      <alignment horizontal="center" vertical="center" wrapText="1"/>
      <protection locked="0" hidden="0"/>
    </xf>
    <xf numFmtId="0" fontId="1" fillId="5" borderId="1" applyAlignment="1" applyProtection="1" pivotButton="0" quotePrefix="0" xfId="0">
      <alignment horizontal="center" vertical="center" wrapText="1"/>
      <protection locked="0" hidden="0"/>
    </xf>
    <xf numFmtId="165" fontId="1" fillId="5" borderId="1" applyAlignment="1" applyProtection="1" pivotButton="0" quotePrefix="0" xfId="0">
      <alignment horizontal="center" vertical="center" wrapText="1"/>
      <protection locked="0" hidden="0"/>
    </xf>
    <xf numFmtId="165" fontId="2" fillId="5" borderId="1" applyAlignment="1" applyProtection="1" pivotButton="0" quotePrefix="0" xfId="0">
      <alignment horizontal="center" vertical="center" wrapText="1"/>
      <protection locked="0" hidden="0"/>
    </xf>
    <xf numFmtId="166" fontId="2" fillId="5" borderId="1" applyAlignment="1" applyProtection="1" pivotButton="0" quotePrefix="0" xfId="0">
      <alignment horizontal="center" vertical="center" wrapText="1"/>
      <protection locked="0" hidden="0"/>
    </xf>
    <xf numFmtId="167" fontId="2" fillId="5" borderId="1" applyAlignment="1" applyProtection="1" pivotButton="0" quotePrefix="0" xfId="0">
      <alignment horizontal="center" vertical="center" wrapText="1"/>
      <protection locked="0" hidden="0"/>
    </xf>
    <xf numFmtId="9" fontId="2" fillId="5" borderId="1" applyAlignment="1" applyProtection="1" pivotButton="0" quotePrefix="0" xfId="1">
      <alignment horizontal="center" vertical="center" wrapText="1"/>
      <protection locked="0" hidden="0"/>
    </xf>
    <xf numFmtId="9" fontId="1" fillId="5" borderId="1" applyAlignment="1" applyProtection="1" pivotButton="0" quotePrefix="0" xfId="1">
      <alignment horizontal="center" vertical="center" wrapText="1"/>
      <protection locked="0" hidden="0"/>
    </xf>
    <xf numFmtId="0" fontId="1" fillId="5" borderId="1" applyAlignment="1" applyProtection="1" pivotButton="0" quotePrefix="1" xfId="0">
      <alignment horizontal="center" vertical="center" wrapText="1"/>
      <protection locked="0" hidden="0"/>
    </xf>
    <xf numFmtId="0" fontId="1" fillId="5" borderId="1" applyAlignment="1" applyProtection="1" pivotButton="0" quotePrefix="0" xfId="0">
      <alignment horizontal="center" vertical="center"/>
      <protection locked="0" hidden="0"/>
    </xf>
    <xf numFmtId="0" fontId="1" fillId="5" borderId="11" applyAlignment="1" applyProtection="1" pivotButton="0" quotePrefix="0" xfId="0">
      <alignment horizontal="center" vertical="center"/>
      <protection locked="0" hidden="0"/>
    </xf>
    <xf numFmtId="0" fontId="2" fillId="3" borderId="3" applyAlignment="1" applyProtection="1" pivotButton="0" quotePrefix="0" xfId="0">
      <alignment horizontal="center" vertical="center" wrapText="1"/>
      <protection locked="0" hidden="0"/>
    </xf>
    <xf numFmtId="0" fontId="2" fillId="3" borderId="0" applyProtection="1" pivotButton="0" quotePrefix="0" xfId="0">
      <protection locked="0" hidden="0"/>
    </xf>
    <xf numFmtId="0" fontId="1" fillId="3" borderId="10" applyAlignment="1" applyProtection="1" pivotButton="0" quotePrefix="0" xfId="0">
      <alignment horizontal="center" vertical="center" wrapText="1"/>
      <protection locked="0" hidden="0"/>
    </xf>
    <xf numFmtId="0" fontId="1" fillId="3" borderId="1" applyAlignment="1" applyProtection="1" pivotButton="0" quotePrefix="0" xfId="0">
      <alignment horizontal="center" vertical="center" wrapText="1"/>
      <protection locked="0" hidden="0"/>
    </xf>
    <xf numFmtId="165" fontId="1" fillId="3" borderId="1" applyAlignment="1" applyProtection="1" pivotButton="0" quotePrefix="0" xfId="0">
      <alignment horizontal="center" vertical="center" wrapText="1"/>
      <protection locked="0" hidden="0"/>
    </xf>
    <xf numFmtId="165" fontId="2" fillId="3" borderId="1" applyAlignment="1" applyProtection="1" pivotButton="0" quotePrefix="0" xfId="0">
      <alignment horizontal="center" vertical="center" wrapText="1"/>
      <protection locked="0" hidden="0"/>
    </xf>
    <xf numFmtId="166" fontId="2" fillId="3" borderId="1" applyAlignment="1" applyProtection="1" pivotButton="0" quotePrefix="0" xfId="0">
      <alignment horizontal="center" vertical="center" wrapText="1"/>
      <protection locked="0" hidden="0"/>
    </xf>
    <xf numFmtId="167" fontId="2" fillId="3" borderId="1" applyAlignment="1" applyProtection="1" pivotButton="0" quotePrefix="0" xfId="0">
      <alignment horizontal="center" vertical="center" wrapText="1"/>
      <protection locked="0" hidden="0"/>
    </xf>
    <xf numFmtId="9" fontId="2" fillId="3" borderId="1" applyAlignment="1" applyProtection="1" pivotButton="0" quotePrefix="0" xfId="1">
      <alignment horizontal="center" vertical="center" wrapText="1"/>
      <protection locked="0" hidden="0"/>
    </xf>
    <xf numFmtId="9" fontId="1" fillId="3" borderId="1" applyAlignment="1" applyProtection="1" pivotButton="0" quotePrefix="0" xfId="1">
      <alignment horizontal="center" vertical="center" wrapText="1"/>
      <protection locked="0" hidden="0"/>
    </xf>
    <xf numFmtId="0" fontId="1" fillId="3" borderId="1" applyAlignment="1" applyProtection="1" pivotButton="0" quotePrefix="1" xfId="0">
      <alignment horizontal="center" vertical="center" wrapText="1"/>
      <protection locked="0" hidden="0"/>
    </xf>
    <xf numFmtId="0" fontId="1" fillId="3" borderId="1" applyAlignment="1" applyProtection="1" pivotButton="0" quotePrefix="0" xfId="0">
      <alignment horizontal="center" vertical="center"/>
      <protection locked="0" hidden="0"/>
    </xf>
    <xf numFmtId="0" fontId="1" fillId="3" borderId="11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2" fillId="0" borderId="16" applyAlignment="1" applyProtection="1" pivotButton="0" quotePrefix="0" xfId="0">
      <alignment horizontal="center" vertical="center" wrapText="1"/>
      <protection locked="0" hidden="0"/>
    </xf>
    <xf numFmtId="0" fontId="2" fillId="5" borderId="11" applyAlignment="1" applyProtection="1" pivotButton="0" quotePrefix="0" xfId="0">
      <alignment horizontal="center" vertical="center"/>
      <protection locked="0" hidden="0"/>
    </xf>
    <xf numFmtId="0" fontId="12" fillId="3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applyProtection="1" pivotButton="0" quotePrefix="1" xfId="0">
      <alignment horizontal="center" vertical="center"/>
      <protection locked="0" hidden="0"/>
    </xf>
    <xf numFmtId="0" fontId="1" fillId="5" borderId="1" applyAlignment="1" applyProtection="1" pivotButton="0" quotePrefix="1" xfId="0">
      <alignment horizontal="center" vertical="center"/>
      <protection locked="0" hidden="0"/>
    </xf>
    <xf numFmtId="0" fontId="2" fillId="5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1" fillId="0" borderId="10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2">
      <alignment horizontal="center" vertical="center"/>
    </xf>
    <xf numFmtId="165" fontId="1" fillId="5" borderId="1" applyAlignment="1" applyProtection="1" pivotButton="0" quotePrefix="1" xfId="0">
      <alignment horizontal="center" vertical="center" wrapText="1"/>
      <protection locked="0" hidden="0"/>
    </xf>
    <xf numFmtId="166" fontId="1" fillId="5" borderId="1" applyAlignment="1" applyProtection="1" pivotButton="0" quotePrefix="0" xfId="0">
      <alignment horizontal="center" vertical="center" wrapText="1"/>
      <protection locked="0" hidden="0"/>
    </xf>
    <xf numFmtId="167" fontId="1" fillId="5" borderId="1" applyAlignment="1" applyProtection="1" pivotButton="0" quotePrefix="0" xfId="0">
      <alignment horizontal="center" vertical="center" wrapText="1"/>
      <protection locked="0" hidden="0"/>
    </xf>
    <xf numFmtId="0" fontId="0" fillId="7" borderId="0" pivotButton="0" quotePrefix="0" xfId="0"/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1" fillId="4" borderId="1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8" fillId="0" borderId="13" applyAlignment="1" pivotButton="0" quotePrefix="0" xfId="3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/>
    </xf>
    <xf numFmtId="0" fontId="1" fillId="0" borderId="25" applyAlignment="1" applyProtection="1" pivotButton="0" quotePrefix="0" xfId="0">
      <alignment horizontal="center" vertical="center"/>
      <protection locked="0" hidden="0"/>
    </xf>
    <xf numFmtId="0" fontId="2" fillId="0" borderId="23" applyAlignment="1" applyProtection="1" pivotButton="0" quotePrefix="0" xfId="0">
      <alignment horizontal="center" vertical="center"/>
      <protection locked="0" hidden="0"/>
    </xf>
    <xf numFmtId="0" fontId="2" fillId="0" borderId="26" applyAlignment="1" applyProtection="1" pivotButton="0" quotePrefix="0" xfId="0">
      <alignment horizontal="center" vertical="center"/>
      <protection locked="0" hidden="0"/>
    </xf>
    <xf numFmtId="0" fontId="9" fillId="0" borderId="13" applyAlignment="1" applyProtection="1" pivotButton="0" quotePrefix="0" xfId="0">
      <alignment horizontal="center" vertical="center"/>
      <protection locked="0" hidden="0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2" fillId="4" borderId="1" applyAlignment="1" pivotButton="0" quotePrefix="0" xfId="0">
      <alignment horizontal="center" vertical="center"/>
    </xf>
    <xf numFmtId="0" fontId="1" fillId="0" borderId="25" applyAlignment="1" applyProtection="1" pivotButton="0" quotePrefix="0" xfId="0">
      <alignment horizontal="center" vertical="center" wrapText="1"/>
      <protection locked="0" hidden="0"/>
    </xf>
    <xf numFmtId="0" fontId="1" fillId="0" borderId="23" applyAlignment="1" applyProtection="1" pivotButton="0" quotePrefix="0" xfId="0">
      <alignment horizontal="center" vertical="center"/>
      <protection locked="0" hidden="0"/>
    </xf>
    <xf numFmtId="0" fontId="1" fillId="0" borderId="2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2" fillId="0" borderId="3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6" borderId="1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2" fillId="4" borderId="1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4" borderId="11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/>
    </xf>
    <xf numFmtId="0" fontId="10" fillId="6" borderId="22" applyAlignment="1" pivotButton="0" quotePrefix="0" xfId="0">
      <alignment horizontal="center" vertical="center"/>
    </xf>
    <xf numFmtId="0" fontId="10" fillId="6" borderId="23" applyAlignment="1" pivotButton="0" quotePrefix="0" xfId="0">
      <alignment horizontal="center" vertical="center"/>
    </xf>
    <xf numFmtId="0" fontId="10" fillId="6" borderId="26" applyAlignment="1" pivotButton="0" quotePrefix="0" xfId="0">
      <alignment horizontal="center" vertical="center"/>
    </xf>
    <xf numFmtId="0" fontId="1" fillId="7" borderId="1" applyAlignment="1" applyProtection="1" pivotButton="0" quotePrefix="0" xfId="0">
      <alignment horizontal="center" vertical="center"/>
      <protection locked="0" hidden="0"/>
    </xf>
    <xf numFmtId="0" fontId="2" fillId="7" borderId="2" applyAlignment="1" applyProtection="1" pivotButton="0" quotePrefix="0" xfId="0">
      <alignment horizontal="center" vertical="center"/>
      <protection locked="0" hidden="0"/>
    </xf>
    <xf numFmtId="0" fontId="2" fillId="7" borderId="11" applyAlignment="1" applyProtection="1" pivotButton="0" quotePrefix="0" xfId="0">
      <alignment horizontal="center" vertical="center"/>
      <protection locked="0" hidden="0"/>
    </xf>
    <xf numFmtId="0" fontId="1" fillId="5" borderId="2" applyAlignment="1" applyProtection="1" pivotButton="0" quotePrefix="0" xfId="0">
      <alignment horizontal="center" vertical="center" wrapText="1"/>
      <protection locked="0" hidden="0"/>
    </xf>
    <xf numFmtId="0" fontId="1" fillId="5" borderId="20" applyAlignment="1" applyProtection="1" pivotButton="0" quotePrefix="0" xfId="0">
      <alignment horizontal="center" vertical="center" wrapText="1"/>
      <protection locked="0" hidden="0"/>
    </xf>
    <xf numFmtId="0" fontId="14" fillId="2" borderId="0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30" applyAlignment="1" pivotButton="0" quotePrefix="0" xfId="0">
      <alignment horizontal="center" vertical="center" wrapText="1"/>
    </xf>
    <xf numFmtId="0" fontId="17" fillId="0" borderId="28" applyAlignment="1" pivotButton="0" quotePrefix="0" xfId="0">
      <alignment horizontal="center" vertical="center"/>
    </xf>
    <xf numFmtId="0" fontId="17" fillId="0" borderId="29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0" borderId="36" applyAlignment="1" pivotButton="0" quotePrefix="0" xfId="0">
      <alignment horizontal="center" vertical="center"/>
    </xf>
    <xf numFmtId="0" fontId="1" fillId="3" borderId="2" applyAlignment="1" applyProtection="1" pivotButton="0" quotePrefix="0" xfId="0">
      <alignment horizontal="center" vertical="center" wrapText="1"/>
      <protection locked="0" hidden="0"/>
    </xf>
    <xf numFmtId="0" fontId="1" fillId="3" borderId="20" applyAlignment="1" applyProtection="1" pivotButton="0" quotePrefix="0" xfId="0">
      <alignment horizontal="center" vertical="center" wrapText="1"/>
      <protection locked="0" hidden="0"/>
    </xf>
    <xf numFmtId="0" fontId="1" fillId="5" borderId="15" applyAlignment="1" applyProtection="1" pivotButton="0" quotePrefix="0" xfId="0">
      <alignment horizontal="center" vertical="center" wrapText="1"/>
      <protection locked="0" hidden="0"/>
    </xf>
    <xf numFmtId="0" fontId="2" fillId="5" borderId="3" applyAlignment="1" applyProtection="1" pivotButton="0" quotePrefix="0" xfId="0">
      <alignment horizontal="center" vertical="center" wrapText="1"/>
      <protection locked="0" hidden="0"/>
    </xf>
    <xf numFmtId="0" fontId="1" fillId="3" borderId="15" applyAlignment="1" applyProtection="1" pivotButton="0" quotePrefix="0" xfId="0">
      <alignment horizontal="center" vertical="center" wrapText="1"/>
      <protection locked="0" hidden="0"/>
    </xf>
    <xf numFmtId="0" fontId="2" fillId="3" borderId="3" applyAlignment="1" applyProtection="1" pivotButton="0" quotePrefix="0" xfId="0">
      <alignment horizontal="center" vertical="center" wrapText="1"/>
      <protection locked="0" hidden="0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1" applyAlignment="1" applyProtection="1" pivotButton="0" quotePrefix="0" xfId="0">
      <alignment horizontal="center"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1" fillId="0" borderId="14" applyAlignment="1" applyProtection="1" pivotButton="0" quotePrefix="0" xfId="0">
      <alignment horizontal="center" vertical="center"/>
      <protection locked="0" hidden="0"/>
    </xf>
    <xf numFmtId="0" fontId="1" fillId="5" borderId="3" applyAlignment="1" applyProtection="1" pivotButton="0" quotePrefix="0" xfId="0">
      <alignment horizontal="center" vertical="center" wrapText="1"/>
      <protection locked="0" hidden="0"/>
    </xf>
    <xf numFmtId="0" fontId="1" fillId="3" borderId="3" applyAlignment="1" applyProtection="1" pivotButton="0" quotePrefix="0" xfId="0">
      <alignment horizontal="center" vertical="center" wrapText="1"/>
      <protection locked="0" hidden="0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4" fontId="2" fillId="0" borderId="1" applyAlignment="1" applyProtection="1" pivotButton="0" quotePrefix="0" xfId="0">
      <alignment horizontal="center" vertical="center"/>
      <protection locked="0" hidden="0"/>
    </xf>
    <xf numFmtId="14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3" applyAlignment="1" applyProtection="1" pivotButton="0" quotePrefix="0" xfId="0">
      <alignment horizontal="center" vertical="center"/>
      <protection locked="0" hidden="0"/>
    </xf>
    <xf numFmtId="0" fontId="2" fillId="0" borderId="21" applyAlignment="1" applyProtection="1" pivotButton="0" quotePrefix="0" xfId="0">
      <alignment horizontal="center" vertical="center"/>
      <protection locked="0" hidden="0"/>
    </xf>
    <xf numFmtId="0" fontId="1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1" fillId="3" borderId="21" applyAlignment="1" applyProtection="1" pivotButton="0" quotePrefix="0" xfId="0">
      <alignment horizontal="center" vertical="center" wrapText="1"/>
      <protection locked="0" hidden="0"/>
    </xf>
    <xf numFmtId="0" fontId="1" fillId="3" borderId="16" applyAlignment="1" applyProtection="1" pivotButton="0" quotePrefix="0" xfId="0">
      <alignment horizontal="center" vertical="center" wrapText="1"/>
      <protection locked="0" hidden="0"/>
    </xf>
    <xf numFmtId="0" fontId="2" fillId="5" borderId="15" applyAlignment="1" applyProtection="1" pivotButton="0" quotePrefix="0" xfId="0">
      <alignment horizontal="center" vertical="center" wrapText="1"/>
      <protection locked="0" hidden="0"/>
    </xf>
    <xf numFmtId="0" fontId="2" fillId="0" borderId="15" applyAlignment="1" applyProtection="1" pivotButton="0" quotePrefix="0" xfId="0">
      <alignment horizontal="center" vertical="center" wrapText="1"/>
      <protection locked="0" hidden="0"/>
    </xf>
    <xf numFmtId="0" fontId="2" fillId="0" borderId="32" applyAlignment="1" applyProtection="1" pivotButton="0" quotePrefix="0" xfId="0">
      <alignment horizontal="center" vertical="center" wrapText="1"/>
      <protection locked="0" hidden="0"/>
    </xf>
    <xf numFmtId="0" fontId="2" fillId="0" borderId="16" applyAlignment="1" applyProtection="1" pivotButton="0" quotePrefix="0" xfId="0">
      <alignment horizontal="center" vertical="center" wrapText="1"/>
      <protection locked="0" hidden="0"/>
    </xf>
    <xf numFmtId="0" fontId="1" fillId="3" borderId="34" applyAlignment="1" applyProtection="1" pivotButton="0" quotePrefix="0" xfId="0">
      <alignment horizontal="center" vertical="center" wrapText="1"/>
      <protection locked="0" hidden="0"/>
    </xf>
    <xf numFmtId="0" fontId="14" fillId="2" borderId="17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5" fillId="3" borderId="1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3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49" fontId="2" fillId="5" borderId="2" applyAlignment="1" applyProtection="1" pivotButton="0" quotePrefix="0" xfId="0">
      <alignment horizontal="center" vertical="center"/>
      <protection locked="0" hidden="0"/>
    </xf>
    <xf numFmtId="49" fontId="2" fillId="5" borderId="3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49" fontId="2" fillId="0" borderId="2" applyAlignment="1" applyProtection="1" pivotButton="0" quotePrefix="0" xfId="0">
      <alignment horizontal="center" vertical="center"/>
      <protection locked="0" hidden="0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1" fillId="4" borderId="2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5" borderId="2" applyAlignment="1" applyProtection="1" pivotButton="0" quotePrefix="0" xfId="0">
      <alignment horizontal="center" vertical="center"/>
      <protection locked="0" hidden="0"/>
    </xf>
    <xf numFmtId="0" fontId="2" fillId="5" borderId="4" applyAlignment="1" applyProtection="1" pivotButton="0" quotePrefix="0" xfId="0">
      <alignment horizontal="center" vertical="center"/>
      <protection locked="0" hidden="0"/>
    </xf>
    <xf numFmtId="0" fontId="2" fillId="5" borderId="3" applyAlignment="1" applyProtection="1" pivotButton="0" quotePrefix="0" xfId="0">
      <alignment horizontal="center" vertical="center"/>
      <protection locked="0" hidden="0"/>
    </xf>
    <xf numFmtId="49" fontId="1" fillId="0" borderId="2" applyAlignment="1" applyProtection="1" pivotButton="0" quotePrefix="0" xfId="0">
      <alignment horizontal="center" vertical="center"/>
      <protection locked="0" hidden="0"/>
    </xf>
    <xf numFmtId="0" fontId="2" fillId="0" borderId="20" applyAlignment="1" applyProtection="1" pivotButton="0" quotePrefix="0" xfId="0">
      <alignment horizontal="center" vertical="center"/>
      <protection locked="0" hidden="0"/>
    </xf>
    <xf numFmtId="0" fontId="2" fillId="5" borderId="20" applyAlignment="1" applyProtection="1" pivotButton="0" quotePrefix="0" xfId="0">
      <alignment horizontal="center" vertical="center"/>
      <protection locked="0" hidden="0"/>
    </xf>
    <xf numFmtId="0" fontId="11" fillId="2" borderId="6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1" fillId="0" borderId="15" applyAlignment="1" applyProtection="1" pivotButton="0" quotePrefix="0" xfId="0">
      <alignment horizontal="center" vertical="center" wrapText="1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15" applyAlignment="1" pivotButton="0" quotePrefix="0" xfId="0">
      <alignment horizontal="center" vertical="center" wrapText="1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center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1" fillId="0" borderId="20" applyAlignment="1" applyProtection="1" pivotButton="0" quotePrefix="0" xfId="0">
      <alignment horizontal="center" vertical="center" wrapText="1"/>
      <protection locked="0" hidden="0"/>
    </xf>
    <xf numFmtId="0" fontId="2" fillId="0" borderId="0" applyProtection="1" pivotButton="0" quotePrefix="0" xfId="0">
      <protection locked="0" hidden="0"/>
    </xf>
    <xf numFmtId="0" fontId="1" fillId="0" borderId="10" applyAlignment="1" applyProtection="1" pivotButton="0" quotePrefix="0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165" fontId="1" fillId="0" borderId="1" applyAlignment="1" applyProtection="1" pivotButton="0" quotePrefix="0" xfId="0">
      <alignment horizontal="center" vertical="center" wrapText="1"/>
      <protection locked="0" hidden="0"/>
    </xf>
    <xf numFmtId="165" fontId="2" fillId="0" borderId="1" applyAlignment="1" applyProtection="1" pivotButton="0" quotePrefix="0" xfId="0">
      <alignment horizontal="center" vertical="center" wrapText="1"/>
      <protection locked="0" hidden="0"/>
    </xf>
    <xf numFmtId="166" fontId="2" fillId="0" borderId="1" applyAlignment="1" applyProtection="1" pivotButton="0" quotePrefix="0" xfId="0">
      <alignment horizontal="center" vertical="center" wrapText="1"/>
      <protection locked="0" hidden="0"/>
    </xf>
    <xf numFmtId="167" fontId="2" fillId="0" borderId="1" applyAlignment="1" applyProtection="1" pivotButton="0" quotePrefix="0" xfId="0">
      <alignment horizontal="center" vertical="center" wrapText="1"/>
      <protection locked="0" hidden="0"/>
    </xf>
    <xf numFmtId="167" fontId="1" fillId="0" borderId="1" applyAlignment="1" applyProtection="1" pivotButton="0" quotePrefix="0" xfId="0">
      <alignment horizontal="center" vertical="center" wrapText="1"/>
      <protection locked="0" hidden="0"/>
    </xf>
    <xf numFmtId="9" fontId="2" fillId="0" borderId="1" applyAlignment="1" applyProtection="1" pivotButton="0" quotePrefix="0" xfId="1">
      <alignment horizontal="center" vertical="center" wrapText="1"/>
      <protection locked="0" hidden="0"/>
    </xf>
    <xf numFmtId="9" fontId="1" fillId="0" borderId="1" applyAlignment="1" applyProtection="1" pivotButton="0" quotePrefix="0" xfId="1">
      <alignment horizontal="center" vertical="center" wrapText="1"/>
      <protection locked="0" hidden="0"/>
    </xf>
    <xf numFmtId="0" fontId="1" fillId="0" borderId="1" applyAlignment="1" applyProtection="1" pivotButton="0" quotePrefix="1" xfId="0">
      <alignment horizontal="center" vertical="center" wrapText="1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1" fillId="0" borderId="11" applyAlignment="1" applyProtection="1" pivotButton="0" quotePrefix="0" xfId="0">
      <alignment horizontal="center" vertical="center"/>
      <protection locked="0" hidden="0"/>
    </xf>
    <xf numFmtId="49" fontId="1" fillId="5" borderId="2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3" pivotButton="0" quotePrefix="0" xfId="0"/>
    <xf numFmtId="0" fontId="0" fillId="0" borderId="3" applyProtection="1" pivotButton="0" quotePrefix="0" xfId="0">
      <protection locked="0" hidden="0"/>
    </xf>
    <xf numFmtId="0" fontId="1" fillId="0" borderId="29" applyAlignment="1" pivotButton="0" quotePrefix="0" xfId="0">
      <alignment horizontal="center" vertical="center"/>
    </xf>
    <xf numFmtId="0" fontId="0" fillId="0" borderId="24" pivotButton="0" quotePrefix="0" xfId="0"/>
    <xf numFmtId="0" fontId="1" fillId="0" borderId="36" applyAlignment="1" applyProtection="1" pivotButton="0" quotePrefix="0" xfId="0">
      <alignment horizontal="center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1" fillId="0" borderId="36" applyAlignment="1" applyProtection="1" pivotButton="0" quotePrefix="0" xfId="0">
      <alignment horizontal="center" vertical="center" wrapText="1"/>
      <protection locked="0" hidden="0"/>
    </xf>
    <xf numFmtId="0" fontId="0" fillId="0" borderId="18" pivotButton="0" quotePrefix="0" xfId="0"/>
    <xf numFmtId="0" fontId="0" fillId="0" borderId="41" pivotButton="0" quotePrefix="0" xfId="0"/>
    <xf numFmtId="0" fontId="0" fillId="0" borderId="4" applyProtection="1" pivotButton="0" quotePrefix="0" xfId="0">
      <protection locked="0" hidden="0"/>
    </xf>
    <xf numFmtId="0" fontId="0" fillId="0" borderId="4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16" pivotButton="0" quotePrefix="0" xfId="0"/>
    <xf numFmtId="0" fontId="12" fillId="0" borderId="4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6" pivotButton="0" quotePrefix="0" xfId="0"/>
    <xf numFmtId="0" fontId="10" fillId="6" borderId="44" applyAlignment="1" pivotButton="0" quotePrefix="0" xfId="0">
      <alignment horizontal="center" vertical="center"/>
    </xf>
    <xf numFmtId="0" fontId="0" fillId="0" borderId="38" pivotButton="0" quotePrefix="0" xfId="0"/>
    <xf numFmtId="0" fontId="14" fillId="2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7" fillId="0" borderId="7" applyAlignment="1" pivotButton="0" quotePrefix="0" xfId="0">
      <alignment horizontal="center" vertical="center" wrapText="1"/>
    </xf>
    <xf numFmtId="0" fontId="0" fillId="0" borderId="27" pivotButton="0" quotePrefix="0" xfId="0"/>
    <xf numFmtId="0" fontId="7" fillId="0" borderId="8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20" pivotButton="0" quotePrefix="0" xfId="0"/>
    <xf numFmtId="0" fontId="1" fillId="5" borderId="11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1" fillId="3" borderId="11" applyAlignment="1" applyProtection="1" pivotButton="0" quotePrefix="0" xfId="0">
      <alignment horizontal="center" vertical="center" wrapText="1"/>
      <protection locked="0" hidden="0"/>
    </xf>
    <xf numFmtId="0" fontId="1" fillId="0" borderId="11" applyAlignment="1" applyProtection="1" pivotButton="0" quotePrefix="0" xfId="0">
      <alignment horizontal="center" vertical="center" wrapText="1"/>
      <protection locked="0" hidden="0"/>
    </xf>
    <xf numFmtId="0" fontId="2" fillId="5" borderId="10" applyAlignment="1" applyProtection="1" pivotButton="0" quotePrefix="0" xfId="0">
      <alignment horizontal="center" vertical="center" wrapText="1"/>
      <protection locked="0" hidden="0"/>
    </xf>
    <xf numFmtId="0" fontId="2" fillId="0" borderId="10" applyAlignment="1" applyProtection="1" pivotButton="0" quotePrefix="0" xfId="0">
      <alignment horizontal="center" vertical="center" wrapText="1"/>
      <protection locked="0" hidden="0"/>
    </xf>
    <xf numFmtId="0" fontId="2" fillId="0" borderId="12" applyAlignment="1" applyProtection="1" pivotButton="0" quotePrefix="0" xfId="0">
      <alignment horizontal="center" vertical="center" wrapText="1"/>
      <protection locked="0" hidden="0"/>
    </xf>
    <xf numFmtId="0" fontId="1" fillId="3" borderId="13" applyAlignment="1" applyProtection="1" pivotButton="0" quotePrefix="0" xfId="0">
      <alignment horizontal="center" vertical="center" wrapText="1"/>
      <protection locked="0" hidden="0"/>
    </xf>
    <xf numFmtId="0" fontId="1" fillId="3" borderId="14" applyAlignment="1" applyProtection="1" pivotButton="0" quotePrefix="0" xfId="0">
      <alignment horizontal="center" vertical="center" wrapText="1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40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6" pivotButton="0" quotePrefix="0" xfId="0"/>
    <xf numFmtId="0" fontId="0" fillId="0" borderId="39" pivotButton="0" quotePrefix="0" xfId="0"/>
    <xf numFmtId="0" fontId="0" fillId="0" borderId="3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49" fontId="1" fillId="0" borderId="1" applyAlignment="1" applyProtection="1" pivotButton="0" quotePrefix="0" xfId="0">
      <alignment horizontal="center" vertical="center"/>
      <protection locked="0" hidden="0"/>
    </xf>
    <xf numFmtId="49" fontId="1" fillId="5" borderId="1" applyAlignment="1" applyProtection="1" pivotButton="0" quotePrefix="0" xfId="0">
      <alignment horizontal="center" vertical="center"/>
      <protection locked="0" hidden="0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2" fillId="5" borderId="1" applyAlignment="1" applyProtection="1" pivotButton="0" quotePrefix="0" xfId="0">
      <alignment horizontal="center" vertical="center"/>
      <protection locked="0" hidden="0"/>
    </xf>
    <xf numFmtId="0" fontId="2" fillId="4" borderId="9" applyAlignment="1" pivotButton="0" quotePrefix="0" xfId="0">
      <alignment horizontal="center" vertical="center"/>
    </xf>
    <xf numFmtId="0" fontId="20" fillId="0" borderId="0" pivotButton="0" quotePrefix="0" xfId="0"/>
    <xf numFmtId="0" fontId="21" fillId="8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1" fillId="0" borderId="0" pivotButton="0" quotePrefix="0" xfId="0"/>
  </cellXfs>
  <cellStyles count="4">
    <cellStyle name="Normal" xfId="0" builtinId="0"/>
    <cellStyle name="Pourcentage" xfId="1" builtinId="5"/>
    <cellStyle name="Normal 6" xfId="2"/>
    <cellStyle name="Lien hypertexte" xfId="3" builtinId="8"/>
  </cellStyles>
  <dxfs count="13"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C4BA98"/>
        </patternFill>
      </fill>
    </dxf>
    <dxf>
      <fill>
        <patternFill>
          <bgColor rgb="FFC4BA98"/>
        </patternFill>
      </fill>
    </dxf>
    <dxf>
      <fill>
        <patternFill>
          <bgColor rgb="FFC4BA98"/>
        </patternFill>
      </fill>
    </dxf>
    <dxf>
      <fill>
        <patternFill>
          <bgColor rgb="FFC4BA98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Claude</author>
  </authors>
  <commentList>
    <comment ref="B2" authorId="0" shapeId="0">
      <text>
        <t>Ce référentiel est un point de départ. A remplacer par la vraie base clients ARTIS (si elle existe déjà sur le SharePoint, on la branche ici à la place).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B2" authorId="0" shapeId="0">
      <text>
        <t>Cette liste reprend les intitulés déjà présents dans 'Actions - Liste des livrables'. Je n'ai inventé aucun texte réglementaire : à toi de me donner/valider les références exactes (AM, DESP, CODAP, specs NaTran type SG-xxxx) pour chaque ligne.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B2" authorId="0" shapeId="0">
      <text>
        <t>Mapping que j'ai déduit en comparant les intitulés des deux onglets existants. A valider ligne par ligne, notamment les 3 GDER regroupées et 'Carnet de soudures' qui n'a pas d'équivalent dans Heures BE.</t>
      </text>
    </comment>
  </commentList>
</comment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nne-sophie.dufournet@external.natrangroupe.com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zoomScaleNormal="100" workbookViewId="0">
      <selection activeCell="C12" sqref="C12:I12"/>
    </sheetView>
  </sheetViews>
  <sheetFormatPr baseColWidth="10" defaultColWidth="10.7109375" defaultRowHeight="14.25" outlineLevelRow="1"/>
  <cols>
    <col width="3.5703125" customWidth="1" style="123" min="1" max="1"/>
    <col width="15.5703125" customWidth="1" style="123" min="2" max="2"/>
    <col width="11.28515625" customWidth="1" style="123" min="3" max="9"/>
    <col width="1.42578125" customWidth="1" style="123" min="10" max="10"/>
    <col width="10.7109375" customWidth="1" style="123" min="11" max="16"/>
    <col width="13.5703125" bestFit="1" customWidth="1" style="123" min="17" max="17"/>
    <col width="8.28515625" bestFit="1" customWidth="1" style="123" min="18" max="18"/>
    <col width="7.7109375" bestFit="1" customWidth="1" style="123" min="19" max="19"/>
    <col width="13.7109375" bestFit="1" customWidth="1" style="123" min="20" max="20"/>
    <col width="16.5703125" bestFit="1" customWidth="1" style="123" min="21" max="21"/>
    <col width="6.28515625" bestFit="1" customWidth="1" style="123" min="22" max="22"/>
    <col width="10.7109375" customWidth="1" style="123" min="23" max="16384"/>
  </cols>
  <sheetData>
    <row r="1" ht="29.1" customHeight="1"/>
    <row r="2" ht="15" customHeight="1">
      <c r="D2" s="136" t="inlineStr">
        <is>
          <t>Lancement Affaire - Bureau d'Etudes</t>
        </is>
      </c>
      <c r="E2" s="258" t="n"/>
      <c r="F2" s="258" t="n"/>
      <c r="G2" s="258" t="n"/>
      <c r="H2" s="258" t="n"/>
      <c r="I2" s="259" t="n"/>
    </row>
    <row r="3">
      <c r="D3" s="116" t="inlineStr">
        <is>
          <t>DOMAINE D'APPLICATION</t>
        </is>
      </c>
      <c r="E3" s="259" t="n"/>
      <c r="F3" s="116" t="inlineStr">
        <is>
          <t>NATURE</t>
        </is>
      </c>
      <c r="G3" s="116" t="inlineStr">
        <is>
          <t>N° D'ORDRE</t>
        </is>
      </c>
      <c r="H3" s="116" t="inlineStr">
        <is>
          <t>VERSION</t>
        </is>
      </c>
      <c r="I3" s="30" t="inlineStr">
        <is>
          <t>NB DE PAGES</t>
        </is>
      </c>
    </row>
    <row r="4">
      <c r="D4" s="117" t="inlineStr">
        <is>
          <t>2026-AF095</t>
        </is>
      </c>
      <c r="E4" s="260" t="n"/>
      <c r="F4" s="218" t="inlineStr">
        <is>
          <t>LBE</t>
        </is>
      </c>
      <c r="G4" s="2" t="inlineStr">
        <is>
          <t>01</t>
        </is>
      </c>
      <c r="H4" s="218">
        <f>IF(B21="","v0",IF(B22="","v1",IF(B23="","v2",IF(B25="","v3",""))))</f>
        <v/>
      </c>
      <c r="I4" s="40">
        <f>+IF(D23="",IF(D22="",IF(D21="",D20,D21),D22),D23)</f>
        <v/>
      </c>
      <c r="J4" s="31" t="inlineStr">
        <is>
          <t> </t>
        </is>
      </c>
    </row>
    <row r="5" ht="7.15" customHeight="1"/>
    <row r="6" hidden="1" ht="10.5" customHeight="1">
      <c r="B6" s="31" t="inlineStr">
        <is>
          <t>Code client</t>
        </is>
      </c>
      <c r="C6" s="123">
        <f>IFERROR(VLOOKUP($D$4,'Référentiel (A COMPLETER)'!$B$5:$F$50,2,FALSE),"A COMPLETER")</f>
        <v/>
      </c>
      <c r="E6" s="31" t="n"/>
      <c r="F6" s="31" t="inlineStr">
        <is>
          <t>code resp</t>
        </is>
      </c>
      <c r="G6" s="123">
        <f>IFERROR(VLOOKUP($D$4,'Référentiel (A COMPLETER)'!$B$5:$F$50,4,FALSE),"A COMPLETER")</f>
        <v/>
      </c>
    </row>
    <row r="7" ht="59.1" customHeight="1" thickBot="1"/>
    <row r="8" ht="34.15" customHeight="1" thickBot="1">
      <c r="B8" s="32" t="inlineStr">
        <is>
          <t xml:space="preserve">N° Affaire </t>
        </is>
      </c>
      <c r="C8" s="261">
        <f>IF(D4="","",D4)</f>
        <v/>
      </c>
      <c r="D8" s="262" t="n"/>
      <c r="E8" s="33" t="inlineStr">
        <is>
          <t>Client</t>
        </is>
      </c>
      <c r="F8" s="263" t="inlineStr">
        <is>
          <t>NATRAN</t>
        </is>
      </c>
      <c r="G8" s="264" t="n"/>
      <c r="H8" s="264" t="n"/>
      <c r="I8" s="265" t="n"/>
    </row>
    <row r="9" ht="12.6" customHeight="1" thickBot="1"/>
    <row r="10" ht="34.15" customHeight="1" thickBot="1">
      <c r="B10" s="33" t="inlineStr">
        <is>
          <t>Intitulé</t>
        </is>
      </c>
      <c r="C10" s="266" t="inlineStr">
        <is>
          <t>Projet V9K23 Beynes 
concernant le remplacement de la vanne MSR DN400 avec raccordement</t>
        </is>
      </c>
      <c r="D10" s="264" t="n"/>
      <c r="E10" s="264" t="n"/>
      <c r="F10" s="264" t="n"/>
      <c r="G10" s="264" t="n"/>
      <c r="H10" s="264" t="n"/>
      <c r="I10" s="265" t="n"/>
    </row>
    <row r="11" ht="16.15" customHeight="1" thickBot="1"/>
    <row r="12" ht="34.15" customHeight="1" thickBot="1">
      <c r="B12" s="34" t="inlineStr">
        <is>
          <t>Responsable Affaire ARTIS</t>
        </is>
      </c>
      <c r="C12" s="263" t="inlineStr">
        <is>
          <t>AYTE</t>
        </is>
      </c>
      <c r="D12" s="264" t="n"/>
      <c r="E12" s="264" t="n"/>
      <c r="F12" s="264" t="n"/>
      <c r="G12" s="264" t="n"/>
      <c r="H12" s="264" t="n"/>
      <c r="I12" s="265" t="n"/>
    </row>
    <row r="13" ht="16.15" customHeight="1" thickBot="1"/>
    <row r="14" ht="13.9" customHeight="1">
      <c r="B14" s="96" t="inlineStr">
        <is>
          <t>Révisions du document</t>
        </is>
      </c>
      <c r="C14" s="267" t="n"/>
      <c r="D14" s="267" t="n"/>
      <c r="E14" s="267" t="n"/>
      <c r="F14" s="267" t="n"/>
      <c r="G14" s="267" t="n"/>
      <c r="H14" s="267" t="n"/>
      <c r="I14" s="268" t="n"/>
    </row>
    <row r="15" ht="13.9" customHeight="1">
      <c r="B15" s="7" t="inlineStr">
        <is>
          <t>Version</t>
        </is>
      </c>
      <c r="C15" s="119" t="inlineStr">
        <is>
          <t>Date</t>
        </is>
      </c>
      <c r="D15" s="119" t="inlineStr">
        <is>
          <t>Modification</t>
        </is>
      </c>
      <c r="E15" s="258" t="n"/>
      <c r="F15" s="258" t="n"/>
      <c r="G15" s="258" t="n"/>
      <c r="H15" s="259" t="n"/>
      <c r="I15" s="35" t="inlineStr">
        <is>
          <t>Initiales</t>
        </is>
      </c>
    </row>
    <row r="16" ht="13.9" customHeight="1">
      <c r="B16" s="41" t="n">
        <v>0</v>
      </c>
      <c r="C16" s="4" t="n">
        <v>46199</v>
      </c>
      <c r="D16" s="118" t="inlineStr">
        <is>
          <t>CREATION DU FICHIER</t>
        </is>
      </c>
      <c r="E16" s="269" t="n"/>
      <c r="F16" s="269" t="n"/>
      <c r="G16" s="269" t="n"/>
      <c r="H16" s="260" t="n"/>
      <c r="I16" s="42" t="n"/>
    </row>
    <row r="17" ht="13.9" customHeight="1">
      <c r="B17" s="41" t="n"/>
      <c r="C17" s="4" t="n"/>
      <c r="D17" s="118" t="n"/>
      <c r="E17" s="269" t="n"/>
      <c r="F17" s="269" t="n"/>
      <c r="G17" s="269" t="n"/>
      <c r="H17" s="260" t="n"/>
      <c r="I17" s="42" t="n"/>
    </row>
    <row r="18" ht="13.9" customHeight="1">
      <c r="B18" s="41" t="n"/>
      <c r="C18" s="4" t="n"/>
      <c r="D18" s="118" t="n"/>
      <c r="E18" s="269" t="n"/>
      <c r="F18" s="269" t="n"/>
      <c r="G18" s="269" t="n"/>
      <c r="H18" s="260" t="n"/>
      <c r="I18" s="42" t="n"/>
    </row>
    <row r="19" ht="13.9" customHeight="1">
      <c r="B19" s="41" t="n"/>
      <c r="C19" s="4" t="n"/>
      <c r="D19" s="118" t="n"/>
      <c r="E19" s="269" t="n"/>
      <c r="F19" s="269" t="n"/>
      <c r="G19" s="269" t="n"/>
      <c r="H19" s="260" t="n"/>
      <c r="I19" s="42" t="n"/>
    </row>
    <row r="20" ht="13.9" customHeight="1">
      <c r="B20" s="41" t="n"/>
      <c r="C20" s="4" t="n"/>
      <c r="D20" s="118" t="n"/>
      <c r="E20" s="269" t="n"/>
      <c r="F20" s="269" t="n"/>
      <c r="G20" s="269" t="n"/>
      <c r="H20" s="260" t="n"/>
      <c r="I20" s="42" t="n"/>
    </row>
    <row r="21" ht="13.9" customHeight="1" thickBot="1">
      <c r="B21" s="43" t="n"/>
      <c r="C21" s="10" t="n"/>
      <c r="D21" s="112" t="n"/>
      <c r="E21" s="270" t="n"/>
      <c r="F21" s="270" t="n"/>
      <c r="G21" s="270" t="n"/>
      <c r="H21" s="271" t="n"/>
      <c r="I21" s="44" t="n"/>
    </row>
    <row r="22" ht="15" customHeight="1" thickBot="1"/>
    <row r="23" ht="13.9" customHeight="1">
      <c r="B23" s="96" t="inlineStr">
        <is>
          <t>Interlocuteur Client 1</t>
        </is>
      </c>
      <c r="C23" s="267" t="n"/>
      <c r="D23" s="267" t="n"/>
      <c r="E23" s="267" t="n"/>
      <c r="F23" s="267" t="n"/>
      <c r="G23" s="267" t="n"/>
      <c r="H23" s="267" t="n"/>
      <c r="I23" s="268" t="n"/>
    </row>
    <row r="24" ht="13.9" customHeight="1">
      <c r="B24" s="99" t="inlineStr">
        <is>
          <t>NOM - Prénom</t>
        </is>
      </c>
      <c r="C24" s="259" t="n"/>
      <c r="D24" s="100" t="inlineStr">
        <is>
          <t>Poste</t>
        </is>
      </c>
      <c r="E24" s="259" t="n"/>
      <c r="F24" s="100" t="inlineStr">
        <is>
          <t>N° Téléphone</t>
        </is>
      </c>
      <c r="G24" s="259" t="n"/>
      <c r="H24" s="100" t="inlineStr">
        <is>
          <t>Adresse mail</t>
        </is>
      </c>
      <c r="I24" s="259" t="n"/>
    </row>
    <row r="25" ht="30" customHeight="1" thickBot="1">
      <c r="B25" s="102" t="inlineStr">
        <is>
          <t>DUFOURNET Anne-Sophie</t>
        </is>
      </c>
      <c r="C25" s="272" t="n"/>
      <c r="D25" s="103" t="inlineStr">
        <is>
          <t>Chef de projet</t>
        </is>
      </c>
      <c r="E25" s="272" t="n"/>
      <c r="F25" s="103" t="inlineStr">
        <is>
          <t>06.62.82.64.12</t>
        </is>
      </c>
      <c r="G25" s="272" t="n"/>
      <c r="H25" s="105" t="inlineStr">
        <is>
          <t>anne-sophie.dufournet@external.natrangroupe.com</t>
        </is>
      </c>
      <c r="I25" s="272" t="n"/>
    </row>
    <row r="26" ht="13.9" customHeight="1" thickBot="1"/>
    <row r="27" ht="13.9" customHeight="1">
      <c r="B27" s="96" t="inlineStr">
        <is>
          <t>Interlocuteur Client 2 (si nécessaire)</t>
        </is>
      </c>
      <c r="C27" s="267" t="n"/>
      <c r="D27" s="267" t="n"/>
      <c r="E27" s="267" t="n"/>
      <c r="F27" s="267" t="n"/>
      <c r="G27" s="267" t="n"/>
      <c r="H27" s="267" t="n"/>
      <c r="I27" s="268" t="n"/>
    </row>
    <row r="28" ht="13.9" customHeight="1">
      <c r="B28" s="99" t="inlineStr">
        <is>
          <t>NOM - Prénom</t>
        </is>
      </c>
      <c r="C28" s="259" t="n"/>
      <c r="D28" s="100" t="inlineStr">
        <is>
          <t>Poste</t>
        </is>
      </c>
      <c r="E28" s="259" t="n"/>
      <c r="F28" s="100" t="inlineStr">
        <is>
          <t>N° Téléphone</t>
        </is>
      </c>
      <c r="G28" s="259" t="n"/>
      <c r="H28" s="100" t="inlineStr">
        <is>
          <t>Adresse mail</t>
        </is>
      </c>
      <c r="I28" s="259" t="n"/>
    </row>
    <row r="29" ht="30" customHeight="1" thickBot="1">
      <c r="B29" s="102" t="n"/>
      <c r="C29" s="272" t="n"/>
      <c r="D29" s="104" t="n"/>
      <c r="E29" s="272" t="n"/>
      <c r="F29" s="104" t="n"/>
      <c r="G29" s="272" t="n"/>
      <c r="H29" s="104" t="n"/>
      <c r="I29" s="272" t="n"/>
    </row>
    <row r="30" ht="65.09999999999999" customHeight="1"/>
    <row r="31" ht="14.1" customHeight="1">
      <c r="C31" s="123" t="inlineStr"/>
      <c r="D31" s="123" t="inlineStr"/>
      <c r="E31" s="123" t="inlineStr"/>
      <c r="F31" s="123" t="inlineStr"/>
      <c r="G31" s="123" t="inlineStr"/>
    </row>
    <row r="32" hidden="1" outlineLevel="1">
      <c r="B32" s="96" t="inlineStr">
        <is>
          <t>Interlocuteur ARTIS</t>
        </is>
      </c>
      <c r="C32" s="267" t="n"/>
      <c r="D32" s="267" t="n"/>
      <c r="E32" s="267" t="n"/>
      <c r="F32" s="267" t="n"/>
      <c r="G32" s="267" t="n"/>
      <c r="H32" s="267" t="n"/>
      <c r="I32" s="268" t="n"/>
    </row>
    <row r="33" hidden="1" outlineLevel="1" ht="30" customHeight="1">
      <c r="B33" s="36" t="inlineStr">
        <is>
          <t>Nom - Prénom</t>
        </is>
      </c>
      <c r="C33" s="124" t="inlineStr">
        <is>
          <t>Fonction</t>
        </is>
      </c>
      <c r="D33" s="124" t="inlineStr">
        <is>
          <t>Adresse</t>
        </is>
      </c>
      <c r="E33" s="259" t="n"/>
      <c r="F33" s="124" t="inlineStr">
        <is>
          <t>Téléphone fixe</t>
        </is>
      </c>
      <c r="G33" s="124" t="inlineStr">
        <is>
          <t>Téléphone mobile</t>
        </is>
      </c>
      <c r="H33" s="124" t="inlineStr">
        <is>
          <t>E-mail</t>
        </is>
      </c>
      <c r="I33" s="259" t="n"/>
    </row>
    <row r="34" hidden="1" outlineLevel="1" ht="65.09999999999999" customHeight="1" thickBot="1">
      <c r="B34" s="38" t="n"/>
      <c r="C34" s="126" t="n"/>
      <c r="D34" s="126" t="n"/>
      <c r="E34" s="272" t="n"/>
      <c r="F34" s="126" t="n"/>
      <c r="G34" s="126" t="n"/>
      <c r="H34" s="126" t="n"/>
      <c r="I34" s="272" t="n"/>
    </row>
    <row r="35" collapsed="1"/>
    <row r="36">
      <c r="B36" s="123" t="n"/>
    </row>
  </sheetData>
  <mergeCells count="39">
    <mergeCell ref="D2:I2"/>
    <mergeCell ref="D20:H20"/>
    <mergeCell ref="F29:G29"/>
    <mergeCell ref="B25:C25"/>
    <mergeCell ref="H29:I29"/>
    <mergeCell ref="D34:E34"/>
    <mergeCell ref="F25:G25"/>
    <mergeCell ref="D19:H19"/>
    <mergeCell ref="B27:I27"/>
    <mergeCell ref="H34:I34"/>
    <mergeCell ref="D21:H21"/>
    <mergeCell ref="H25:I25"/>
    <mergeCell ref="F24:G24"/>
    <mergeCell ref="B14:I14"/>
    <mergeCell ref="B23:I23"/>
    <mergeCell ref="D17:H17"/>
    <mergeCell ref="B29:C29"/>
    <mergeCell ref="D16:H16"/>
    <mergeCell ref="B28:C28"/>
    <mergeCell ref="D28:E28"/>
    <mergeCell ref="D4:E4"/>
    <mergeCell ref="C10:I10"/>
    <mergeCell ref="F28:G28"/>
    <mergeCell ref="H28:I28"/>
    <mergeCell ref="D3:E3"/>
    <mergeCell ref="D18:H18"/>
    <mergeCell ref="C8:D8"/>
    <mergeCell ref="D25:E25"/>
    <mergeCell ref="B24:C24"/>
    <mergeCell ref="D15:H15"/>
    <mergeCell ref="D24:E24"/>
    <mergeCell ref="D33:E33"/>
    <mergeCell ref="F8:I8"/>
    <mergeCell ref="D29:E29"/>
    <mergeCell ref="H24:I24"/>
    <mergeCell ref="H33:I33"/>
    <mergeCell ref="C12:I12"/>
    <mergeCell ref="B36:I36"/>
    <mergeCell ref="B32:I32"/>
  </mergeCells>
  <hyperlinks>
    <hyperlink xmlns:r="http://schemas.openxmlformats.org/officeDocument/2006/relationships" ref="H25" r:id="rId1"/>
  </hyperlinks>
  <pageMargins left="0.2362204724409449" right="0" top="0.5118110236220472" bottom="0" header="0.2362204724409449" footer="0"/>
  <pageSetup orientation="portrait" paperSize="9" scale="98"/>
  <headerFooter>
    <oddHeader>&amp;L&amp;G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Feuil1">
    <outlinePr summaryBelow="1" summaryRight="1"/>
    <pageSetUpPr fitToPage="1"/>
  </sheetPr>
  <dimension ref="B2:M47"/>
  <sheetViews>
    <sheetView showGridLines="0" topLeftCell="A6" zoomScale="70" zoomScaleNormal="70" workbookViewId="0">
      <selection activeCell="P17" sqref="P17"/>
    </sheetView>
  </sheetViews>
  <sheetFormatPr baseColWidth="10" defaultColWidth="10.7109375" defaultRowHeight="14.25"/>
  <cols>
    <col width="3.7109375" customWidth="1" style="123" min="1" max="1"/>
    <col hidden="1" width="10.5703125" customWidth="1" style="123" min="2" max="2"/>
    <col width="25.7109375" customWidth="1" style="123" min="3" max="4"/>
    <col width="17.28515625" customWidth="1" style="123" min="5" max="7"/>
    <col width="4.5703125" customWidth="1" style="123" min="8" max="8"/>
    <col width="15.140625" bestFit="1" customWidth="1" style="123" min="9" max="9"/>
    <col hidden="1" width="10.7109375" customWidth="1" style="123" min="10" max="12"/>
    <col width="46.140625" bestFit="1" customWidth="1" style="123" min="13" max="13"/>
    <col width="10.7109375" customWidth="1" style="123" min="14" max="16384"/>
  </cols>
  <sheetData>
    <row r="2" ht="15" customHeight="1">
      <c r="D2" s="136" t="inlineStr">
        <is>
          <t>Lancement Affaire - Bureau d'Etudes</t>
        </is>
      </c>
      <c r="E2" s="258" t="n"/>
      <c r="F2" s="258" t="n"/>
      <c r="G2" s="259" t="n"/>
      <c r="H2" s="25" t="n"/>
    </row>
    <row r="3">
      <c r="D3" s="116" t="inlineStr">
        <is>
          <t>DOMAINE D'APPLICATION</t>
        </is>
      </c>
      <c r="E3" s="116" t="inlineStr">
        <is>
          <t>NATURE</t>
        </is>
      </c>
      <c r="F3" s="116" t="inlineStr">
        <is>
          <t>N° D'ORDRE</t>
        </is>
      </c>
      <c r="G3" s="116" t="inlineStr">
        <is>
          <t>VERSION</t>
        </is>
      </c>
      <c r="H3" s="1" t="n"/>
    </row>
    <row r="4">
      <c r="D4" s="218">
        <f>'Page de Garde'!D4</f>
        <v/>
      </c>
      <c r="E4" s="218" t="inlineStr">
        <is>
          <t>LBE</t>
        </is>
      </c>
      <c r="F4" s="219">
        <f>'Page de Garde'!G4</f>
        <v/>
      </c>
      <c r="G4" s="218">
        <f>'Page de Garde'!H4</f>
        <v/>
      </c>
      <c r="H4" s="26" t="n"/>
    </row>
    <row r="5" ht="64.15000000000001" customHeight="1" thickBot="1"/>
    <row r="6" ht="18" customHeight="1" thickBot="1">
      <c r="C6" s="273" t="inlineStr">
        <is>
          <t>ACTIONS BUREAU D'ETUDES</t>
        </is>
      </c>
      <c r="D6" s="274" t="n"/>
      <c r="E6" s="274" t="n"/>
      <c r="F6" s="274" t="n"/>
      <c r="G6" s="275" t="n"/>
    </row>
    <row r="7" ht="18" customHeight="1" thickBot="1">
      <c r="C7" s="276" t="inlineStr">
        <is>
          <t>LIVRABLES CLIENT</t>
        </is>
      </c>
      <c r="D7" s="274" t="n"/>
      <c r="E7" s="274" t="n"/>
      <c r="F7" s="274" t="n"/>
      <c r="G7" s="275" t="n"/>
    </row>
    <row r="8" ht="18" customHeight="1" thickBot="1">
      <c r="C8" s="273" t="inlineStr">
        <is>
          <t>DOCUMENTS A PRODUIRE</t>
        </is>
      </c>
      <c r="D8" s="274" t="n"/>
      <c r="E8" s="274" t="n"/>
      <c r="F8" s="274" t="n"/>
      <c r="G8" s="275" t="n"/>
      <c r="M8" s="19" t="inlineStr">
        <is>
          <t>LISTE A COPIER SI NECESSAIRE</t>
        </is>
      </c>
    </row>
    <row r="9" ht="10.15" customHeight="1"/>
    <row r="10" ht="18" customHeight="1">
      <c r="C10" s="138" t="inlineStr">
        <is>
          <t>Elément</t>
        </is>
      </c>
      <c r="D10" s="259" t="n"/>
      <c r="E10" s="139" t="inlineStr">
        <is>
          <t>COMMENTAIRES</t>
        </is>
      </c>
      <c r="F10" s="258" t="n"/>
      <c r="G10" s="259" t="n"/>
      <c r="I10" s="119" t="inlineStr">
        <is>
          <t>SELECTIONNER</t>
        </is>
      </c>
      <c r="M10" s="28" t="inlineStr">
        <is>
          <t>Elément</t>
        </is>
      </c>
    </row>
    <row r="11" ht="18" customHeight="1">
      <c r="B11" s="123">
        <f>VLOOKUP(1,$L$11:$L$31,1,FALSE)</f>
        <v/>
      </c>
      <c r="C11" s="129">
        <f>VLOOKUP(1,L11:M46,2,FALSE)</f>
        <v/>
      </c>
      <c r="D11" s="259" t="n"/>
      <c r="E11" s="131" t="n"/>
      <c r="F11" s="269" t="n"/>
      <c r="G11" s="260" t="n"/>
      <c r="I11" s="255" t="inlineStr">
        <is>
          <t>x</t>
        </is>
      </c>
      <c r="J11" s="21" t="n">
        <v>1</v>
      </c>
      <c r="K11" s="21">
        <f>+IF(I11="","",J11)</f>
        <v/>
      </c>
      <c r="L11" s="91">
        <f>IF(I11="","",RANK(K11,$K$11:$K$46,1))</f>
        <v/>
      </c>
      <c r="M11" s="173" t="inlineStr">
        <is>
          <t>Nomenclature</t>
        </is>
      </c>
    </row>
    <row r="12" ht="18" customHeight="1">
      <c r="B12" s="123">
        <f>IF(MAX($L$11:$L$46)&lt;=1,"",VLOOKUP(B11+1,$L$11:$M$46,1,FALSE))</f>
        <v/>
      </c>
      <c r="C12" s="134">
        <f>IF(MAX($L$11:$L$46)&lt;=1,"",VLOOKUP(B11+1,$L$11:$M$46,2,FALSE))</f>
        <v/>
      </c>
      <c r="D12" s="259" t="n"/>
      <c r="E12" s="131" t="n"/>
      <c r="F12" s="269" t="n"/>
      <c r="G12" s="260" t="n"/>
      <c r="I12" s="255" t="n"/>
      <c r="J12" s="21" t="n">
        <v>2</v>
      </c>
      <c r="K12" s="21">
        <f>+IF(I12="","",J12)</f>
        <v/>
      </c>
      <c r="L12" s="91">
        <f>IF(I12="","",RANK(K12,$K$11:$K$46,1))</f>
        <v/>
      </c>
      <c r="M12" s="173" t="inlineStr">
        <is>
          <t>Plans isométriques manuel</t>
        </is>
      </c>
    </row>
    <row r="13" ht="18" customHeight="1">
      <c r="B13" s="123">
        <f>IF(MAX($L$11:$L$46)&lt;=2,"",VLOOKUP(B12+1,$L$11:$M$46,1,FALSE))</f>
        <v/>
      </c>
      <c r="C13" s="134">
        <f>IF(MAX($L$11:$L$46)&lt;=2,"",VLOOKUP(B12+1,$L$11:$M$46,2,FALSE))</f>
        <v/>
      </c>
      <c r="D13" s="259" t="n"/>
      <c r="E13" s="131" t="n"/>
      <c r="F13" s="269" t="n"/>
      <c r="G13" s="260" t="n"/>
      <c r="I13" s="255" t="n"/>
      <c r="J13" s="21" t="n">
        <v>3</v>
      </c>
      <c r="K13" s="21">
        <f>+IF(I13="","",J13)</f>
        <v/>
      </c>
      <c r="L13" s="91">
        <f>IF(I13="","",RANK(K13,$K$11:$K$46,1))</f>
        <v/>
      </c>
      <c r="M13" s="173" t="inlineStr">
        <is>
          <t>Résa 80%</t>
        </is>
      </c>
    </row>
    <row r="14" ht="18" customHeight="1">
      <c r="B14" s="123">
        <f>IF(MAX($L$11:$L$46)&lt;=3,"",VLOOKUP(B13+1,$L$11:$M$46,1,FALSE))</f>
        <v/>
      </c>
      <c r="C14" s="134">
        <f>IF(MAX($L$11:$L$46)&lt;=3,"",VLOOKUP(B13+1,$L$11:$M$46,2,FALSE))</f>
        <v/>
      </c>
      <c r="D14" s="259" t="n"/>
      <c r="E14" s="131" t="n"/>
      <c r="F14" s="269" t="n"/>
      <c r="G14" s="260" t="n"/>
      <c r="I14" s="255" t="n"/>
      <c r="J14" s="21" t="n">
        <v>4</v>
      </c>
      <c r="K14" s="21">
        <f>+IF(I14="","",J14)</f>
        <v/>
      </c>
      <c r="L14" s="91">
        <f>IF(I14="","",RANK(K14,$K$11:$K$46,1))</f>
        <v/>
      </c>
      <c r="M14" s="173" t="inlineStr">
        <is>
          <t>Plans 3D</t>
        </is>
      </c>
    </row>
    <row r="15" ht="18" customHeight="1">
      <c r="B15" s="123">
        <f>IF(MAX($L$11:$L$46)&lt;=4,"",VLOOKUP(B14+1,$L$11:$M$46,1,FALSE))</f>
        <v/>
      </c>
      <c r="C15" s="129">
        <f>IF(MAX($L$11:$L$46)&lt;=4,"",VLOOKUP(B14+1,$L$11:$M$46,2,FALSE))</f>
        <v/>
      </c>
      <c r="D15" s="259" t="n"/>
      <c r="E15" s="131" t="n"/>
      <c r="F15" s="269" t="n"/>
      <c r="G15" s="260" t="n"/>
      <c r="I15" s="173" t="inlineStr">
        <is>
          <t>x</t>
        </is>
      </c>
      <c r="J15" s="21" t="n">
        <v>5</v>
      </c>
      <c r="K15" s="21">
        <f>+IF(I15="","",J15)</f>
        <v/>
      </c>
      <c r="L15" s="91">
        <f>IF(I15="","",RANK(K15,$K$11:$K$46,1))</f>
        <v/>
      </c>
      <c r="M15" s="173" t="inlineStr">
        <is>
          <t>Plans TUT</t>
        </is>
      </c>
    </row>
    <row r="16" ht="18" customHeight="1">
      <c r="B16" s="123">
        <f>IF(MAX($L$11:$L$46)&lt;=5,"",VLOOKUP(B15+1,$L$11:$M$46,1,FALSE))</f>
        <v/>
      </c>
      <c r="C16" s="134">
        <f>IF(MAX($L$11:$L$46)&lt;=5,"",VLOOKUP(B15+1,$L$11:$M$46,2,FALSE))</f>
        <v/>
      </c>
      <c r="D16" s="259" t="n"/>
      <c r="E16" s="148" t="inlineStr">
        <is>
          <t>A valider avec le sous-traitant</t>
        </is>
      </c>
      <c r="F16" s="269" t="n"/>
      <c r="G16" s="260" t="n"/>
      <c r="I16" s="255" t="n"/>
      <c r="J16" s="21" t="n">
        <v>6</v>
      </c>
      <c r="K16" s="21">
        <f>+IF(I16="","",J16)</f>
        <v/>
      </c>
      <c r="L16" s="91">
        <f>IF(I16="","",RANK(K16,$K$11:$K$46,1))</f>
        <v/>
      </c>
      <c r="M16" s="173" t="inlineStr">
        <is>
          <t>Résa 100%</t>
        </is>
      </c>
    </row>
    <row r="17" ht="18" customHeight="1">
      <c r="B17" s="123">
        <f>IF(MAX($L$11:$L$46)&lt;=6,"",VLOOKUP(B16+1,$L$11:$M$46,1,FALSE))</f>
        <v/>
      </c>
      <c r="C17" s="134">
        <f>IF(MAX($L$11:$L$46)&lt;=6,"",VLOOKUP(B16+1,$L$11:$M$46,2,FALSE))</f>
        <v/>
      </c>
      <c r="D17" s="259" t="n"/>
      <c r="E17" s="131" t="n"/>
      <c r="F17" s="269" t="n"/>
      <c r="G17" s="260" t="n"/>
      <c r="I17" s="255" t="inlineStr">
        <is>
          <t>x</t>
        </is>
      </c>
      <c r="J17" s="21" t="n">
        <v>7</v>
      </c>
      <c r="K17" s="21">
        <f>+IF(I17="","",J17)</f>
        <v/>
      </c>
      <c r="L17" s="91">
        <f>IF(I17="","",RANK(K17,$K$11:$K$46,1))</f>
        <v/>
      </c>
      <c r="M17" s="130" t="inlineStr">
        <is>
          <t>Plans isométriques - Repérage pièces</t>
        </is>
      </c>
    </row>
    <row r="18" ht="18" customHeight="1">
      <c r="B18" s="123">
        <f>IF(MAX($L$11:$L$46)&lt;=7,"",VLOOKUP(B17+1,$L$11:$M$46,1,FALSE))</f>
        <v/>
      </c>
      <c r="C18" s="134">
        <f>IF(MAX($L$11:$L$46)&lt;=7,"",VLOOKUP(B17+1,$L$11:$M$46,2,FALSE))</f>
        <v/>
      </c>
      <c r="D18" s="259" t="n"/>
      <c r="E18" s="131" t="n"/>
      <c r="F18" s="269" t="n"/>
      <c r="G18" s="260" t="n"/>
      <c r="I18" s="255" t="inlineStr">
        <is>
          <t>x</t>
        </is>
      </c>
      <c r="J18" s="21" t="n">
        <v>8</v>
      </c>
      <c r="K18" s="21">
        <f>+IF(I18="","",J18)</f>
        <v/>
      </c>
      <c r="L18" s="91">
        <f>IF(I18="","",RANK(K18,$K$11:$K$46,1))</f>
        <v/>
      </c>
      <c r="M18" s="130" t="inlineStr">
        <is>
          <t>Plans isométriques - Repérage soudures</t>
        </is>
      </c>
    </row>
    <row r="19" ht="18" customHeight="1">
      <c r="B19" s="123">
        <f>IF(MAX($L$11:$L$46)&lt;=8,"",VLOOKUP(B18+1,$L$11:$M$46,1,FALSE))</f>
        <v/>
      </c>
      <c r="C19" s="134">
        <f>IF(MAX($L$11:$L$46)&lt;=8,"",VLOOKUP(B18+1,$L$11:$M$46,2,FALSE))</f>
        <v/>
      </c>
      <c r="D19" s="259" t="n"/>
      <c r="E19" s="131" t="n"/>
      <c r="F19" s="269" t="n"/>
      <c r="G19" s="260" t="n"/>
      <c r="I19" s="255" t="inlineStr">
        <is>
          <t>x</t>
        </is>
      </c>
      <c r="J19" s="21" t="n">
        <v>9</v>
      </c>
      <c r="K19" s="21">
        <f>+IF(I19="","",J19)</f>
        <v/>
      </c>
      <c r="L19" s="91">
        <f>IF(I19="","",RANK(K19,$K$11:$K$46,1))</f>
        <v/>
      </c>
      <c r="M19" s="173" t="inlineStr">
        <is>
          <t>Tableau de débits</t>
        </is>
      </c>
    </row>
    <row r="20" ht="18" customHeight="1">
      <c r="B20" s="123">
        <f>IF(MAX($L$11:$L$46)&lt;=9,"",VLOOKUP(B19+1,$L$11:$M$46,1,FALSE))</f>
        <v/>
      </c>
      <c r="C20" s="134">
        <f>IF(MAX($L$11:$L$46)&lt;=9,"",VLOOKUP(B19+1,$L$11:$M$46,2,FALSE))</f>
        <v/>
      </c>
      <c r="D20" s="259" t="n"/>
      <c r="E20" s="148" t="inlineStr">
        <is>
          <t>A valider</t>
        </is>
      </c>
      <c r="F20" s="269" t="n"/>
      <c r="G20" s="260" t="n"/>
      <c r="I20" s="255" t="inlineStr">
        <is>
          <t>x</t>
        </is>
      </c>
      <c r="J20" s="21" t="n">
        <v>10</v>
      </c>
      <c r="K20" s="21">
        <f>+IF(I20="","",J20)</f>
        <v/>
      </c>
      <c r="L20" s="91">
        <f>IF(I20="","",RANK(K20,$K$11:$K$46,1))</f>
        <v/>
      </c>
      <c r="M20" s="173" t="inlineStr">
        <is>
          <t>Plans GC</t>
        </is>
      </c>
    </row>
    <row r="21" ht="18" customHeight="1">
      <c r="B21" s="123">
        <f>IF(MAX($L$11:$L$46)&lt;=10,"",VLOOKUP(B20+1,$L$11:$M$46,1,FALSE))</f>
        <v/>
      </c>
      <c r="C21" s="134">
        <f>IF(MAX($L$11:$L$46)&lt;=10,"",VLOOKUP(B20+1,$L$11:$M$46,2,FALSE))</f>
        <v/>
      </c>
      <c r="D21" s="259" t="n"/>
      <c r="E21" s="255" t="inlineStr">
        <is>
          <t>Réaliser par Adekma</t>
        </is>
      </c>
      <c r="F21" s="269" t="n"/>
      <c r="G21" s="260" t="n"/>
      <c r="I21" s="255" t="inlineStr">
        <is>
          <t>x</t>
        </is>
      </c>
      <c r="J21" s="21" t="n">
        <v>11</v>
      </c>
      <c r="K21" s="21">
        <f>+IF(I21="","",J21)</f>
        <v/>
      </c>
      <c r="L21" s="91">
        <f>IF(I21="","",RANK(K21,$K$11:$K$46,1))</f>
        <v/>
      </c>
      <c r="M21" s="173" t="inlineStr">
        <is>
          <t>Plans de manchettes délardées</t>
        </is>
      </c>
    </row>
    <row r="22" ht="18" customHeight="1">
      <c r="B22" s="123">
        <f>IF(MAX($L$11:$L$46)&lt;=11,"",VLOOKUP(B21+1,$L$11:$M$46,1,FALSE))</f>
        <v/>
      </c>
      <c r="C22" s="134">
        <f>IF(MAX($L$11:$L$46)&lt;=11,"",VLOOKUP(B21+1,$L$11:$M$46,2,FALSE))</f>
        <v/>
      </c>
      <c r="D22" s="259" t="n"/>
      <c r="E22" s="255" t="inlineStr">
        <is>
          <t>A préciser sur le plan TUT</t>
        </is>
      </c>
      <c r="F22" s="269" t="n"/>
      <c r="G22" s="260" t="n"/>
      <c r="I22" s="255" t="n"/>
      <c r="J22" s="21" t="n">
        <v>12</v>
      </c>
      <c r="K22" s="21">
        <f>+IF(I22="","",J22)</f>
        <v/>
      </c>
      <c r="L22" s="91">
        <f>IF(I22="","",RANK(K22,$K$11:$K$46,1))</f>
        <v/>
      </c>
      <c r="M22" s="173" t="inlineStr">
        <is>
          <t>Plans de châssis</t>
        </is>
      </c>
    </row>
    <row r="23" ht="18" customHeight="1">
      <c r="B23" s="123">
        <f>IF(MAX($L$11:$L$46)&lt;=12,"",VLOOKUP(B22+1,$L$11:$M$46,1,FALSE))</f>
        <v/>
      </c>
      <c r="C23" s="134">
        <f>IF(MAX($L$11:$L$46)&lt;=12,"",VLOOKUP(B22+1,$L$11:$M$46,2,FALSE))</f>
        <v/>
      </c>
      <c r="D23" s="259" t="n"/>
      <c r="E23" s="255" t="inlineStr">
        <is>
          <t>A valider auprès du client</t>
        </is>
      </c>
      <c r="F23" s="269" t="n"/>
      <c r="G23" s="260" t="n"/>
      <c r="I23" s="255" t="n"/>
      <c r="J23" s="21" t="n">
        <v>13</v>
      </c>
      <c r="K23" s="21">
        <f>+IF(I23="","",J23)</f>
        <v/>
      </c>
      <c r="L23" s="91">
        <f>IF(I23="","",RANK(K23,$K$11:$K$46,1))</f>
        <v/>
      </c>
      <c r="M23" s="173" t="inlineStr">
        <is>
          <t>Plans de terrassement</t>
        </is>
      </c>
    </row>
    <row r="24" ht="18" customHeight="1">
      <c r="B24" s="123">
        <f>IF(MAX($L$11:$L$46)&lt;=13,"",VLOOKUP(B23+1,$L$11:$M$46,1,FALSE))</f>
        <v/>
      </c>
      <c r="C24" s="134">
        <f>IF(MAX($L$11:$L$46)&lt;=13,"",VLOOKUP(B23+1,$L$11:$M$46,2,FALSE))</f>
        <v/>
      </c>
      <c r="D24" s="259" t="n"/>
      <c r="E24" s="255" t="inlineStr">
        <is>
          <t>A valider auprès du client</t>
        </is>
      </c>
      <c r="F24" s="269" t="n"/>
      <c r="G24" s="260" t="n"/>
      <c r="I24" s="255" t="n"/>
      <c r="J24" s="21" t="n">
        <v>14</v>
      </c>
      <c r="K24" s="21">
        <f>+IF(I24="","",J24)</f>
        <v/>
      </c>
      <c r="L24" s="91">
        <f>IF(I24="","",RANK(K24,$K$11:$K$46,1))</f>
        <v/>
      </c>
      <c r="M24" s="173" t="inlineStr">
        <is>
          <t>Plans d'installation chantier / Base vie</t>
        </is>
      </c>
    </row>
    <row r="25" ht="18" customHeight="1">
      <c r="B25" s="123">
        <f>IF(MAX($L$11:$L$46)&lt;=14,"",VLOOKUP(B24+1,$L$11:$M$46,1,FALSE))</f>
        <v/>
      </c>
      <c r="C25" s="134">
        <f>IF(MAX($L$11:$L$46)&lt;=14,"",VLOOKUP(B24+1,$L$11:$M$46,2,FALSE))</f>
        <v/>
      </c>
      <c r="D25" s="259" t="n"/>
      <c r="E25" s="255" t="inlineStr">
        <is>
          <t>A valider auprès du client</t>
        </is>
      </c>
      <c r="F25" s="269" t="n"/>
      <c r="G25" s="260" t="n"/>
      <c r="I25" s="255" t="inlineStr">
        <is>
          <t>x</t>
        </is>
      </c>
      <c r="J25" s="21" t="n">
        <v>15</v>
      </c>
      <c r="K25" s="21">
        <f>+IF(I25="","",J25)</f>
        <v/>
      </c>
      <c r="L25" s="91">
        <f>IF(I25="","",RANK(K25,$K$11:$K$46,1))</f>
        <v/>
      </c>
      <c r="M25" s="173" t="inlineStr">
        <is>
          <t>Plans de montage d'épreuve/séchage</t>
        </is>
      </c>
    </row>
    <row r="26" ht="18" customHeight="1">
      <c r="B26" s="123">
        <f>IF(MAX($L$11:$L$46)&lt;=15,"",VLOOKUP(B25+1,$L$11:$M$46,1,FALSE))</f>
        <v/>
      </c>
      <c r="C26" s="134">
        <f>IF(MAX($L$11:$L$46)&lt;=15,"",VLOOKUP(B25+1,$L$11:$M$46,2,FALSE))</f>
        <v/>
      </c>
      <c r="D26" s="259" t="n"/>
      <c r="E26" s="131" t="n"/>
      <c r="F26" s="269" t="n"/>
      <c r="G26" s="260" t="n"/>
      <c r="I26" s="255" t="inlineStr">
        <is>
          <t>x</t>
        </is>
      </c>
      <c r="J26" s="21" t="n">
        <v>16</v>
      </c>
      <c r="K26" s="21">
        <f>+IF(I26="","",J26)</f>
        <v/>
      </c>
      <c r="L26" s="91">
        <f>IF(I26="","",RANK(K26,$K$11:$K$46,1))</f>
        <v/>
      </c>
      <c r="M26" s="173" t="inlineStr">
        <is>
          <t>Plans isométriques - Repérage brides et appareils</t>
        </is>
      </c>
    </row>
    <row r="27" ht="18" customHeight="1">
      <c r="B27" s="123">
        <f>IF(MAX($L$11:$L$46)&lt;=16,"",VLOOKUP(B26+1,$L$11:$M$46,1,FALSE))</f>
        <v/>
      </c>
      <c r="C27" s="134">
        <f>IF(MAX($L$11:$L$46)&lt;=16,"",VLOOKUP(B26+1,$L$11:$M$46,2,FALSE))</f>
        <v/>
      </c>
      <c r="D27" s="259" t="n"/>
      <c r="E27" s="131" t="n"/>
      <c r="F27" s="269" t="n"/>
      <c r="G27" s="260" t="n"/>
      <c r="I27" s="255" t="inlineStr">
        <is>
          <t>x</t>
        </is>
      </c>
      <c r="J27" s="21" t="n">
        <v>17</v>
      </c>
      <c r="K27" s="21">
        <f>+IF(I27="","",J27)</f>
        <v/>
      </c>
      <c r="L27" s="91">
        <f>IF(I27="","",RANK(K27,$K$11:$K$46,1))</f>
        <v/>
      </c>
      <c r="M27" s="173" t="inlineStr">
        <is>
          <t>Plans de sertissage</t>
        </is>
      </c>
    </row>
    <row r="28" ht="18" customHeight="1">
      <c r="B28" s="123">
        <f>IF(MAX($L$11:$L$46)&lt;=17,"",VLOOKUP(B27+1,$L$11:$M$46,1,FALSE))</f>
        <v/>
      </c>
      <c r="C28" s="134">
        <f>IF(MAX($L$11:$L$46)&lt;=17,"",VLOOKUP(B27+1,$L$11:$M$46,2,FALSE))</f>
        <v/>
      </c>
      <c r="D28" s="259" t="n"/>
      <c r="E28" s="255" t="inlineStr">
        <is>
          <t xml:space="preserve">Pour le tubing ? </t>
        </is>
      </c>
      <c r="F28" s="269" t="n"/>
      <c r="G28" s="260" t="n"/>
      <c r="I28" s="255" t="inlineStr">
        <is>
          <t>x</t>
        </is>
      </c>
      <c r="J28" s="21" t="n">
        <v>18</v>
      </c>
      <c r="K28" s="21">
        <f>+IF(I28="","",J28)</f>
        <v/>
      </c>
      <c r="L28" s="91">
        <f>IF(I28="","",RANK(K28,$K$11:$K$46,1))</f>
        <v/>
      </c>
      <c r="M28" s="130" t="inlineStr">
        <is>
          <t>Plans Levage</t>
        </is>
      </c>
    </row>
    <row r="29" ht="18" customHeight="1">
      <c r="B29" s="123">
        <f>IF(MAX($L$11:$L$46)&lt;=18,"",VLOOKUP(B28+1,$L$11:$M$46,1,FALSE))</f>
        <v/>
      </c>
      <c r="C29" s="134">
        <f>IF(MAX($L$11:$L$46)&lt;=18,"",VLOOKUP(B28+1,$L$11:$M$46,2,FALSE))</f>
        <v/>
      </c>
      <c r="D29" s="259" t="n"/>
      <c r="E29" s="131" t="n"/>
      <c r="F29" s="269" t="n"/>
      <c r="G29" s="260" t="n"/>
      <c r="I29" s="255" t="n"/>
      <c r="J29" s="21" t="n">
        <v>19</v>
      </c>
      <c r="K29" s="21">
        <f>+IF(I29="","",J29)</f>
        <v/>
      </c>
      <c r="L29" s="91">
        <f>IF(I29="","",RANK(K29,$K$11:$K$46,1))</f>
        <v/>
      </c>
      <c r="M29" s="173" t="inlineStr">
        <is>
          <t>Montage sur site</t>
        </is>
      </c>
    </row>
    <row r="30" ht="18" customHeight="1">
      <c r="B30" s="123">
        <f>IF(MAX($L$11:$L$46)&lt;=19,"",VLOOKUP(B29+1,$L$11:$M$46,1,FALSE))</f>
        <v/>
      </c>
      <c r="C30" s="134">
        <f>IF(MAX($L$11:$L$46)&lt;=19,"",VLOOKUP(B29+1,$L$11:$M$46,2,FALSE))</f>
        <v/>
      </c>
      <c r="D30" s="259" t="n"/>
      <c r="E30" s="131" t="n"/>
      <c r="F30" s="269" t="n"/>
      <c r="G30" s="260" t="n"/>
      <c r="I30" s="255" t="inlineStr">
        <is>
          <t>x</t>
        </is>
      </c>
      <c r="J30" s="21" t="n">
        <v>20</v>
      </c>
      <c r="K30" s="21">
        <f>+IF(I30="","",J30)</f>
        <v/>
      </c>
      <c r="L30" s="91">
        <f>IF(I30="","",RANK(K30,$K$11:$K$46,1))</f>
        <v/>
      </c>
      <c r="M30" s="173" t="inlineStr">
        <is>
          <t>Plans enrobage / Peinture</t>
        </is>
      </c>
    </row>
    <row r="31" ht="18" customHeight="1">
      <c r="B31" s="123">
        <f>IF(MAX($L$11:$L$46)&lt;=20,"",VLOOKUP(B30+1,$L$11:$M$46,1,FALSE))</f>
        <v/>
      </c>
      <c r="C31" s="134">
        <f>IF(MAX($L$11:$L$46)&lt;=20,"",VLOOKUP(B30+1,$L$11:$M$46,2,FALSE))</f>
        <v/>
      </c>
      <c r="D31" s="259" t="n"/>
      <c r="E31" s="131" t="n"/>
      <c r="F31" s="269" t="n"/>
      <c r="G31" s="260" t="n"/>
      <c r="I31" s="255" t="n"/>
      <c r="J31" s="21" t="n">
        <v>21</v>
      </c>
      <c r="K31" s="21">
        <f>+IF(I31="","",J31)</f>
        <v/>
      </c>
      <c r="L31" s="91">
        <f>IF(I31="","",RANK(K31,$K$11:$K$46,1))</f>
        <v/>
      </c>
      <c r="M31" s="173" t="inlineStr">
        <is>
          <t>Maquette 3D</t>
        </is>
      </c>
    </row>
    <row r="32" ht="18" customHeight="1">
      <c r="B32" s="123">
        <f>IF(MAX($L$11:$L$46)&lt;=21,"",VLOOKUP(B31+1,$L$11:$M$46,1,FALSE))</f>
        <v/>
      </c>
      <c r="C32" s="134">
        <f>IF(MAX($L$11:$L$46)&lt;=21,"",VLOOKUP(B31+1,$L$11:$M$46,2,FALSE))</f>
        <v/>
      </c>
      <c r="D32" s="259" t="n"/>
      <c r="E32" s="131" t="n"/>
      <c r="F32" s="269" t="n"/>
      <c r="G32" s="260" t="n"/>
      <c r="I32" s="255" t="inlineStr">
        <is>
          <t>x</t>
        </is>
      </c>
      <c r="J32" s="21" t="n">
        <v>22</v>
      </c>
      <c r="K32" s="21">
        <f>+IF(I32="","",J32)</f>
        <v/>
      </c>
      <c r="L32" s="91">
        <f>IF(I32="","",RANK(K32,$K$11:$K$46,1))</f>
        <v/>
      </c>
      <c r="M32" s="173" t="inlineStr">
        <is>
          <t xml:space="preserve">GDER TUT </t>
        </is>
      </c>
    </row>
    <row r="33" ht="18" customHeight="1">
      <c r="B33" s="123">
        <f>IF(MAX($L$11:$L$46)&lt;=22,"",VLOOKUP(B32+1,$L$11:$M$46,1,FALSE))</f>
        <v/>
      </c>
      <c r="C33" s="129">
        <f>IF(MAX($L$11:$L$46)&lt;=22,"",VLOOKUP(B32+1,$L$11:$M$46,2,FALSE))</f>
        <v/>
      </c>
      <c r="D33" s="259" t="n"/>
      <c r="E33" s="131" t="n"/>
      <c r="F33" s="269" t="n"/>
      <c r="G33" s="260" t="n"/>
      <c r="I33" s="255" t="inlineStr">
        <is>
          <t>x</t>
        </is>
      </c>
      <c r="J33" s="21" t="n">
        <v>23</v>
      </c>
      <c r="K33" s="21">
        <f>+IF(I33="","",J33)</f>
        <v/>
      </c>
      <c r="L33" s="91">
        <f>IF(I33="","",RANK(K33,$K$11:$K$46,1))</f>
        <v/>
      </c>
      <c r="M33" s="173" t="inlineStr">
        <is>
          <t>GDER GCT</t>
        </is>
      </c>
    </row>
    <row r="34" ht="18" customHeight="1">
      <c r="B34" s="123">
        <f>IF(MAX($L$11:$L$46)&lt;=23,"",VLOOKUP(B33+1,$L$11:$M$46,1,FALSE))</f>
        <v/>
      </c>
      <c r="C34" s="129">
        <f>IF(MAX($L$11:$L$46)&lt;=23,"",VLOOKUP(B33+1,$L$11:$M$46,2,FALSE))</f>
        <v/>
      </c>
      <c r="D34" s="259" t="n"/>
      <c r="E34" s="131" t="n"/>
      <c r="F34" s="269" t="n"/>
      <c r="G34" s="260" t="n"/>
      <c r="I34" s="255" t="inlineStr">
        <is>
          <t>x</t>
        </is>
      </c>
      <c r="J34" s="21" t="n">
        <v>24</v>
      </c>
      <c r="K34" s="21">
        <f>+IF(I34="","",J34)</f>
        <v/>
      </c>
      <c r="L34" s="91">
        <f>IF(I34="","",RANK(K34,$K$11:$K$46,1))</f>
        <v/>
      </c>
      <c r="M34" s="173" t="inlineStr">
        <is>
          <t>GDER DREAL</t>
        </is>
      </c>
    </row>
    <row r="35" ht="18" customHeight="1">
      <c r="B35" s="123">
        <f>IF(MAX($L$11:$L$46)&lt;=24,"",VLOOKUP(B34+1,$L$11:$M$46,1,FALSE))</f>
        <v/>
      </c>
      <c r="C35" s="129">
        <f>IF(MAX($L$11:$L$46)&lt;=24,"",VLOOKUP(B34+1,$L$11:$M$46,2,FALSE))</f>
        <v/>
      </c>
      <c r="D35" s="259" t="n"/>
      <c r="E35" s="131" t="n"/>
      <c r="F35" s="269" t="n"/>
      <c r="G35" s="260" t="n"/>
      <c r="I35" s="255" t="n"/>
      <c r="J35" s="21" t="n">
        <v>25</v>
      </c>
      <c r="K35" s="21">
        <f>+IF(I35="","",J35)</f>
        <v/>
      </c>
      <c r="L35" s="91">
        <f>IF(I35="","",RANK(K35,$K$11:$K$46,1))</f>
        <v/>
      </c>
      <c r="M35" s="173" t="inlineStr">
        <is>
          <t>Spécifique (à préciser)</t>
        </is>
      </c>
    </row>
    <row r="36" ht="18" customHeight="1">
      <c r="B36" s="123">
        <f>IF(MAX($L$11:$L$46)&lt;=25,"",VLOOKUP(B35+1,$L$11:$M$46,1,FALSE))</f>
        <v/>
      </c>
      <c r="C36" s="129">
        <f>IF(MAX($L$11:$L$46)&lt;=25,"",VLOOKUP(B35+1,$L$11:$M$46,2,FALSE))</f>
        <v/>
      </c>
      <c r="D36" s="259" t="n"/>
      <c r="E36" s="131" t="n"/>
      <c r="F36" s="269" t="n"/>
      <c r="G36" s="260" t="n"/>
      <c r="I36" s="255" t="n"/>
      <c r="J36" s="21" t="n">
        <v>26</v>
      </c>
      <c r="K36" s="21">
        <f>+IF(I36="","",J36)</f>
        <v/>
      </c>
      <c r="L36" s="91">
        <f>IF(I36="","",RANK(K36,$K$11:$K$46,1))</f>
        <v/>
      </c>
      <c r="M36" s="130" t="n"/>
    </row>
    <row r="37" ht="18" customHeight="1">
      <c r="B37" s="123">
        <f>IF(MAX($L$11:$L$46)&lt;=26,"",VLOOKUP(B36+1,$L$11:$M$46,1,FALSE))</f>
        <v/>
      </c>
      <c r="C37" s="129">
        <f>IF(MAX($L$11:$L$46)&lt;=26,"",VLOOKUP(B36+1,$L$11:$M$46,2,FALSE))</f>
        <v/>
      </c>
      <c r="D37" s="259" t="n"/>
      <c r="E37" s="131" t="n"/>
      <c r="F37" s="269" t="n"/>
      <c r="G37" s="260" t="n"/>
      <c r="I37" s="255" t="inlineStr">
        <is>
          <t>x</t>
        </is>
      </c>
      <c r="J37" s="21" t="n">
        <v>27</v>
      </c>
      <c r="K37" s="21">
        <f>+IF(I37="","",J37)</f>
        <v/>
      </c>
      <c r="L37" s="91">
        <f>IF(I37="","",RANK(K37,$K$11:$K$46,1))</f>
        <v/>
      </c>
      <c r="M37" s="130" t="inlineStr">
        <is>
          <t>Cahier de soudage avec validation pré-soudage</t>
        </is>
      </c>
    </row>
    <row r="38" ht="18" customHeight="1">
      <c r="B38" s="123">
        <f>IF(MAX($L$11:$L$46)&lt;=27,"",VLOOKUP(B37+1,$L$11:$M$46,1,FALSE))</f>
        <v/>
      </c>
      <c r="C38" s="129">
        <f>IF(MAX($L$11:$L$46)&lt;=27,"",VLOOKUP(B37+1,$L$11:$M$46,2,FALSE))</f>
        <v/>
      </c>
      <c r="D38" s="259" t="n"/>
      <c r="E38" s="131" t="n"/>
      <c r="F38" s="269" t="n"/>
      <c r="G38" s="260" t="n"/>
      <c r="I38" s="255" t="n"/>
      <c r="J38" s="21" t="n">
        <v>28</v>
      </c>
      <c r="K38" s="21">
        <f>+IF(I38="","",J38)</f>
        <v/>
      </c>
      <c r="L38" s="91">
        <f>IF(I38="","",RANK(K38,$K$11:$K$46,1))</f>
        <v/>
      </c>
      <c r="M38" s="130" t="inlineStr">
        <is>
          <t>DMOS / QMOS /QS</t>
        </is>
      </c>
    </row>
    <row r="39" ht="18" customHeight="1">
      <c r="B39" s="123">
        <f>IF(MAX($L$11:$L$46)&lt;=28,"",VLOOKUP(B38+1,$L$11:$M$46,1,FALSE))</f>
        <v/>
      </c>
      <c r="C39" s="129">
        <f>IF(MAX($L$11:$L$46)&lt;=28,"",VLOOKUP(B38+1,$L$11:$M$46,2,FALSE))</f>
        <v/>
      </c>
      <c r="D39" s="259" t="n"/>
      <c r="E39" s="131" t="n"/>
      <c r="F39" s="269" t="n"/>
      <c r="G39" s="260" t="n"/>
      <c r="I39" s="255" t="n"/>
      <c r="J39" s="21" t="n">
        <v>29</v>
      </c>
      <c r="K39" s="21">
        <f>+IF(I39="","",J39)</f>
        <v/>
      </c>
      <c r="L39" s="91">
        <f>IF(I39="","",RANK(K39,$K$11:$K$46,1))</f>
        <v/>
      </c>
      <c r="M39" s="173" t="inlineStr">
        <is>
          <t>Dossier d'épreuve selon DESP 2014/68/UE</t>
        </is>
      </c>
    </row>
    <row r="40" ht="18" customHeight="1">
      <c r="B40" s="123">
        <f>IF(MAX($L$11:$L$46)&lt;=29,"",VLOOKUP(B39+1,$L$11:$M$46,1,FALSE))</f>
        <v/>
      </c>
      <c r="C40" s="129">
        <f>IF(MAX($L$11:$L$46)&lt;=29,"",VLOOKUP(B39+1,$L$11:$M$46,2,FALSE))</f>
        <v/>
      </c>
      <c r="D40" s="259" t="n"/>
      <c r="E40" s="131" t="n"/>
      <c r="F40" s="269" t="n"/>
      <c r="G40" s="260" t="n"/>
      <c r="I40" s="255" t="inlineStr">
        <is>
          <t>x</t>
        </is>
      </c>
      <c r="J40" s="21" t="n">
        <v>30</v>
      </c>
      <c r="K40" s="21">
        <f>+IF(I40="","",J40)</f>
        <v/>
      </c>
      <c r="L40" s="91">
        <f>IF(I40="","",RANK(K40,$K$11:$K$46,1))</f>
        <v/>
      </c>
      <c r="M40" s="173" t="inlineStr">
        <is>
          <t>Dossier d'épreuve selon A.M du 05/03/2014</t>
        </is>
      </c>
    </row>
    <row r="41" ht="18" customHeight="1">
      <c r="B41" s="123">
        <f>IF(MAX($L$11:$L$46)&lt;=30,"",VLOOKUP(B40+1,$L$11:$M$46,1,FALSE))</f>
        <v/>
      </c>
      <c r="C41" s="129">
        <f>IF(MAX($L$11:$L$46)&lt;=30,"",VLOOKUP(B40+1,$L$11:$M$46,2,FALSE))</f>
        <v/>
      </c>
      <c r="D41" s="259" t="n"/>
      <c r="E41" s="131" t="n"/>
      <c r="F41" s="269" t="n"/>
      <c r="G41" s="260" t="n"/>
      <c r="I41" s="255" t="inlineStr">
        <is>
          <t>x</t>
        </is>
      </c>
      <c r="J41" s="21" t="n">
        <v>31</v>
      </c>
      <c r="K41" s="21">
        <f>+IF(I41="","",J41)</f>
        <v/>
      </c>
      <c r="L41" s="91">
        <f>IF(I41="","",RANK(K41,$K$11:$K$46,1))</f>
        <v/>
      </c>
      <c r="M41" s="173" t="inlineStr">
        <is>
          <t>Dossier de Fabrication selon Art.4.3</t>
        </is>
      </c>
    </row>
    <row r="42" ht="18" customHeight="1">
      <c r="B42" s="123">
        <f>IF(MAX($L$11:$L$46)&lt;=31,"",VLOOKUP(B41+1,$L$11:$M$46,1,FALSE))</f>
        <v/>
      </c>
      <c r="C42" s="129">
        <f>IF(MAX($L$11:$L$46)&lt;=31,"",VLOOKUP(B41+1,$L$11:$M$46,2,FALSE))</f>
        <v/>
      </c>
      <c r="D42" s="259" t="n"/>
      <c r="E42" s="131" t="n"/>
      <c r="F42" s="269" t="n"/>
      <c r="G42" s="260" t="n"/>
      <c r="I42" s="255" t="inlineStr">
        <is>
          <t>x</t>
        </is>
      </c>
      <c r="J42" s="21" t="n">
        <v>32</v>
      </c>
      <c r="K42" s="21">
        <f>+IF(I42="","",J42)</f>
        <v/>
      </c>
      <c r="L42" s="91">
        <f>IF(I42="","",RANK(K42,$K$11:$K$46,1))</f>
        <v/>
      </c>
      <c r="M42" s="173" t="inlineStr">
        <is>
          <t>Relevé Epaisseur Manchette délardée</t>
        </is>
      </c>
    </row>
    <row r="43" ht="18" customHeight="1">
      <c r="B43" s="123">
        <f>IF(MAX($L$11:$L$46)&lt;=32,"",VLOOKUP(B42+1,$L$11:$M$46,1,FALSE))</f>
        <v/>
      </c>
      <c r="C43" s="129">
        <f>IF(MAX($L$11:$L$46)&lt;=32,"",VLOOKUP(B42+1,$L$11:$M$46,2,FALSE))</f>
        <v/>
      </c>
      <c r="D43" s="259" t="n"/>
      <c r="E43" s="131" t="n"/>
      <c r="F43" s="269" t="n"/>
      <c r="G43" s="260" t="n"/>
      <c r="I43" s="255" t="n"/>
      <c r="J43" s="21" t="n">
        <v>33</v>
      </c>
      <c r="K43" s="21">
        <f>+IF(I43="","",J43)</f>
        <v/>
      </c>
      <c r="L43" s="91">
        <f>IF(I43="","",RANK(K43,$K$11:$K$46,1))</f>
        <v/>
      </c>
      <c r="M43" s="173" t="inlineStr">
        <is>
          <t>PV Cintrage</t>
        </is>
      </c>
    </row>
    <row r="44" ht="18" customHeight="1">
      <c r="B44" s="123">
        <f>IF(MAX($L$11:$L$46)&lt;=33,"",VLOOKUP(B43+1,$L$11:$M$46,1,FALSE))</f>
        <v/>
      </c>
      <c r="C44" s="129">
        <f>IF(MAX($L$11:$L$46)&lt;=33,"",VLOOKUP(B43+1,$L$11:$M$46,2,FALSE))</f>
        <v/>
      </c>
      <c r="D44" s="259" t="n"/>
      <c r="E44" s="131" t="n"/>
      <c r="F44" s="269" t="n"/>
      <c r="G44" s="260" t="n"/>
      <c r="I44" s="255" t="inlineStr">
        <is>
          <t>x</t>
        </is>
      </c>
      <c r="J44" s="21" t="n">
        <v>34</v>
      </c>
      <c r="K44" s="21">
        <f>+IF(I44="","",J44)</f>
        <v/>
      </c>
      <c r="L44" s="91">
        <f>IF(I44="","",RANK(K44,$K$11:$K$46,1))</f>
        <v/>
      </c>
      <c r="M44" s="173" t="inlineStr">
        <is>
          <t>PV Relevés paramètres de soudage</t>
        </is>
      </c>
    </row>
    <row r="45" ht="18" customHeight="1">
      <c r="B45" s="123">
        <f>IF(MAX($L$11:$L$46)&lt;=34,"",VLOOKUP(B44+1,$L$11:$M$46,1,FALSE))</f>
        <v/>
      </c>
      <c r="C45" s="129">
        <f>IF(MAX($L$11:$L$46)&lt;=34,"",VLOOKUP(B44+1,$L$11:$M$46,2,FALSE))</f>
        <v/>
      </c>
      <c r="D45" s="259" t="n"/>
      <c r="E45" s="131" t="n"/>
      <c r="F45" s="269" t="n"/>
      <c r="G45" s="260" t="n"/>
      <c r="I45" s="255" t="inlineStr">
        <is>
          <t>x</t>
        </is>
      </c>
      <c r="J45" s="21" t="n">
        <v>35</v>
      </c>
      <c r="K45" s="21">
        <f>+IF(I45="","",J45)</f>
        <v/>
      </c>
      <c r="L45" s="91">
        <f>IF(I45="","",RANK(K45,$K$11:$K$46,1))</f>
        <v/>
      </c>
      <c r="M45" s="130" t="inlineStr">
        <is>
          <t>Carnet de soudures</t>
        </is>
      </c>
    </row>
    <row r="46" ht="18" customHeight="1">
      <c r="B46" s="123">
        <f>IF(MAX($L$11:$L$46)&lt;=35,"",VLOOKUP(B45+1,$L$11:$M$46,1,FALSE))</f>
        <v/>
      </c>
      <c r="C46" s="129">
        <f>IF(MAX($L$11:$L$46)&lt;=35,"",VLOOKUP(B45+1,$L$11:$M$46,2,FALSE))</f>
        <v/>
      </c>
      <c r="D46" s="259" t="n"/>
      <c r="E46" s="131" t="n"/>
      <c r="F46" s="269" t="n"/>
      <c r="G46" s="260" t="n"/>
      <c r="I46" s="255" t="inlineStr">
        <is>
          <t>x</t>
        </is>
      </c>
      <c r="J46" s="21" t="n">
        <v>36</v>
      </c>
      <c r="K46" s="21">
        <f>+IF(I46="","",J46)</f>
        <v/>
      </c>
      <c r="L46" s="91">
        <f>IF(I46="","",RANK(K46,$K$11:$K$46,1))</f>
        <v/>
      </c>
      <c r="M46" s="173" t="inlineStr">
        <is>
          <t>Dossier de fin d'affaire</t>
        </is>
      </c>
    </row>
    <row r="47" ht="18" customHeight="1">
      <c r="B47" s="123">
        <f>IF(MAX($L$11:$L$46)&lt;=36,"",VLOOKUP(B46+1,$L$11:$M$46,1,FALSE))</f>
        <v/>
      </c>
      <c r="C47" s="128" t="n"/>
      <c r="D47" s="277" t="n"/>
    </row>
  </sheetData>
  <mergeCells count="79">
    <mergeCell ref="E13:G13"/>
    <mergeCell ref="C15:D15"/>
    <mergeCell ref="E31:G31"/>
    <mergeCell ref="E40:G40"/>
    <mergeCell ref="E15:G15"/>
    <mergeCell ref="C41:D41"/>
    <mergeCell ref="E26:G26"/>
    <mergeCell ref="E16:G16"/>
    <mergeCell ref="C43:D43"/>
    <mergeCell ref="C27:D27"/>
    <mergeCell ref="C36:D36"/>
    <mergeCell ref="E18:G18"/>
    <mergeCell ref="C17:D17"/>
    <mergeCell ref="C7:G7"/>
    <mergeCell ref="E42:G42"/>
    <mergeCell ref="C19:D19"/>
    <mergeCell ref="C28:D28"/>
    <mergeCell ref="E35:G35"/>
    <mergeCell ref="E44:G44"/>
    <mergeCell ref="E20:G20"/>
    <mergeCell ref="E28:G28"/>
    <mergeCell ref="C30:D30"/>
    <mergeCell ref="C14:D14"/>
    <mergeCell ref="C45:D45"/>
    <mergeCell ref="E30:G30"/>
    <mergeCell ref="E46:G46"/>
    <mergeCell ref="C47:D47"/>
    <mergeCell ref="C40:D40"/>
    <mergeCell ref="E32:G32"/>
    <mergeCell ref="E41:G41"/>
    <mergeCell ref="E43:G43"/>
    <mergeCell ref="E24:G24"/>
    <mergeCell ref="E33:G33"/>
    <mergeCell ref="E17:G17"/>
    <mergeCell ref="C18:D18"/>
    <mergeCell ref="C34:D34"/>
    <mergeCell ref="E10:G10"/>
    <mergeCell ref="E19:G19"/>
    <mergeCell ref="E34:G34"/>
    <mergeCell ref="C20:D20"/>
    <mergeCell ref="C29:D29"/>
    <mergeCell ref="E36:G36"/>
    <mergeCell ref="E11:G11"/>
    <mergeCell ref="E45:G45"/>
    <mergeCell ref="C44:D44"/>
    <mergeCell ref="C22:D22"/>
    <mergeCell ref="C31:D31"/>
    <mergeCell ref="C12:D12"/>
    <mergeCell ref="C46:D46"/>
    <mergeCell ref="C21:D21"/>
    <mergeCell ref="E22:G22"/>
    <mergeCell ref="E37:G37"/>
    <mergeCell ref="E12:G12"/>
    <mergeCell ref="E21:G21"/>
    <mergeCell ref="D2:G2"/>
    <mergeCell ref="C23:D23"/>
    <mergeCell ref="C32:D32"/>
    <mergeCell ref="C38:D38"/>
    <mergeCell ref="E14:G14"/>
    <mergeCell ref="E23:G23"/>
    <mergeCell ref="C24:D24"/>
    <mergeCell ref="C6:G6"/>
    <mergeCell ref="C33:D33"/>
    <mergeCell ref="C42:D42"/>
    <mergeCell ref="C26:D26"/>
    <mergeCell ref="C35:D35"/>
    <mergeCell ref="C10:D10"/>
    <mergeCell ref="C16:D16"/>
    <mergeCell ref="E27:G27"/>
    <mergeCell ref="C25:D25"/>
    <mergeCell ref="E25:G25"/>
    <mergeCell ref="C11:D11"/>
    <mergeCell ref="C8:G8"/>
    <mergeCell ref="C39:D39"/>
    <mergeCell ref="E39:G39"/>
    <mergeCell ref="C37:D37"/>
    <mergeCell ref="C13:D13"/>
    <mergeCell ref="E29:G29"/>
    <mergeCell ref="E38:G38"/>
  </mergeCells>
  <conditionalFormatting sqref="C10:C46">
    <cfRule type="cellIs" priority="11" operator="equal" dxfId="9">
      <formula>"PLANS"</formula>
    </cfRule>
  </conditionalFormatting>
  <conditionalFormatting sqref="E11:F46">
    <cfRule type="cellIs" priority="2" operator="equal" dxfId="9">
      <formula>"PLANS"</formula>
    </cfRule>
  </conditionalFormatting>
  <conditionalFormatting sqref="E12:F46">
    <cfRule type="expression" priority="1" dxfId="9">
      <formula>AND($C12="PLANS")</formula>
    </cfRule>
  </conditionalFormatting>
  <conditionalFormatting sqref="H18:H24">
    <cfRule type="expression" priority="8" dxfId="9">
      <formula>AND($C18="PLANS")</formula>
    </cfRule>
  </conditionalFormatting>
  <pageMargins left="0.2362204724409449" right="0" top="0.5118110236220472" bottom="0" header="0.2362204724409449" footer="0"/>
  <pageSetup orientation="portrait" paperSize="9" scale="92"/>
  <headerFooter>
    <oddHeader>&amp;L&amp;G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3" tint="-0.499984740745262"/>
    <outlinePr summaryBelow="1" summaryRight="1"/>
    <pageSetUpPr fitToPage="1"/>
  </sheetPr>
  <dimension ref="B2:BA69"/>
  <sheetViews>
    <sheetView showGridLines="0" topLeftCell="A5" zoomScale="70" zoomScaleNormal="70" zoomScalePageLayoutView="55" workbookViewId="0">
      <pane xSplit="9" topLeftCell="J1" activePane="topRight" state="frozen"/>
      <selection pane="topRight" activeCell="F17" sqref="F17:G17"/>
    </sheetView>
  </sheetViews>
  <sheetFormatPr baseColWidth="10" defaultColWidth="10.7109375" defaultRowHeight="14.25"/>
  <cols>
    <col width="4.5703125" customWidth="1" style="9" min="1" max="1"/>
    <col width="10.7109375" customWidth="1" style="9" min="2" max="2"/>
    <col width="38" customWidth="1" style="9" min="3" max="3"/>
    <col width="12.7109375" customWidth="1" style="9" min="4" max="5"/>
    <col width="20.7109375" customWidth="1" style="9" min="6" max="9"/>
    <col width="2.28515625" customWidth="1" style="9" min="10" max="10"/>
    <col width="10.7109375" customWidth="1" style="9" min="11" max="11"/>
    <col width="8.7109375" bestFit="1" customWidth="1" style="9" min="12" max="12"/>
    <col width="10.42578125" bestFit="1" customWidth="1" style="9" min="13" max="13"/>
    <col width="10.42578125" customWidth="1" style="9" min="14" max="15"/>
    <col width="12.42578125" customWidth="1" style="9" min="16" max="16"/>
    <col width="11.28515625" customWidth="1" style="9" min="17" max="17"/>
    <col width="8.7109375" bestFit="1" customWidth="1" style="9" min="18" max="18"/>
    <col width="9.28515625" bestFit="1" customWidth="1" style="9" min="19" max="19"/>
    <col width="14.28515625" bestFit="1" customWidth="1" style="9" min="20" max="20"/>
    <col width="9.5703125" customWidth="1" style="9" min="21" max="22"/>
    <col width="11.85546875" customWidth="1" style="9" min="23" max="23"/>
    <col width="20.28515625" bestFit="1" customWidth="1" style="9" min="24" max="24"/>
    <col width="13.42578125" customWidth="1" style="9" min="25" max="25"/>
    <col width="14.28515625" bestFit="1" customWidth="1" style="9" min="26" max="26"/>
    <col width="19.140625" customWidth="1" style="9" min="27" max="27"/>
    <col width="15.85546875" customWidth="1" style="9" min="28" max="28"/>
    <col width="12.28515625" bestFit="1" customWidth="1" style="9" min="29" max="30"/>
    <col width="6.7109375" bestFit="1" customWidth="1" style="9" min="31" max="34"/>
    <col width="6.5703125" bestFit="1" customWidth="1" style="9" min="35" max="35"/>
    <col width="11.42578125" bestFit="1" customWidth="1" style="9" min="36" max="36"/>
    <col width="14.28515625" bestFit="1" customWidth="1" style="9" min="37" max="37"/>
    <col width="18.7109375" customWidth="1" style="9" min="38" max="38"/>
    <col width="13.85546875" customWidth="1" style="9" min="39" max="39"/>
    <col width="18.42578125" customWidth="1" style="9" min="40" max="40"/>
    <col width="18.7109375" bestFit="1" customWidth="1" style="9" min="41" max="41"/>
    <col width="19.85546875" customWidth="1" style="9" min="42" max="42"/>
    <col width="73.28515625" customWidth="1" style="9" min="43" max="43"/>
    <col width="10.7109375" customWidth="1" style="9" min="44" max="48"/>
    <col hidden="1" outlineLevel="1" width="21" customWidth="1" style="123" min="49" max="49"/>
    <col hidden="1" outlineLevel="1" width="21.42578125" customWidth="1" style="123" min="50" max="50"/>
    <col hidden="1" outlineLevel="1" width="22.28515625" customWidth="1" style="123" min="51" max="51"/>
    <col hidden="1" outlineLevel="1" width="21.5703125" customWidth="1" style="123" min="52" max="54"/>
    <col collapsed="1" width="10.7109375" customWidth="1" style="9" min="55" max="55"/>
    <col width="10.7109375" customWidth="1" style="9" min="56" max="16384"/>
  </cols>
  <sheetData>
    <row r="2" ht="19.9" customHeight="1">
      <c r="F2" s="136" t="inlineStr">
        <is>
          <t>Lancement Affaire - Bureau d'Etudes</t>
        </is>
      </c>
      <c r="G2" s="258" t="n"/>
      <c r="H2" s="258" t="n"/>
      <c r="I2" s="259" t="n"/>
    </row>
    <row r="3" ht="19.9" customHeight="1">
      <c r="F3" s="116" t="inlineStr">
        <is>
          <t>DOMAINE D'APPLICATION</t>
        </is>
      </c>
      <c r="G3" s="116" t="inlineStr">
        <is>
          <t>NATURE</t>
        </is>
      </c>
      <c r="H3" s="116" t="inlineStr">
        <is>
          <t>N° D'ORDRE</t>
        </is>
      </c>
      <c r="I3" s="116" t="inlineStr">
        <is>
          <t>VERSION</t>
        </is>
      </c>
    </row>
    <row r="4" ht="19.9" customHeight="1">
      <c r="F4" s="218">
        <f>'Page de Garde'!$D$4</f>
        <v/>
      </c>
      <c r="G4" s="218" t="inlineStr">
        <is>
          <t>LBE</t>
        </is>
      </c>
      <c r="H4" s="219">
        <f>'Page de Garde'!$G$4</f>
        <v/>
      </c>
      <c r="I4" s="218">
        <f>'Page de Garde'!$H$4</f>
        <v/>
      </c>
    </row>
    <row r="5"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</row>
    <row r="6" ht="15" customHeight="1">
      <c r="B6" s="153" t="inlineStr">
        <is>
          <t>LISTE DES LIGNES</t>
        </is>
      </c>
    </row>
    <row r="7" ht="15" customHeight="1"/>
    <row r="8" ht="25.5" customHeight="1" thickBot="1"/>
    <row r="9" ht="45" customHeight="1" thickBot="1">
      <c r="B9" s="156" t="inlineStr">
        <is>
          <t>Information : 1 TYPE DE LIGNE = 1 Dossier EH</t>
        </is>
      </c>
      <c r="C9" s="274" t="n"/>
      <c r="D9" s="274" t="n"/>
      <c r="E9" s="274" t="n"/>
      <c r="F9" s="274" t="n"/>
      <c r="G9" s="274" t="n"/>
      <c r="H9" s="274" t="n"/>
      <c r="I9" s="262" t="n"/>
      <c r="K9" s="278" t="inlineStr">
        <is>
          <t>CARACTERISTIQUES DES LIGNES</t>
        </is>
      </c>
      <c r="L9" s="267" t="n"/>
      <c r="M9" s="267" t="n"/>
      <c r="N9" s="267" t="n"/>
      <c r="O9" s="267" t="n"/>
      <c r="P9" s="267" t="n"/>
      <c r="Q9" s="267" t="n"/>
      <c r="R9" s="267" t="n"/>
      <c r="S9" s="267" t="n"/>
      <c r="T9" s="267" t="n"/>
      <c r="U9" s="267" t="n"/>
      <c r="V9" s="267" t="n"/>
      <c r="W9" s="267" t="n"/>
      <c r="X9" s="267" t="n"/>
      <c r="Y9" s="267" t="n"/>
      <c r="Z9" s="267" t="n"/>
      <c r="AA9" s="267" t="n"/>
      <c r="AB9" s="267" t="n"/>
      <c r="AC9" s="267" t="n"/>
      <c r="AD9" s="267" t="n"/>
      <c r="AE9" s="267" t="n"/>
      <c r="AF9" s="267" t="n"/>
      <c r="AG9" s="267" t="n"/>
      <c r="AH9" s="267" t="n"/>
      <c r="AI9" s="267" t="n"/>
      <c r="AJ9" s="267" t="n"/>
      <c r="AK9" s="267" t="n"/>
      <c r="AL9" s="267" t="n"/>
      <c r="AM9" s="267" t="n"/>
      <c r="AN9" s="267" t="n"/>
      <c r="AO9" s="267" t="n"/>
      <c r="AP9" s="267" t="n"/>
      <c r="AQ9" s="279" t="n"/>
    </row>
    <row r="10" ht="20.1" customHeight="1">
      <c r="B10" s="206" t="inlineStr">
        <is>
          <t>N°</t>
        </is>
      </c>
      <c r="C10" s="280" t="inlineStr">
        <is>
          <t>NOM DE LA LIGNE</t>
        </is>
      </c>
      <c r="D10" s="281" t="n"/>
      <c r="E10" s="282" t="inlineStr">
        <is>
          <t>QUANTITE</t>
        </is>
      </c>
      <c r="F10" s="208" t="inlineStr">
        <is>
          <t>SENS DU FLUIDE</t>
        </is>
      </c>
      <c r="G10" s="267" t="n"/>
      <c r="H10" s="267" t="n"/>
      <c r="I10" s="268" t="n"/>
      <c r="K10" s="211" t="inlineStr">
        <is>
          <t>CONDITIONS OPERATOIRES</t>
        </is>
      </c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9" t="n"/>
      <c r="U10" s="204" t="inlineStr">
        <is>
          <t>INSPECTION /CONDITIONS EH</t>
        </is>
      </c>
      <c r="V10" s="258" t="n"/>
      <c r="W10" s="258" t="n"/>
      <c r="X10" s="258" t="n"/>
      <c r="Y10" s="258" t="n"/>
      <c r="Z10" s="258" t="n"/>
      <c r="AA10" s="258" t="n"/>
      <c r="AB10" s="259" t="n"/>
      <c r="AC10" s="204" t="inlineStr">
        <is>
          <t>CONTROLES</t>
        </is>
      </c>
      <c r="AD10" s="258" t="n"/>
      <c r="AE10" s="258" t="n"/>
      <c r="AF10" s="258" t="n"/>
      <c r="AG10" s="258" t="n"/>
      <c r="AH10" s="258" t="n"/>
      <c r="AI10" s="258" t="n"/>
      <c r="AJ10" s="259" t="n"/>
      <c r="AK10" s="204" t="inlineStr">
        <is>
          <t>Autres</t>
        </is>
      </c>
      <c r="AL10" s="258" t="n"/>
      <c r="AM10" s="258" t="n"/>
      <c r="AN10" s="258" t="n"/>
      <c r="AO10" s="258" t="n"/>
      <c r="AP10" s="258" t="n"/>
      <c r="AQ10" s="259" t="n"/>
    </row>
    <row r="11" ht="50.1" customHeight="1">
      <c r="B11" s="283" t="n"/>
      <c r="C11" s="283" t="n"/>
      <c r="D11" s="284" t="n"/>
      <c r="E11" s="285" t="n"/>
      <c r="F11" s="204" t="inlineStr">
        <is>
          <t xml:space="preserve">VENANT DE </t>
        </is>
      </c>
      <c r="G11" s="259" t="n"/>
      <c r="H11" s="205" t="inlineStr">
        <is>
          <t>ALLANT VERS</t>
        </is>
      </c>
      <c r="I11" s="286" t="n"/>
      <c r="K11" s="45" t="inlineStr">
        <is>
          <t>FLUIDE</t>
        </is>
      </c>
      <c r="L11" s="204" t="inlineStr">
        <is>
          <t>DN MAX</t>
        </is>
      </c>
      <c r="M11" s="204" t="inlineStr">
        <is>
          <t>MATIERE</t>
        </is>
      </c>
      <c r="N11" s="218" t="inlineStr">
        <is>
          <t>TYPE DE TUBE</t>
        </is>
      </c>
      <c r="O11" s="218" t="inlineStr">
        <is>
          <t>EP 
ou
SCH</t>
        </is>
      </c>
      <c r="P11" s="218" t="inlineStr">
        <is>
          <t>SERIE RACCORD</t>
        </is>
      </c>
      <c r="Q11" s="218" t="inlineStr">
        <is>
          <t>ENTERRE ou AERIEN</t>
        </is>
      </c>
      <c r="R11" s="204" t="inlineStr">
        <is>
          <t>T°C Min</t>
        </is>
      </c>
      <c r="S11" s="204" t="inlineStr">
        <is>
          <t>T°C Max</t>
        </is>
      </c>
      <c r="T11" s="204" t="inlineStr">
        <is>
          <t>LONGUEUR</t>
        </is>
      </c>
      <c r="U11" s="218" t="inlineStr">
        <is>
          <t>PS
ou 
PMC</t>
        </is>
      </c>
      <c r="V11" s="204" t="inlineStr">
        <is>
          <t>PT</t>
        </is>
      </c>
      <c r="W11" s="218" t="inlineStr">
        <is>
          <t>FLUIDE EH</t>
        </is>
      </c>
      <c r="X11" s="204" t="inlineStr">
        <is>
          <t>REGLEMENTATION</t>
        </is>
      </c>
      <c r="Y11" s="218" t="inlineStr">
        <is>
          <t>CAT. EMP.
(Transport)</t>
        </is>
      </c>
      <c r="Z11" s="218" t="inlineStr">
        <is>
          <t>CAT. RISQUE
(DESP)</t>
        </is>
      </c>
      <c r="AA11" s="218" t="inlineStr">
        <is>
          <t>CAT. CONSTRUCTION
(DESP)</t>
        </is>
      </c>
      <c r="AB11" s="218" t="inlineStr">
        <is>
          <t>MODULE EVALUATION
(DESP)</t>
        </is>
      </c>
      <c r="AC11" s="204" t="inlineStr">
        <is>
          <t>PLAQUE CE</t>
        </is>
      </c>
      <c r="AD11" s="218" t="inlineStr">
        <is>
          <t>%VT
(BW-SW-FW)</t>
        </is>
      </c>
      <c r="AE11" s="218" t="inlineStr">
        <is>
          <t>%RT
(BW)</t>
        </is>
      </c>
      <c r="AF11" s="218" t="inlineStr">
        <is>
          <t>%RT
(SW)</t>
        </is>
      </c>
      <c r="AG11" s="218" t="inlineStr">
        <is>
          <t>%PT
(BW)</t>
        </is>
      </c>
      <c r="AH11" s="218" t="inlineStr">
        <is>
          <t>%PT
(SW)</t>
        </is>
      </c>
      <c r="AI11" s="218" t="inlineStr">
        <is>
          <t>%PT
(FW)</t>
        </is>
      </c>
      <c r="AJ11" s="218" t="inlineStr">
        <is>
          <t>%UT
(Avant Perçage)</t>
        </is>
      </c>
      <c r="AK11" s="218" t="inlineStr">
        <is>
          <t>RAL PEINTURE</t>
        </is>
      </c>
      <c r="AL11" s="218" t="inlineStr">
        <is>
          <t>SPECIFICATION PEINTURE</t>
        </is>
      </c>
      <c r="AM11" s="218" t="inlineStr">
        <is>
          <t>TYPE ENROBAGE</t>
        </is>
      </c>
      <c r="AN11" s="218" t="inlineStr">
        <is>
          <t>SPECIFICATION ENROBAGE</t>
        </is>
      </c>
      <c r="AO11" s="218" t="inlineStr">
        <is>
          <t>PRESCRIPTION TUBING</t>
        </is>
      </c>
      <c r="AP11" s="218" t="inlineStr">
        <is>
          <t>TYPE DE SUPPORTAGE</t>
        </is>
      </c>
      <c r="AQ11" s="205" t="inlineStr">
        <is>
          <t>COMMENTAIRES</t>
        </is>
      </c>
      <c r="AW11" s="123" t="inlineStr">
        <is>
          <t>Gaz Naturel</t>
        </is>
      </c>
      <c r="AX11" s="31" t="inlineStr">
        <is>
          <t>Codeti 2013 Rev.11/16</t>
        </is>
      </c>
      <c r="AY11" s="31" t="inlineStr">
        <is>
          <t>C</t>
        </is>
      </c>
      <c r="AZ11" s="123" t="inlineStr">
        <is>
          <t>C</t>
        </is>
      </c>
      <c r="BA11" s="31" t="inlineStr">
        <is>
          <t>TRAPIL</t>
        </is>
      </c>
    </row>
    <row r="12" ht="40.15" customHeight="1">
      <c r="B12" s="48">
        <f>1</f>
        <v/>
      </c>
      <c r="C12" s="55" t="inlineStr">
        <is>
          <t>Remplacement Vanne 10-MV-1100</t>
        </is>
      </c>
      <c r="D12" s="260" t="n"/>
      <c r="E12" s="163" t="n">
        <v>1</v>
      </c>
      <c r="F12" s="56" t="inlineStr">
        <is>
          <t>Ligne DN400</t>
        </is>
      </c>
      <c r="G12" s="260" t="n"/>
      <c r="H12" s="287" t="inlineStr">
        <is>
          <t>Ligne DN400</t>
        </is>
      </c>
      <c r="I12" s="288" t="n"/>
      <c r="J12" s="244" t="n"/>
      <c r="K12" s="55" t="inlineStr">
        <is>
          <t>Gaz Naturel</t>
        </is>
      </c>
      <c r="L12" s="56" t="n">
        <v>400</v>
      </c>
      <c r="M12" s="56" t="inlineStr">
        <is>
          <t>100CP1</t>
        </is>
      </c>
      <c r="N12" s="56" t="inlineStr">
        <is>
          <t>100CP1</t>
        </is>
      </c>
      <c r="O12" s="56" t="inlineStr">
        <is>
          <t>100CP1</t>
        </is>
      </c>
      <c r="P12" s="56" t="inlineStr">
        <is>
          <t>100CP1</t>
        </is>
      </c>
      <c r="Q12" s="56" t="inlineStr">
        <is>
          <t>Aérien</t>
        </is>
      </c>
      <c r="R12" s="92" t="n">
        <v>-29</v>
      </c>
      <c r="S12" s="58" t="n">
        <v>60</v>
      </c>
      <c r="T12" s="93" t="inlineStr">
        <is>
          <t>-</t>
        </is>
      </c>
      <c r="U12" s="94" t="inlineStr">
        <is>
          <t>40
67.7</t>
        </is>
      </c>
      <c r="V12" s="60">
        <f>1.3*67.7</f>
        <v/>
      </c>
      <c r="W12" s="94" t="inlineStr">
        <is>
          <t>Eau</t>
        </is>
      </c>
      <c r="X12" s="56" t="inlineStr">
        <is>
          <t>A.M. du 05/03/2014
SG-M-322 Rev.5
SG-0015</t>
        </is>
      </c>
      <c r="Y12" s="56" t="inlineStr">
        <is>
          <t>B</t>
        </is>
      </c>
      <c r="Z12" s="56" t="n"/>
      <c r="AA12" s="56" t="n"/>
      <c r="AB12" s="56" t="n"/>
      <c r="AC12" s="56" t="n"/>
      <c r="AD12" s="61" t="n">
        <v>1</v>
      </c>
      <c r="AE12" s="62" t="n">
        <v>1</v>
      </c>
      <c r="AF12" s="62" t="n">
        <v>1</v>
      </c>
      <c r="AG12" s="62" t="n"/>
      <c r="AH12" s="62" t="n">
        <v>1</v>
      </c>
      <c r="AI12" s="62" t="n">
        <v>1</v>
      </c>
      <c r="AJ12" s="62" t="n">
        <v>1</v>
      </c>
      <c r="AK12" s="63" t="n">
        <v>6005</v>
      </c>
      <c r="AL12" s="63" t="inlineStr">
        <is>
          <t>ACQPA C4
SG-0129</t>
        </is>
      </c>
      <c r="AM12" s="56" t="inlineStr">
        <is>
          <t>Trenton
Denso</t>
        </is>
      </c>
      <c r="AN12" s="64" t="inlineStr">
        <is>
          <t>SG-0131-Rev.07</t>
        </is>
      </c>
      <c r="AO12" s="64" t="n"/>
      <c r="AP12" s="64" t="inlineStr">
        <is>
          <t>SU-017-S</t>
        </is>
      </c>
      <c r="AQ12" s="65" t="inlineStr">
        <is>
          <t>Manchette délardée</t>
        </is>
      </c>
      <c r="AW12" s="123" t="inlineStr">
        <is>
          <t>Eau Chaude</t>
        </is>
      </c>
      <c r="AX12" s="31" t="inlineStr">
        <is>
          <t>A.M. du 05/03/2014</t>
        </is>
      </c>
      <c r="AY12" s="31" t="inlineStr">
        <is>
          <t>B</t>
        </is>
      </c>
      <c r="AZ12" s="123" t="inlineStr">
        <is>
          <t>B2</t>
        </is>
      </c>
      <c r="BA12" s="31" t="inlineStr">
        <is>
          <t>Air Liquide</t>
        </is>
      </c>
    </row>
    <row r="13" ht="40.15" customHeight="1">
      <c r="B13" s="49" t="n">
        <v>2</v>
      </c>
      <c r="C13" s="68" t="inlineStr">
        <is>
          <t>Remplacement Vanne 10-HV-T111</t>
        </is>
      </c>
      <c r="D13" s="260" t="n"/>
      <c r="E13" s="165" t="n">
        <v>1</v>
      </c>
      <c r="F13" s="69" t="inlineStr">
        <is>
          <t>Bride DN150 PN100 RJ</t>
        </is>
      </c>
      <c r="G13" s="260" t="n"/>
      <c r="H13" s="289" t="inlineStr">
        <is>
          <t>Bride DN150 PN68 RJ</t>
        </is>
      </c>
      <c r="I13" s="288" t="n"/>
      <c r="J13" s="67" t="n"/>
      <c r="K13" s="68" t="inlineStr">
        <is>
          <t>Gaz Naturel</t>
        </is>
      </c>
      <c r="L13" s="69" t="n">
        <v>150</v>
      </c>
      <c r="M13" s="69" t="inlineStr">
        <is>
          <t>100CP1</t>
        </is>
      </c>
      <c r="N13" s="69" t="inlineStr">
        <is>
          <t>100CP1</t>
        </is>
      </c>
      <c r="O13" s="69" t="inlineStr">
        <is>
          <t>100CP1</t>
        </is>
      </c>
      <c r="P13" s="69" t="inlineStr">
        <is>
          <t>100CP1</t>
        </is>
      </c>
      <c r="Q13" s="69" t="inlineStr">
        <is>
          <t>Aérien</t>
        </is>
      </c>
      <c r="R13" s="70" t="n">
        <v>-29</v>
      </c>
      <c r="S13" s="71" t="n">
        <v>60</v>
      </c>
      <c r="T13" s="72" t="inlineStr">
        <is>
          <t>-</t>
        </is>
      </c>
      <c r="U13" s="73" t="inlineStr">
        <is>
          <t>40
67.7</t>
        </is>
      </c>
      <c r="V13" s="73">
        <f>1.3*67.7</f>
        <v/>
      </c>
      <c r="W13" s="73" t="inlineStr">
        <is>
          <t>Eau</t>
        </is>
      </c>
      <c r="X13" s="56" t="inlineStr">
        <is>
          <t>A.M. du 05/03/2014
SG-M-322 Rev.5
SG-0015</t>
        </is>
      </c>
      <c r="Y13" s="69" t="inlineStr">
        <is>
          <t>B</t>
        </is>
      </c>
      <c r="Z13" s="69" t="n"/>
      <c r="AA13" s="69" t="n"/>
      <c r="AB13" s="69" t="n"/>
      <c r="AC13" s="69" t="n"/>
      <c r="AD13" s="74" t="n">
        <v>1</v>
      </c>
      <c r="AE13" s="75" t="n">
        <v>1</v>
      </c>
      <c r="AF13" s="75" t="n">
        <v>1</v>
      </c>
      <c r="AG13" s="75" t="n"/>
      <c r="AH13" s="75" t="n">
        <v>1</v>
      </c>
      <c r="AI13" s="75" t="n">
        <v>1</v>
      </c>
      <c r="AJ13" s="75" t="n">
        <v>1</v>
      </c>
      <c r="AK13" s="76" t="n">
        <v>6005</v>
      </c>
      <c r="AL13" s="76" t="n"/>
      <c r="AM13" s="69" t="n"/>
      <c r="AN13" s="77" t="n"/>
      <c r="AO13" s="77" t="n"/>
      <c r="AP13" s="77" t="n"/>
      <c r="AQ13" s="78" t="n"/>
      <c r="AW13" s="123" t="inlineStr">
        <is>
          <t>AFGAS</t>
        </is>
      </c>
      <c r="AX13" s="31" t="inlineStr">
        <is>
          <t>CODAP 2015</t>
        </is>
      </c>
      <c r="AY13" s="31" t="inlineStr">
        <is>
          <t>A</t>
        </is>
      </c>
      <c r="AZ13" s="123" t="inlineStr">
        <is>
          <t>B1</t>
        </is>
      </c>
      <c r="BA13" s="31" t="inlineStr">
        <is>
          <t>ACQPA C3</t>
        </is>
      </c>
    </row>
    <row r="14" ht="40.15" customHeight="1">
      <c r="B14" s="48" t="n">
        <v>3</v>
      </c>
      <c r="C14" s="55" t="inlineStr">
        <is>
          <t>Remplacement équilibrage gare</t>
        </is>
      </c>
      <c r="D14" s="260" t="n"/>
      <c r="E14" s="163" t="n">
        <v>1</v>
      </c>
      <c r="F14" s="56" t="inlineStr">
        <is>
          <t>10-PL-6</t>
        </is>
      </c>
      <c r="G14" s="260" t="n"/>
      <c r="H14" s="287" t="inlineStr">
        <is>
          <t>10-HV-671
10-HV-673
10-HV-674</t>
        </is>
      </c>
      <c r="I14" s="288" t="n"/>
      <c r="J14" s="67" t="n"/>
      <c r="K14" s="55" t="inlineStr">
        <is>
          <t>Gaz Naturel</t>
        </is>
      </c>
      <c r="L14" s="56" t="n">
        <v>50</v>
      </c>
      <c r="M14" s="56" t="inlineStr">
        <is>
          <t>100CP1</t>
        </is>
      </c>
      <c r="N14" s="56" t="inlineStr">
        <is>
          <t>100CP1</t>
        </is>
      </c>
      <c r="O14" s="56" t="inlineStr">
        <is>
          <t>100CP1</t>
        </is>
      </c>
      <c r="P14" s="56" t="inlineStr">
        <is>
          <t>100CP1</t>
        </is>
      </c>
      <c r="Q14" s="56" t="inlineStr">
        <is>
          <t>Aérien</t>
        </is>
      </c>
      <c r="R14" s="57" t="n">
        <v>-29</v>
      </c>
      <c r="S14" s="58" t="n">
        <v>60</v>
      </c>
      <c r="T14" s="59" t="inlineStr">
        <is>
          <t>-</t>
        </is>
      </c>
      <c r="U14" s="60" t="inlineStr">
        <is>
          <t>40
67.7</t>
        </is>
      </c>
      <c r="V14" s="60">
        <f>1.3*67.7</f>
        <v/>
      </c>
      <c r="W14" s="60" t="inlineStr">
        <is>
          <t>Eau</t>
        </is>
      </c>
      <c r="X14" s="56" t="inlineStr">
        <is>
          <t>A.M. du 05/03/2014
SG-M-322 Rev.5
SG-0015</t>
        </is>
      </c>
      <c r="Y14" s="56" t="inlineStr">
        <is>
          <t>B</t>
        </is>
      </c>
      <c r="Z14" s="56" t="n"/>
      <c r="AA14" s="56" t="n"/>
      <c r="AB14" s="56" t="n"/>
      <c r="AC14" s="56" t="n"/>
      <c r="AD14" s="61" t="n">
        <v>1</v>
      </c>
      <c r="AE14" s="62" t="n">
        <v>1</v>
      </c>
      <c r="AF14" s="62" t="n">
        <v>1</v>
      </c>
      <c r="AG14" s="62" t="n"/>
      <c r="AH14" s="62" t="n">
        <v>1</v>
      </c>
      <c r="AI14" s="62" t="n">
        <v>1</v>
      </c>
      <c r="AJ14" s="62" t="n">
        <v>1</v>
      </c>
      <c r="AK14" s="63" t="n">
        <v>6005</v>
      </c>
      <c r="AL14" s="63" t="n"/>
      <c r="AM14" s="56" t="n"/>
      <c r="AN14" s="64" t="n"/>
      <c r="AO14" s="64" t="n"/>
      <c r="AP14" s="64" t="n"/>
      <c r="AQ14" s="65" t="n"/>
      <c r="AW14" s="123" t="inlineStr">
        <is>
          <t>JET-A1</t>
        </is>
      </c>
      <c r="AZ14" s="123" t="inlineStr">
        <is>
          <t>A</t>
        </is>
      </c>
      <c r="BA14" s="31" t="inlineStr">
        <is>
          <t>ACQPA C4</t>
        </is>
      </c>
    </row>
    <row r="15" ht="40.15" customHeight="1">
      <c r="B15" s="239" t="n"/>
      <c r="C15" s="245" t="n"/>
      <c r="D15" s="260" t="n"/>
      <c r="E15" s="240" t="n"/>
      <c r="F15" s="246" t="n"/>
      <c r="G15" s="260" t="n"/>
      <c r="H15" s="290" t="n"/>
      <c r="I15" s="288" t="n"/>
      <c r="J15" s="244" t="n"/>
      <c r="K15" s="245" t="n"/>
      <c r="L15" s="246" t="n"/>
      <c r="M15" s="246" t="n"/>
      <c r="N15" s="246" t="n"/>
      <c r="O15" s="246" t="n"/>
      <c r="P15" s="246" t="n"/>
      <c r="Q15" s="246" t="n"/>
      <c r="R15" s="247" t="n"/>
      <c r="S15" s="248" t="n"/>
      <c r="T15" s="249" t="n"/>
      <c r="U15" s="250" t="n"/>
      <c r="V15" s="251" t="n"/>
      <c r="W15" s="251" t="n"/>
      <c r="X15" s="246" t="n"/>
      <c r="Y15" s="246" t="n"/>
      <c r="Z15" s="246" t="n"/>
      <c r="AA15" s="246" t="n"/>
      <c r="AB15" s="246" t="n"/>
      <c r="AC15" s="246" t="n"/>
      <c r="AD15" s="252" t="n"/>
      <c r="AE15" s="253" t="n"/>
      <c r="AF15" s="253" t="n"/>
      <c r="AG15" s="253" t="n"/>
      <c r="AH15" s="253" t="n"/>
      <c r="AI15" s="253" t="n"/>
      <c r="AJ15" s="253" t="n"/>
      <c r="AK15" s="254" t="n"/>
      <c r="AL15" s="254" t="n"/>
      <c r="AM15" s="246" t="n"/>
      <c r="AN15" s="255" t="n"/>
      <c r="AO15" s="255" t="n"/>
      <c r="AP15" s="255" t="n"/>
      <c r="AQ15" s="256" t="n"/>
      <c r="AW15" s="123" t="inlineStr">
        <is>
          <t>Azote</t>
        </is>
      </c>
    </row>
    <row r="16" ht="40.15" customHeight="1">
      <c r="B16" s="48" t="n">
        <v>5</v>
      </c>
      <c r="C16" s="55" t="n"/>
      <c r="D16" s="260" t="n"/>
      <c r="E16" s="163" t="n"/>
      <c r="F16" s="56" t="n"/>
      <c r="G16" s="260" t="n"/>
      <c r="H16" s="287" t="n"/>
      <c r="I16" s="288" t="n"/>
      <c r="J16" s="244" t="n"/>
      <c r="K16" s="55" t="n"/>
      <c r="L16" s="56" t="n"/>
      <c r="M16" s="56" t="n"/>
      <c r="N16" s="56" t="n"/>
      <c r="O16" s="56" t="n"/>
      <c r="P16" s="56" t="n"/>
      <c r="Q16" s="56" t="n"/>
      <c r="R16" s="57" t="n"/>
      <c r="S16" s="58" t="n"/>
      <c r="T16" s="59" t="n"/>
      <c r="U16" s="60" t="n"/>
      <c r="V16" s="60" t="n"/>
      <c r="W16" s="60" t="n"/>
      <c r="X16" s="56" t="n"/>
      <c r="Y16" s="56" t="n"/>
      <c r="Z16" s="56" t="n"/>
      <c r="AA16" s="56" t="n"/>
      <c r="AB16" s="56" t="n"/>
      <c r="AC16" s="56" t="n"/>
      <c r="AD16" s="61" t="n"/>
      <c r="AE16" s="62" t="n"/>
      <c r="AF16" s="62" t="n"/>
      <c r="AG16" s="62" t="n"/>
      <c r="AH16" s="62" t="n"/>
      <c r="AI16" s="62" t="n"/>
      <c r="AJ16" s="62" t="n"/>
      <c r="AK16" s="63" t="n"/>
      <c r="AL16" s="63" t="n"/>
      <c r="AM16" s="56" t="n"/>
      <c r="AN16" s="64" t="n"/>
      <c r="AO16" s="64" t="n"/>
      <c r="AP16" s="64" t="n"/>
      <c r="AQ16" s="65" t="n"/>
      <c r="AW16" s="123" t="inlineStr">
        <is>
          <t>Oxygène</t>
        </is>
      </c>
      <c r="AX16" s="123" t="n">
        <v>3000</v>
      </c>
      <c r="AY16" s="31" t="inlineStr">
        <is>
          <t>Art.4.3</t>
        </is>
      </c>
      <c r="AZ16" s="123" t="inlineStr">
        <is>
          <t>A</t>
        </is>
      </c>
      <c r="BA16" s="31" t="inlineStr">
        <is>
          <t>Bande Butyle</t>
        </is>
      </c>
    </row>
    <row r="17" ht="40.15" customHeight="1">
      <c r="B17" s="49" t="n">
        <v>6</v>
      </c>
      <c r="C17" s="68" t="n"/>
      <c r="D17" s="260" t="n"/>
      <c r="E17" s="165" t="n"/>
      <c r="F17" s="69" t="n"/>
      <c r="G17" s="260" t="n"/>
      <c r="H17" s="289" t="n"/>
      <c r="I17" s="288" t="n"/>
      <c r="J17" s="67" t="n"/>
      <c r="K17" s="68" t="n"/>
      <c r="L17" s="69" t="n"/>
      <c r="M17" s="69" t="n"/>
      <c r="N17" s="69" t="n"/>
      <c r="O17" s="69" t="n"/>
      <c r="P17" s="69" t="n"/>
      <c r="Q17" s="69" t="n"/>
      <c r="R17" s="70" t="n"/>
      <c r="S17" s="71" t="n"/>
      <c r="T17" s="72" t="n"/>
      <c r="U17" s="73" t="n"/>
      <c r="V17" s="73" t="n"/>
      <c r="W17" s="73" t="n"/>
      <c r="X17" s="69" t="n"/>
      <c r="Y17" s="69" t="n"/>
      <c r="Z17" s="69" t="n"/>
      <c r="AA17" s="69" t="n"/>
      <c r="AB17" s="69" t="n"/>
      <c r="AC17" s="69" t="n"/>
      <c r="AD17" s="74" t="n"/>
      <c r="AE17" s="75" t="n"/>
      <c r="AF17" s="75" t="n"/>
      <c r="AG17" s="75" t="n"/>
      <c r="AH17" s="75" t="n"/>
      <c r="AI17" s="75" t="n"/>
      <c r="AJ17" s="75" t="n"/>
      <c r="AK17" s="76" t="n"/>
      <c r="AL17" s="76" t="n"/>
      <c r="AM17" s="69" t="n"/>
      <c r="AN17" s="77" t="n"/>
      <c r="AO17" s="77" t="n"/>
      <c r="AP17" s="77" t="n"/>
      <c r="AQ17" s="78" t="n"/>
      <c r="AW17" s="123" t="inlineStr">
        <is>
          <t>Eau glacée</t>
        </is>
      </c>
      <c r="AX17" s="123" t="n">
        <v>6000</v>
      </c>
      <c r="AY17" s="31" t="inlineStr">
        <is>
          <t>I</t>
        </is>
      </c>
      <c r="AZ17" s="123" t="inlineStr">
        <is>
          <t>A2</t>
        </is>
      </c>
      <c r="BA17" s="31" t="inlineStr">
        <is>
          <t>Bande Grasse</t>
        </is>
      </c>
    </row>
    <row r="18" ht="40.15" customHeight="1">
      <c r="B18" s="48" t="n">
        <v>7</v>
      </c>
      <c r="C18" s="55" t="n"/>
      <c r="D18" s="260" t="n"/>
      <c r="E18" s="163" t="n"/>
      <c r="F18" s="56" t="n"/>
      <c r="G18" s="260" t="n"/>
      <c r="H18" s="287" t="n"/>
      <c r="I18" s="288" t="n"/>
      <c r="J18" s="244" t="n"/>
      <c r="K18" s="55" t="n"/>
      <c r="L18" s="56" t="n"/>
      <c r="M18" s="56" t="n"/>
      <c r="N18" s="56" t="n"/>
      <c r="O18" s="56" t="n"/>
      <c r="P18" s="56" t="n"/>
      <c r="Q18" s="56" t="n"/>
      <c r="R18" s="57" t="n"/>
      <c r="S18" s="58" t="n"/>
      <c r="T18" s="59" t="n"/>
      <c r="U18" s="60" t="n"/>
      <c r="V18" s="60" t="n"/>
      <c r="W18" s="60" t="n"/>
      <c r="X18" s="56" t="n"/>
      <c r="Y18" s="56" t="n"/>
      <c r="Z18" s="56" t="n"/>
      <c r="AA18" s="56" t="n"/>
      <c r="AB18" s="56" t="n"/>
      <c r="AC18" s="56" t="n"/>
      <c r="AD18" s="61" t="n"/>
      <c r="AE18" s="62" t="n"/>
      <c r="AF18" s="62" t="n"/>
      <c r="AG18" s="62" t="n"/>
      <c r="AH18" s="62" t="n"/>
      <c r="AI18" s="62" t="n"/>
      <c r="AJ18" s="62" t="n"/>
      <c r="AK18" s="63" t="n"/>
      <c r="AL18" s="63" t="n"/>
      <c r="AM18" s="56" t="n"/>
      <c r="AN18" s="64" t="n"/>
      <c r="AO18" s="64" t="n"/>
      <c r="AP18" s="64" t="n"/>
      <c r="AQ18" s="65" t="n"/>
      <c r="AY18" s="31" t="inlineStr">
        <is>
          <t>II</t>
        </is>
      </c>
      <c r="AZ18" s="123" t="inlineStr">
        <is>
          <t>G</t>
        </is>
      </c>
      <c r="BA18" s="31" t="inlineStr">
        <is>
          <t>Bande Polyuréthane</t>
        </is>
      </c>
    </row>
    <row r="19" ht="40.15" customHeight="1">
      <c r="B19" s="239" t="n">
        <v>8</v>
      </c>
      <c r="C19" s="245" t="n"/>
      <c r="D19" s="260" t="n"/>
      <c r="E19" s="240" t="n"/>
      <c r="F19" s="69" t="n"/>
      <c r="G19" s="260" t="n"/>
      <c r="H19" s="289" t="n"/>
      <c r="I19" s="288" t="n"/>
      <c r="J19" s="244" t="n"/>
      <c r="K19" s="68" t="n"/>
      <c r="L19" s="69" t="n"/>
      <c r="M19" s="69" t="n"/>
      <c r="N19" s="69" t="n"/>
      <c r="O19" s="69" t="n"/>
      <c r="P19" s="69" t="n"/>
      <c r="Q19" s="69" t="n"/>
      <c r="R19" s="70" t="n"/>
      <c r="S19" s="71" t="n"/>
      <c r="T19" s="72" t="n"/>
      <c r="U19" s="73" t="n"/>
      <c r="V19" s="73" t="n"/>
      <c r="W19" s="73" t="n"/>
      <c r="X19" s="69" t="n"/>
      <c r="Y19" s="69" t="n"/>
      <c r="Z19" s="69" t="n"/>
      <c r="AA19" s="69" t="n"/>
      <c r="AB19" s="69" t="n"/>
      <c r="AC19" s="69" t="n"/>
      <c r="AD19" s="74" t="n"/>
      <c r="AE19" s="75" t="n"/>
      <c r="AF19" s="75" t="n"/>
      <c r="AG19" s="75" t="n"/>
      <c r="AH19" s="75" t="n"/>
      <c r="AI19" s="75" t="n"/>
      <c r="AJ19" s="75" t="n"/>
      <c r="AK19" s="76" t="n"/>
      <c r="AL19" s="76" t="n"/>
      <c r="AM19" s="69" t="n"/>
      <c r="AN19" s="77" t="n"/>
      <c r="AO19" s="77" t="n"/>
      <c r="AP19" s="77" t="n"/>
      <c r="AQ19" s="78" t="n"/>
      <c r="AW19" s="123" t="inlineStr">
        <is>
          <t>Entrerré</t>
        </is>
      </c>
      <c r="AY19" s="31" t="inlineStr">
        <is>
          <t>III</t>
        </is>
      </c>
    </row>
    <row r="20" ht="40.15" customHeight="1">
      <c r="B20" s="48" t="n">
        <v>9</v>
      </c>
      <c r="C20" s="291" t="n"/>
      <c r="D20" s="260" t="n"/>
      <c r="E20" s="163" t="n"/>
      <c r="F20" s="56" t="n"/>
      <c r="G20" s="260" t="n"/>
      <c r="H20" s="287" t="n"/>
      <c r="I20" s="288" t="n"/>
      <c r="J20" s="244" t="n"/>
      <c r="K20" s="55" t="n"/>
      <c r="L20" s="56" t="n"/>
      <c r="M20" s="56" t="n"/>
      <c r="N20" s="56" t="n"/>
      <c r="O20" s="56" t="n"/>
      <c r="P20" s="56" t="n"/>
      <c r="Q20" s="56" t="n"/>
      <c r="R20" s="57" t="n"/>
      <c r="S20" s="58" t="n"/>
      <c r="T20" s="59" t="n"/>
      <c r="U20" s="60" t="n"/>
      <c r="V20" s="60" t="n"/>
      <c r="W20" s="60" t="n"/>
      <c r="X20" s="56" t="n"/>
      <c r="Y20" s="56" t="n"/>
      <c r="Z20" s="56" t="n"/>
      <c r="AA20" s="56" t="n"/>
      <c r="AB20" s="56" t="n"/>
      <c r="AC20" s="56" t="n"/>
      <c r="AD20" s="61" t="n"/>
      <c r="AE20" s="62" t="n"/>
      <c r="AF20" s="62" t="n"/>
      <c r="AG20" s="62" t="n"/>
      <c r="AH20" s="62" t="n"/>
      <c r="AI20" s="62" t="n"/>
      <c r="AJ20" s="62" t="n"/>
      <c r="AK20" s="63" t="n"/>
      <c r="AL20" s="63" t="n"/>
      <c r="AM20" s="56" t="n"/>
      <c r="AN20" s="64" t="n"/>
      <c r="AO20" s="64" t="n"/>
      <c r="AP20" s="64" t="n"/>
      <c r="AQ20" s="65" t="n"/>
      <c r="AW20" s="123" t="inlineStr">
        <is>
          <t>Aérien</t>
        </is>
      </c>
      <c r="AX20" s="31" t="inlineStr">
        <is>
          <t>SMLS</t>
        </is>
      </c>
      <c r="AZ20" s="31" t="inlineStr">
        <is>
          <t>SWAGELOK</t>
        </is>
      </c>
      <c r="BA20" s="31" t="inlineStr">
        <is>
          <t>SG-0131-Rev.02</t>
        </is>
      </c>
    </row>
    <row r="21" ht="40.15" customHeight="1">
      <c r="B21" s="239" t="n">
        <v>10</v>
      </c>
      <c r="C21" s="292" t="n"/>
      <c r="D21" s="260" t="n"/>
      <c r="E21" s="240" t="n"/>
      <c r="F21" s="69" t="n"/>
      <c r="G21" s="260" t="n"/>
      <c r="H21" s="289" t="n"/>
      <c r="I21" s="288" t="n"/>
      <c r="J21" s="244" t="n"/>
      <c r="K21" s="68" t="n"/>
      <c r="L21" s="69" t="n"/>
      <c r="M21" s="69" t="n"/>
      <c r="N21" s="69" t="n"/>
      <c r="O21" s="69" t="n"/>
      <c r="P21" s="69" t="n"/>
      <c r="Q21" s="69" t="n"/>
      <c r="R21" s="70" t="n"/>
      <c r="S21" s="71" t="n"/>
      <c r="T21" s="72" t="n"/>
      <c r="U21" s="73" t="n"/>
      <c r="V21" s="73" t="n"/>
      <c r="W21" s="73" t="n"/>
      <c r="X21" s="69" t="n"/>
      <c r="Y21" s="69" t="n"/>
      <c r="Z21" s="69" t="n"/>
      <c r="AA21" s="69" t="n"/>
      <c r="AB21" s="69" t="n"/>
      <c r="AC21" s="69" t="n"/>
      <c r="AD21" s="74" t="n"/>
      <c r="AE21" s="75" t="n"/>
      <c r="AF21" s="75" t="n"/>
      <c r="AG21" s="75" t="n"/>
      <c r="AH21" s="75" t="n"/>
      <c r="AI21" s="75" t="n"/>
      <c r="AJ21" s="75" t="n"/>
      <c r="AK21" s="76" t="n"/>
      <c r="AL21" s="76" t="n"/>
      <c r="AM21" s="69" t="n"/>
      <c r="AN21" s="77" t="n"/>
      <c r="AO21" s="77" t="n"/>
      <c r="AP21" s="77" t="n"/>
      <c r="AQ21" s="78" t="n"/>
      <c r="AX21" s="31" t="inlineStr">
        <is>
          <t>ROULE SOUDE</t>
        </is>
      </c>
      <c r="AZ21" s="31" t="inlineStr">
        <is>
          <t>GYROLOCK</t>
        </is>
      </c>
    </row>
    <row r="22" ht="40.15" customHeight="1">
      <c r="B22" s="48" t="n">
        <v>11</v>
      </c>
      <c r="C22" s="291" t="n"/>
      <c r="D22" s="260" t="n"/>
      <c r="E22" s="163" t="n"/>
      <c r="F22" s="56" t="n"/>
      <c r="G22" s="260" t="n"/>
      <c r="H22" s="287" t="n"/>
      <c r="I22" s="288" t="n"/>
      <c r="J22" s="244" t="n"/>
      <c r="K22" s="55" t="n"/>
      <c r="L22" s="56" t="n"/>
      <c r="M22" s="56" t="n"/>
      <c r="N22" s="56" t="n"/>
      <c r="O22" s="56" t="n"/>
      <c r="P22" s="56" t="n"/>
      <c r="Q22" s="56" t="n"/>
      <c r="R22" s="57" t="n"/>
      <c r="S22" s="58" t="n"/>
      <c r="T22" s="59" t="n"/>
      <c r="U22" s="60" t="n"/>
      <c r="V22" s="60" t="n"/>
      <c r="W22" s="60" t="n"/>
      <c r="X22" s="56" t="n"/>
      <c r="Y22" s="56" t="n"/>
      <c r="Z22" s="56" t="n"/>
      <c r="AA22" s="56" t="n"/>
      <c r="AB22" s="56" t="n"/>
      <c r="AC22" s="56" t="n"/>
      <c r="AD22" s="61" t="n"/>
      <c r="AE22" s="62" t="n"/>
      <c r="AF22" s="62" t="n"/>
      <c r="AG22" s="62" t="n"/>
      <c r="AH22" s="62" t="n"/>
      <c r="AI22" s="62" t="n"/>
      <c r="AJ22" s="62" t="n"/>
      <c r="AK22" s="63" t="n"/>
      <c r="AL22" s="63" t="n"/>
      <c r="AM22" s="56" t="n"/>
      <c r="AN22" s="64" t="n"/>
      <c r="AO22" s="64" t="n"/>
      <c r="AP22" s="64" t="n"/>
      <c r="AQ22" s="65" t="n"/>
      <c r="AW22" s="123" t="inlineStr">
        <is>
          <t>OUI</t>
        </is>
      </c>
      <c r="AX22" s="31" t="inlineStr">
        <is>
          <t>OD</t>
        </is>
      </c>
      <c r="AZ22" s="31" t="n"/>
    </row>
    <row r="23" ht="40.15" customHeight="1" thickBot="1">
      <c r="B23" s="51" t="n">
        <v>12</v>
      </c>
      <c r="C23" s="293" t="n"/>
      <c r="D23" s="271" t="n"/>
      <c r="E23" s="199" t="n"/>
      <c r="F23" s="294" t="n"/>
      <c r="G23" s="271" t="n"/>
      <c r="H23" s="295" t="n"/>
      <c r="I23" s="296" t="n"/>
      <c r="J23" s="244" t="n"/>
      <c r="K23" s="68" t="n"/>
      <c r="L23" s="69" t="n"/>
      <c r="M23" s="69" t="n"/>
      <c r="N23" s="69" t="n"/>
      <c r="O23" s="69" t="n"/>
      <c r="P23" s="69" t="n"/>
      <c r="Q23" s="69" t="n"/>
      <c r="R23" s="70" t="n"/>
      <c r="S23" s="71" t="n"/>
      <c r="T23" s="72" t="n"/>
      <c r="U23" s="73" t="n"/>
      <c r="V23" s="73" t="n"/>
      <c r="W23" s="73" t="n"/>
      <c r="X23" s="69" t="n"/>
      <c r="Y23" s="69" t="n"/>
      <c r="Z23" s="69" t="n"/>
      <c r="AA23" s="69" t="n"/>
      <c r="AB23" s="69" t="n"/>
      <c r="AC23" s="69" t="n"/>
      <c r="AD23" s="74" t="n"/>
      <c r="AE23" s="75" t="n"/>
      <c r="AF23" s="75" t="n"/>
      <c r="AG23" s="75" t="n"/>
      <c r="AH23" s="75" t="n"/>
      <c r="AI23" s="75" t="n"/>
      <c r="AJ23" s="75" t="n"/>
      <c r="AK23" s="76" t="n"/>
      <c r="AL23" s="76" t="n"/>
      <c r="AM23" s="69" t="n"/>
      <c r="AN23" s="77" t="n"/>
      <c r="AO23" s="77" t="n"/>
      <c r="AP23" s="77" t="n"/>
      <c r="AQ23" s="78" t="n"/>
      <c r="AW23" s="123" t="inlineStr">
        <is>
          <t>NON</t>
        </is>
      </c>
    </row>
    <row r="25" ht="15" customHeight="1" thickBot="1"/>
    <row r="26" ht="15" customHeight="1">
      <c r="B26" s="187" t="inlineStr">
        <is>
          <t>VALIDATION CONDUCTEUR DE TRAVAUX</t>
        </is>
      </c>
      <c r="C26" s="297" t="n"/>
      <c r="D26" s="297" t="n"/>
      <c r="E26" s="281" t="n"/>
      <c r="F26" s="187" t="inlineStr">
        <is>
          <t>VALIDATION DIRECTEUR TECHNIQUE</t>
        </is>
      </c>
      <c r="G26" s="297" t="n"/>
      <c r="H26" s="297" t="n"/>
      <c r="I26" s="281" t="n"/>
    </row>
    <row r="27">
      <c r="B27" s="298" t="n"/>
      <c r="E27" s="299" t="n"/>
      <c r="F27" s="298" t="n"/>
      <c r="I27" s="299" t="n"/>
    </row>
    <row r="28">
      <c r="B28" s="283" t="n"/>
      <c r="C28" s="300" t="n"/>
      <c r="D28" s="300" t="n"/>
      <c r="E28" s="284" t="n"/>
      <c r="F28" s="283" t="n"/>
      <c r="G28" s="300" t="n"/>
      <c r="H28" s="300" t="n"/>
      <c r="I28" s="284" t="n"/>
    </row>
    <row r="29">
      <c r="B29" s="172" t="inlineStr">
        <is>
          <t>Date</t>
        </is>
      </c>
      <c r="C29" s="301" t="n"/>
      <c r="D29" s="183" t="n"/>
      <c r="E29" s="302" t="n"/>
      <c r="F29" s="172" t="inlineStr">
        <is>
          <t>Date</t>
        </is>
      </c>
      <c r="G29" s="301" t="n"/>
      <c r="H29" s="255" t="n"/>
      <c r="I29" s="302" t="n"/>
    </row>
    <row r="30">
      <c r="B30" s="283" t="n"/>
      <c r="C30" s="284" t="n"/>
      <c r="D30" s="303" t="n"/>
      <c r="E30" s="304" t="n"/>
      <c r="F30" s="283" t="n"/>
      <c r="G30" s="284" t="n"/>
      <c r="H30" s="303" t="n"/>
      <c r="I30" s="304" t="n"/>
    </row>
    <row r="31">
      <c r="B31" s="172" t="inlineStr">
        <is>
          <t>Version</t>
        </is>
      </c>
      <c r="C31" s="301" t="n"/>
      <c r="D31" s="131" t="n"/>
      <c r="E31" s="302" t="n"/>
      <c r="F31" s="172" t="inlineStr">
        <is>
          <t>Version</t>
        </is>
      </c>
      <c r="G31" s="301" t="n"/>
      <c r="H31" s="255" t="n"/>
      <c r="I31" s="302" t="n"/>
    </row>
    <row r="32">
      <c r="B32" s="283" t="n"/>
      <c r="C32" s="284" t="n"/>
      <c r="D32" s="303" t="n"/>
      <c r="E32" s="304" t="n"/>
      <c r="F32" s="283" t="n"/>
      <c r="G32" s="284" t="n"/>
      <c r="H32" s="303" t="n"/>
      <c r="I32" s="304" t="n"/>
    </row>
    <row r="33" ht="14.65" customHeight="1">
      <c r="B33" s="172" t="inlineStr">
        <is>
          <t>Visa</t>
        </is>
      </c>
      <c r="C33" s="301" t="n"/>
      <c r="D33" s="131" t="n"/>
      <c r="E33" s="302" t="n"/>
      <c r="F33" s="172" t="inlineStr">
        <is>
          <t>Visa</t>
        </is>
      </c>
      <c r="G33" s="301" t="n"/>
      <c r="H33" s="255" t="n"/>
      <c r="I33" s="302" t="n"/>
    </row>
    <row r="34" ht="14.65" customHeight="1">
      <c r="B34" s="298" t="n"/>
      <c r="C34" s="299" t="n"/>
      <c r="D34" s="305" t="n"/>
      <c r="E34" s="306" t="n"/>
      <c r="F34" s="298" t="n"/>
      <c r="G34" s="299" t="n"/>
      <c r="H34" s="305" t="n"/>
      <c r="I34" s="306" t="n"/>
    </row>
    <row r="35" ht="14.65" customHeight="1">
      <c r="B35" s="298" t="n"/>
      <c r="C35" s="299" t="n"/>
      <c r="D35" s="305" t="n"/>
      <c r="E35" s="306" t="n"/>
      <c r="F35" s="298" t="n"/>
      <c r="G35" s="299" t="n"/>
      <c r="H35" s="305" t="n"/>
      <c r="I35" s="306" t="n"/>
    </row>
    <row r="36" ht="14.65" customHeight="1">
      <c r="B36" s="298" t="n"/>
      <c r="C36" s="299" t="n"/>
      <c r="D36" s="305" t="n"/>
      <c r="E36" s="306" t="n"/>
      <c r="F36" s="298" t="n"/>
      <c r="G36" s="299" t="n"/>
      <c r="H36" s="305" t="n"/>
      <c r="I36" s="306" t="n"/>
    </row>
    <row r="37" ht="15" customHeight="1" thickBot="1">
      <c r="B37" s="283" t="n"/>
      <c r="C37" s="284" t="n"/>
      <c r="D37" s="303" t="n"/>
      <c r="E37" s="304" t="n"/>
      <c r="F37" s="283" t="n"/>
      <c r="G37" s="284" t="n"/>
      <c r="H37" s="303" t="n"/>
      <c r="I37" s="304" t="n"/>
    </row>
    <row r="40">
      <c r="C40" s="246" t="inlineStr">
        <is>
          <t>FCH
Fabrice CHAILLOUX</t>
        </is>
      </c>
      <c r="D40" s="131" t="n"/>
      <c r="E40" s="302" t="n"/>
      <c r="J40" s="52" t="n"/>
    </row>
    <row r="41">
      <c r="C41" s="307" t="n"/>
      <c r="D41" s="305" t="n"/>
      <c r="E41" s="306" t="n"/>
      <c r="J41" s="52" t="n"/>
    </row>
    <row r="42">
      <c r="C42" s="307" t="n"/>
      <c r="D42" s="305" t="n"/>
      <c r="E42" s="306" t="n"/>
      <c r="J42" s="52" t="n"/>
    </row>
    <row r="43">
      <c r="C43" s="307" t="n"/>
      <c r="D43" s="305" t="n"/>
      <c r="E43" s="306" t="n"/>
      <c r="J43" s="52" t="n"/>
    </row>
    <row r="44">
      <c r="C44" s="308" t="n"/>
      <c r="D44" s="303" t="n"/>
      <c r="E44" s="304" t="n"/>
      <c r="J44" s="52" t="n"/>
    </row>
    <row r="45">
      <c r="C45" s="246" t="inlineStr">
        <is>
          <t>LLE
Laurent LEMOINE</t>
        </is>
      </c>
      <c r="D45" s="131" t="n"/>
      <c r="E45" s="302" t="n"/>
      <c r="J45" s="52" t="n"/>
    </row>
    <row r="46">
      <c r="C46" s="307" t="n"/>
      <c r="D46" s="305" t="n"/>
      <c r="E46" s="306" t="n"/>
      <c r="J46" s="52" t="n"/>
    </row>
    <row r="47">
      <c r="C47" s="307" t="n"/>
      <c r="D47" s="305" t="n"/>
      <c r="E47" s="306" t="n"/>
    </row>
    <row r="48">
      <c r="C48" s="307" t="n"/>
      <c r="D48" s="305" t="n"/>
      <c r="E48" s="306" t="n"/>
    </row>
    <row r="49">
      <c r="C49" s="308" t="n"/>
      <c r="D49" s="303" t="n"/>
      <c r="E49" s="304" t="n"/>
    </row>
    <row r="50">
      <c r="C50" s="246" t="inlineStr">
        <is>
          <t>ATO
Axel TOMEKPE</t>
        </is>
      </c>
      <c r="D50" s="131" t="n"/>
      <c r="E50" s="302" t="n"/>
    </row>
    <row r="51">
      <c r="C51" s="307" t="n"/>
      <c r="D51" s="305" t="n"/>
      <c r="E51" s="306" t="n"/>
    </row>
    <row r="52">
      <c r="C52" s="307" t="n"/>
      <c r="D52" s="305" t="n"/>
      <c r="E52" s="306" t="n"/>
    </row>
    <row r="53">
      <c r="C53" s="307" t="n"/>
      <c r="D53" s="305" t="n"/>
      <c r="E53" s="306" t="n"/>
    </row>
    <row r="54">
      <c r="C54" s="308" t="n"/>
      <c r="D54" s="303" t="n"/>
      <c r="E54" s="304" t="n"/>
    </row>
    <row r="55">
      <c r="C55" s="246" t="inlineStr">
        <is>
          <t>GJO
Guillaume JOUADE</t>
        </is>
      </c>
      <c r="D55" s="131" t="n"/>
      <c r="E55" s="302" t="n"/>
    </row>
    <row r="56">
      <c r="C56" s="307" t="n"/>
      <c r="D56" s="305" t="n"/>
      <c r="E56" s="306" t="n"/>
    </row>
    <row r="57">
      <c r="C57" s="307" t="n"/>
      <c r="D57" s="305" t="n"/>
      <c r="E57" s="306" t="n"/>
    </row>
    <row r="58">
      <c r="C58" s="307" t="n"/>
      <c r="D58" s="305" t="n"/>
      <c r="E58" s="306" t="n"/>
    </row>
    <row r="59">
      <c r="C59" s="308" t="n"/>
      <c r="D59" s="303" t="n"/>
      <c r="E59" s="304" t="n"/>
    </row>
    <row r="60">
      <c r="C60" s="246" t="inlineStr">
        <is>
          <t>DBE
David BENARD</t>
        </is>
      </c>
      <c r="D60" s="131" t="n"/>
      <c r="E60" s="302" t="n"/>
    </row>
    <row r="61">
      <c r="C61" s="307" t="n"/>
      <c r="D61" s="305" t="n"/>
      <c r="E61" s="306" t="n"/>
    </row>
    <row r="62">
      <c r="C62" s="307" t="n"/>
      <c r="D62" s="305" t="n"/>
      <c r="E62" s="306" t="n"/>
    </row>
    <row r="63">
      <c r="C63" s="307" t="n"/>
      <c r="D63" s="305" t="n"/>
      <c r="E63" s="306" t="n"/>
    </row>
    <row r="64">
      <c r="C64" s="308" t="n"/>
      <c r="D64" s="303" t="n"/>
      <c r="E64" s="304" t="n"/>
    </row>
    <row r="65">
      <c r="C65" s="246" t="inlineStr">
        <is>
          <t>MVI
Maxime VINCENDEAU</t>
        </is>
      </c>
      <c r="D65" s="131" t="n"/>
      <c r="E65" s="302" t="n"/>
    </row>
    <row r="66">
      <c r="C66" s="307" t="n"/>
      <c r="D66" s="305" t="n"/>
      <c r="E66" s="306" t="n"/>
    </row>
    <row r="67">
      <c r="C67" s="307" t="n"/>
      <c r="D67" s="305" t="n"/>
      <c r="E67" s="306" t="n"/>
    </row>
    <row r="68">
      <c r="C68" s="307" t="n"/>
      <c r="D68" s="305" t="n"/>
      <c r="E68" s="306" t="n"/>
    </row>
    <row r="69">
      <c r="C69" s="308" t="n"/>
      <c r="D69" s="303" t="n"/>
      <c r="E69" s="304" t="n"/>
    </row>
  </sheetData>
  <mergeCells count="76">
    <mergeCell ref="AK10:AQ10"/>
    <mergeCell ref="D55:E59"/>
    <mergeCell ref="C40:C44"/>
    <mergeCell ref="B33:C37"/>
    <mergeCell ref="F11:G11"/>
    <mergeCell ref="D33:E37"/>
    <mergeCell ref="D60:E64"/>
    <mergeCell ref="H20:I20"/>
    <mergeCell ref="F16:G16"/>
    <mergeCell ref="C15:D15"/>
    <mergeCell ref="H33:I37"/>
    <mergeCell ref="F19:G19"/>
    <mergeCell ref="C60:C64"/>
    <mergeCell ref="F31:G32"/>
    <mergeCell ref="D50:E54"/>
    <mergeCell ref="C14:D14"/>
    <mergeCell ref="E10:E11"/>
    <mergeCell ref="K10:T10"/>
    <mergeCell ref="F21:G21"/>
    <mergeCell ref="C20:D20"/>
    <mergeCell ref="H21:I21"/>
    <mergeCell ref="F12:G12"/>
    <mergeCell ref="D65:E69"/>
    <mergeCell ref="B26:E28"/>
    <mergeCell ref="F15:G15"/>
    <mergeCell ref="C16:D16"/>
    <mergeCell ref="F20:G20"/>
    <mergeCell ref="F18:G18"/>
    <mergeCell ref="D29:E30"/>
    <mergeCell ref="D40:E44"/>
    <mergeCell ref="F29:G30"/>
    <mergeCell ref="C22:D22"/>
    <mergeCell ref="B10:B11"/>
    <mergeCell ref="D45:E49"/>
    <mergeCell ref="F10:I10"/>
    <mergeCell ref="F17:G17"/>
    <mergeCell ref="H17:I17"/>
    <mergeCell ref="H11:I11"/>
    <mergeCell ref="D31:E32"/>
    <mergeCell ref="C12:D12"/>
    <mergeCell ref="C21:D21"/>
    <mergeCell ref="H16:I16"/>
    <mergeCell ref="F33:G37"/>
    <mergeCell ref="F23:G23"/>
    <mergeCell ref="B31:C32"/>
    <mergeCell ref="H19:I19"/>
    <mergeCell ref="F22:G22"/>
    <mergeCell ref="AC10:AJ10"/>
    <mergeCell ref="H22:I22"/>
    <mergeCell ref="F13:G13"/>
    <mergeCell ref="B6:I8"/>
    <mergeCell ref="C23:D23"/>
    <mergeCell ref="H13:I13"/>
    <mergeCell ref="C45:C49"/>
    <mergeCell ref="C17:D17"/>
    <mergeCell ref="H29:I30"/>
    <mergeCell ref="H14:I14"/>
    <mergeCell ref="B9:I9"/>
    <mergeCell ref="H12:I12"/>
    <mergeCell ref="C10:D11"/>
    <mergeCell ref="F26:I28"/>
    <mergeCell ref="F2:I2"/>
    <mergeCell ref="C65:C69"/>
    <mergeCell ref="H18:I18"/>
    <mergeCell ref="B29:C30"/>
    <mergeCell ref="H15:I15"/>
    <mergeCell ref="H31:I32"/>
    <mergeCell ref="C19:D19"/>
    <mergeCell ref="H23:I23"/>
    <mergeCell ref="U10:AB10"/>
    <mergeCell ref="C50:C54"/>
    <mergeCell ref="C18:D18"/>
    <mergeCell ref="F14:G14"/>
    <mergeCell ref="C13:D13"/>
    <mergeCell ref="C55:C59"/>
    <mergeCell ref="K9:AQ9"/>
  </mergeCells>
  <dataValidations count="14">
    <dataValidation sqref="K12:K23" showDropDown="0" showInputMessage="1" showErrorMessage="0" allowBlank="1" type="list">
      <formula1>$AW$11:$AW$17</formula1>
    </dataValidation>
    <dataValidation sqref="Q12:Q23" showDropDown="0" showInputMessage="1" showErrorMessage="0" allowBlank="1" type="list">
      <formula1>$AW$19:$AW$20</formula1>
    </dataValidation>
    <dataValidation sqref="X12:X23" showDropDown="0" showInputMessage="1" showErrorMessage="0" allowBlank="1" type="list">
      <formula1>$AX$11:$AX$15</formula1>
    </dataValidation>
    <dataValidation sqref="AC12:AC23" showDropDown="0" showInputMessage="1" showErrorMessage="0" allowBlank="1" type="list">
      <formula1>$AW$22:$AW$23</formula1>
    </dataValidation>
    <dataValidation sqref="AA12:AA23" showDropDown="0" showInputMessage="1" showErrorMessage="0" allowBlank="1" type="list">
      <formula1>$AZ$11:$AZ$14</formula1>
    </dataValidation>
    <dataValidation sqref="AB12:AB23" showDropDown="0" showInputMessage="1" showErrorMessage="0" allowBlank="1" type="list">
      <formula1>$AZ$16:$AZ$18</formula1>
    </dataValidation>
    <dataValidation sqref="Z12:Z23" showDropDown="0" showInputMessage="1" showErrorMessage="1" allowBlank="1" type="list">
      <formula1>$AY$16:$AY$19</formula1>
    </dataValidation>
    <dataValidation sqref="Y12:Y23" showDropDown="0" showInputMessage="1" showErrorMessage="1" allowBlank="1" type="list">
      <formula1>$AY$11:$AY$13</formula1>
    </dataValidation>
    <dataValidation sqref="P12:P23" showDropDown="0" showInputMessage="1" showErrorMessage="0" allowBlank="1" type="list">
      <formula1>$AX$16:$AX$17</formula1>
    </dataValidation>
    <dataValidation sqref="N12:N23" showDropDown="0" showInputMessage="1" showErrorMessage="0" allowBlank="1" type="list">
      <formula1>$AX$20:$AX$22</formula1>
    </dataValidation>
    <dataValidation sqref="AL12:AL23" showDropDown="0" showInputMessage="1" showErrorMessage="0" allowBlank="1" type="list">
      <formula1>$BA$11:$BA$14</formula1>
    </dataValidation>
    <dataValidation sqref="AM12:AM23" showDropDown="0" showInputMessage="1" showErrorMessage="0" allowBlank="1" type="list">
      <formula1>$BA$16:$BA$19</formula1>
    </dataValidation>
    <dataValidation sqref="AN12:AN23" showDropDown="0" showInputMessage="1" showErrorMessage="0" allowBlank="1" type="list">
      <formula1>$BA$20:$BA$22</formula1>
    </dataValidation>
    <dataValidation sqref="AO12:AO23" showDropDown="0" showInputMessage="1" showErrorMessage="0" allowBlank="1" type="list">
      <formula1>$AZ$20:$AZ$22</formula1>
    </dataValidation>
  </dataValidations>
  <pageMargins left="0.2362204724409449" right="0" top="0.5118110236220472" bottom="0" header="0.2362204724409449" footer="0"/>
  <pageSetup orientation="portrait" paperSize="9" scale="63"/>
  <headerFooter>
    <oddHeader>&amp;L&amp;G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AC27"/>
  <sheetViews>
    <sheetView showGridLines="0" tabSelected="1" zoomScaleNormal="100" workbookViewId="0">
      <selection activeCell="H12" sqref="H12"/>
    </sheetView>
  </sheetViews>
  <sheetFormatPr baseColWidth="10" defaultColWidth="10.7109375" defaultRowHeight="14.25"/>
  <cols>
    <col width="3.5703125" customWidth="1" style="123" min="1" max="1"/>
    <col hidden="1" outlineLevel="1" width="27.28515625" customWidth="1" style="123" min="2" max="2"/>
    <col collapsed="1" width="7.28515625" bestFit="1" customWidth="1" style="123" min="3" max="3"/>
    <col width="39.7109375" bestFit="1" customWidth="1" style="123" min="4" max="4"/>
    <col width="6.5703125" bestFit="1" customWidth="1" style="123" min="5" max="5"/>
    <col width="6.28515625" customWidth="1" style="123" min="6" max="6"/>
    <col width="5.5703125" bestFit="1" customWidth="1" style="123" min="7" max="7"/>
    <col width="10.42578125" bestFit="1" customWidth="1" style="123" min="8" max="8"/>
    <col width="7.42578125" bestFit="1" customWidth="1" style="123" min="9" max="9"/>
    <col width="10.7109375" customWidth="1" style="123" min="10" max="10"/>
    <col width="8.28515625" bestFit="1" customWidth="1" style="123" min="11" max="12"/>
    <col width="12.5703125" bestFit="1" customWidth="1" style="123" min="13" max="13"/>
    <col width="18.7109375" customWidth="1" style="123" min="14" max="17"/>
    <col width="9.140625" customWidth="1" style="123" min="18" max="18"/>
    <col width="7.28515625" bestFit="1" customWidth="1" style="123" min="19" max="19"/>
    <col width="5.28515625" bestFit="1" customWidth="1" style="123" min="20" max="20"/>
    <col width="6" bestFit="1" customWidth="1" style="123" min="21" max="21"/>
    <col width="4.28515625" customWidth="1" style="123" min="22" max="22"/>
    <col width="10.7109375" customWidth="1" style="123" min="23" max="23"/>
    <col hidden="1" outlineLevel="1" width="10.7109375" customWidth="1" style="123" min="24" max="29"/>
    <col collapsed="1" width="22.28515625" bestFit="1" customWidth="1" style="123" min="30" max="30"/>
    <col width="10.7109375" customWidth="1" style="123" min="31" max="16384"/>
  </cols>
  <sheetData>
    <row r="2" ht="15" customHeight="1">
      <c r="P2" s="136" t="inlineStr">
        <is>
          <t>Lancement Affaire - Bureau d'Etudes</t>
        </is>
      </c>
      <c r="Q2" s="258" t="n"/>
      <c r="R2" s="258" t="n"/>
      <c r="S2" s="258" t="n"/>
      <c r="T2" s="258" t="n"/>
      <c r="U2" s="259" t="n"/>
      <c r="V2" s="29" t="n"/>
    </row>
    <row r="3" ht="15" customHeight="1">
      <c r="P3" s="116" t="inlineStr">
        <is>
          <t>DOMAINE D'APPLICATION</t>
        </is>
      </c>
      <c r="Q3" s="116" t="inlineStr">
        <is>
          <t>NATURE</t>
        </is>
      </c>
      <c r="R3" s="116" t="inlineStr">
        <is>
          <t>N° D'ORDRE</t>
        </is>
      </c>
      <c r="S3" s="259" t="n"/>
      <c r="T3" s="116" t="inlineStr">
        <is>
          <t>VERSION</t>
        </is>
      </c>
      <c r="U3" s="259" t="n"/>
    </row>
    <row r="4" ht="15" customHeight="1">
      <c r="P4" s="218">
        <f>'Page de Garde'!D4</f>
        <v/>
      </c>
      <c r="Q4" s="218" t="inlineStr">
        <is>
          <t>LBE</t>
        </is>
      </c>
      <c r="R4" s="219">
        <f>'Page de Garde'!G4</f>
        <v/>
      </c>
      <c r="S4" s="259" t="n"/>
      <c r="T4" s="218">
        <f>'Page de Garde'!H4</f>
        <v/>
      </c>
      <c r="U4" s="259" t="n"/>
    </row>
    <row r="5" ht="37.15" customHeight="1" thickBot="1"/>
    <row r="6">
      <c r="C6" s="96" t="inlineStr">
        <is>
          <t>Données Techniques : Appareils - Points de raccordements</t>
        </is>
      </c>
      <c r="D6" s="267" t="n"/>
      <c r="E6" s="267" t="n"/>
      <c r="F6" s="267" t="n"/>
      <c r="G6" s="267" t="n"/>
      <c r="H6" s="267" t="n"/>
      <c r="I6" s="267" t="n"/>
      <c r="J6" s="267" t="n"/>
      <c r="K6" s="267" t="n"/>
      <c r="L6" s="267" t="n"/>
      <c r="M6" s="267" t="n"/>
      <c r="N6" s="267" t="n"/>
      <c r="O6" s="267" t="n"/>
      <c r="P6" s="267" t="n"/>
      <c r="Q6" s="267" t="n"/>
      <c r="R6" s="267" t="n"/>
      <c r="S6" s="267" t="n"/>
      <c r="T6" s="267" t="n"/>
      <c r="U6" s="268" t="n"/>
    </row>
    <row r="7" ht="14.65" customHeight="1">
      <c r="C7" s="7" t="inlineStr">
        <is>
          <t>Repère</t>
        </is>
      </c>
      <c r="D7" s="119" t="inlineStr">
        <is>
          <t xml:space="preserve">Désignation </t>
        </is>
      </c>
      <c r="E7" s="119" t="inlineStr">
        <is>
          <t>Type</t>
        </is>
      </c>
      <c r="F7" s="119" t="inlineStr">
        <is>
          <t>DN</t>
        </is>
      </c>
      <c r="G7" s="119" t="inlineStr">
        <is>
          <t>PN</t>
        </is>
      </c>
      <c r="H7" s="28" t="inlineStr">
        <is>
          <t>Epaisseur</t>
        </is>
      </c>
      <c r="I7" s="119" t="inlineStr">
        <is>
          <t>Matière</t>
        </is>
      </c>
      <c r="J7" s="28" t="inlineStr">
        <is>
          <t>Fourniture</t>
        </is>
      </c>
      <c r="K7" s="119" t="inlineStr">
        <is>
          <t>Quantité</t>
        </is>
      </c>
      <c r="L7" s="119" t="inlineStr">
        <is>
          <t>Peinture</t>
        </is>
      </c>
      <c r="M7" s="119" t="inlineStr">
        <is>
          <t>Emplacement</t>
        </is>
      </c>
      <c r="N7" s="100" t="inlineStr">
        <is>
          <t>Docs Techniques / Commentaires</t>
        </is>
      </c>
      <c r="O7" s="258" t="n"/>
      <c r="P7" s="259" t="n"/>
      <c r="Q7" s="100" t="inlineStr">
        <is>
          <t>Affecté à la ligne…</t>
        </is>
      </c>
      <c r="R7" s="259" t="n"/>
      <c r="S7" s="119" t="inlineStr">
        <is>
          <t>Version</t>
        </is>
      </c>
      <c r="T7" s="119" t="inlineStr">
        <is>
          <t>Reçu</t>
        </is>
      </c>
      <c r="U7" s="8" t="inlineStr">
        <is>
          <t>Traité</t>
        </is>
      </c>
      <c r="AC7" s="123" t="inlineStr">
        <is>
          <t>ARTIS</t>
        </is>
      </c>
    </row>
    <row r="8" ht="19.9" customHeight="1">
      <c r="B8" s="123">
        <f>C8&amp;" - "&amp;D8&amp;" - "&amp;E8&amp;" - "&amp;F8&amp;" - "&amp;G8</f>
        <v/>
      </c>
      <c r="C8" s="89" t="n">
        <v>1</v>
      </c>
      <c r="D8" s="255" t="inlineStr">
        <is>
          <t>Raccordement DN400 amont</t>
        </is>
      </c>
      <c r="E8" s="255" t="inlineStr">
        <is>
          <t>BW</t>
        </is>
      </c>
      <c r="F8" s="16" t="n">
        <v>400</v>
      </c>
      <c r="G8" s="255" t="n"/>
      <c r="H8" s="255" t="n"/>
      <c r="I8" s="255" t="inlineStr">
        <is>
          <t>ACIER</t>
        </is>
      </c>
      <c r="J8" s="255" t="inlineStr">
        <is>
          <t>CLIENT</t>
        </is>
      </c>
      <c r="K8" s="131" t="n">
        <v>1</v>
      </c>
      <c r="L8" s="255" t="inlineStr">
        <is>
          <t>RAL 6005</t>
        </is>
      </c>
      <c r="M8" s="131" t="inlineStr">
        <is>
          <t>Derval</t>
        </is>
      </c>
      <c r="N8" s="131" t="n"/>
      <c r="O8" s="269" t="n"/>
      <c r="P8" s="260" t="n"/>
      <c r="Q8" s="309" t="inlineStr">
        <is>
          <t>1</t>
        </is>
      </c>
      <c r="R8" s="260" t="n"/>
      <c r="S8" s="255" t="n"/>
      <c r="T8" s="131" t="n"/>
      <c r="U8" s="133" t="n"/>
      <c r="V8" s="16" t="n"/>
      <c r="W8" s="16" t="n"/>
      <c r="X8" s="16" t="b">
        <v>0</v>
      </c>
      <c r="Y8" s="16">
        <f>IF(X8=TRUE,1,0)</f>
        <v/>
      </c>
      <c r="Z8" s="16" t="b">
        <v>0</v>
      </c>
      <c r="AA8" s="16">
        <f>IF(Z8=TRUE,1,0)</f>
        <v/>
      </c>
      <c r="AB8" s="123">
        <f>IF(AA8=1,"OK","")</f>
        <v/>
      </c>
      <c r="AC8" s="123" t="inlineStr">
        <is>
          <t>CLIENT</t>
        </is>
      </c>
    </row>
    <row r="9" ht="19.9" customHeight="1">
      <c r="B9" s="123">
        <f>C9&amp;" - "&amp;D9&amp;" - "&amp;E9&amp;" - "&amp;F9&amp;" - "&amp;G9</f>
        <v/>
      </c>
      <c r="C9" s="89" t="n">
        <v>2</v>
      </c>
      <c r="D9" s="255" t="inlineStr">
        <is>
          <t>Raccordement DN400 aval</t>
        </is>
      </c>
      <c r="E9" s="64" t="inlineStr">
        <is>
          <t>BW</t>
        </is>
      </c>
      <c r="F9" s="13" t="n">
        <v>400</v>
      </c>
      <c r="G9" s="64" t="n"/>
      <c r="H9" s="64" t="n"/>
      <c r="I9" s="64" t="inlineStr">
        <is>
          <t>ACIER</t>
        </is>
      </c>
      <c r="J9" s="64" t="inlineStr">
        <is>
          <t>CLIENT</t>
        </is>
      </c>
      <c r="K9" s="13" t="n">
        <v>1</v>
      </c>
      <c r="L9" s="64" t="inlineStr">
        <is>
          <t>RAL 6005</t>
        </is>
      </c>
      <c r="M9" s="13" t="inlineStr">
        <is>
          <t>Derval</t>
        </is>
      </c>
      <c r="N9" s="13" t="n"/>
      <c r="O9" s="269" t="n"/>
      <c r="P9" s="260" t="n"/>
      <c r="Q9" s="310" t="inlineStr">
        <is>
          <t>1</t>
        </is>
      </c>
      <c r="R9" s="260" t="n"/>
      <c r="S9" s="13" t="n"/>
      <c r="T9" s="13" t="n"/>
      <c r="U9" s="81" t="n"/>
      <c r="V9" s="16" t="n"/>
      <c r="W9" s="16" t="n"/>
      <c r="X9" s="16" t="b">
        <v>0</v>
      </c>
      <c r="Y9" s="16">
        <f>IF(X9=TRUE,1,0)</f>
        <v/>
      </c>
      <c r="Z9" s="16" t="b">
        <v>0</v>
      </c>
      <c r="AA9" s="16">
        <f>IF(Z9=TRUE,1,0)</f>
        <v/>
      </c>
      <c r="AB9" s="123">
        <f>IF(AA9=1,"OK","")</f>
        <v/>
      </c>
    </row>
    <row r="10" ht="19.9" customHeight="1">
      <c r="B10" s="123">
        <f>C10&amp;" - "&amp;D10&amp;" - "&amp;E10&amp;" - "&amp;F10&amp;" - "&amp;G10</f>
        <v/>
      </c>
      <c r="C10" s="89" t="n">
        <v>3</v>
      </c>
      <c r="D10" s="255" t="inlineStr">
        <is>
          <t>Raccordement bride DN150 PN100 RJ</t>
        </is>
      </c>
      <c r="E10" s="82" t="inlineStr">
        <is>
          <t>BW</t>
        </is>
      </c>
      <c r="F10" s="255" t="n">
        <v>150</v>
      </c>
      <c r="G10" s="255" t="n">
        <v>100</v>
      </c>
      <c r="H10" s="255" t="n"/>
      <c r="I10" s="255" t="inlineStr">
        <is>
          <t>ACIER</t>
        </is>
      </c>
      <c r="J10" s="255" t="inlineStr">
        <is>
          <t>CLIENT</t>
        </is>
      </c>
      <c r="K10" s="131" t="n">
        <v>1</v>
      </c>
      <c r="L10" s="255" t="inlineStr">
        <is>
          <t>RAL 6005</t>
        </is>
      </c>
      <c r="M10" s="131" t="inlineStr">
        <is>
          <t>Derval</t>
        </is>
      </c>
      <c r="N10" s="131" t="n"/>
      <c r="O10" s="269" t="n"/>
      <c r="P10" s="260" t="n"/>
      <c r="Q10" s="309" t="inlineStr">
        <is>
          <t>2</t>
        </is>
      </c>
      <c r="R10" s="260" t="n"/>
      <c r="S10" s="131" t="n"/>
      <c r="T10" s="131" t="n"/>
      <c r="U10" s="133" t="n"/>
      <c r="V10" s="16" t="n"/>
      <c r="W10" s="16" t="n"/>
      <c r="X10" s="16" t="b">
        <v>0</v>
      </c>
      <c r="Y10" s="16">
        <f>IF(X10=TRUE,1,0)</f>
        <v/>
      </c>
      <c r="Z10" s="16" t="b">
        <v>0</v>
      </c>
      <c r="AA10" s="16">
        <f>IF(Z10=TRUE,1,0)</f>
        <v/>
      </c>
      <c r="AB10" s="123">
        <f>IF(AA10=1,"OK","")</f>
        <v/>
      </c>
    </row>
    <row r="11" ht="19.9" customHeight="1">
      <c r="B11" s="123">
        <f>C11&amp;" - "&amp;D11&amp;" - "&amp;E11&amp;" - "&amp;F11&amp;" - "&amp;G11</f>
        <v/>
      </c>
      <c r="C11" s="89" t="n">
        <v>4</v>
      </c>
      <c r="D11" s="64" t="inlineStr">
        <is>
          <t>Raccordement bride DN150 PN68 RJ</t>
        </is>
      </c>
      <c r="E11" s="64" t="inlineStr">
        <is>
          <t>BW</t>
        </is>
      </c>
      <c r="F11" s="64" t="n">
        <v>150</v>
      </c>
      <c r="G11" s="64" t="n">
        <v>68</v>
      </c>
      <c r="H11" s="64" t="n"/>
      <c r="I11" s="64" t="inlineStr">
        <is>
          <t>ACIER</t>
        </is>
      </c>
      <c r="J11" s="64" t="inlineStr">
        <is>
          <t>CLIENT</t>
        </is>
      </c>
      <c r="K11" s="13" t="n">
        <v>1</v>
      </c>
      <c r="L11" s="64" t="inlineStr">
        <is>
          <t>RAL 6005</t>
        </is>
      </c>
      <c r="M11" s="64" t="inlineStr">
        <is>
          <t>Derval</t>
        </is>
      </c>
      <c r="N11" s="13" t="n"/>
      <c r="O11" s="269" t="n"/>
      <c r="P11" s="260" t="n"/>
      <c r="Q11" s="310" t="inlineStr">
        <is>
          <t>2</t>
        </is>
      </c>
      <c r="R11" s="260" t="n"/>
      <c r="S11" s="13" t="n"/>
      <c r="T11" s="13" t="n"/>
      <c r="U11" s="81" t="n"/>
      <c r="V11" s="16" t="n"/>
      <c r="W11" s="16" t="n"/>
      <c r="X11" s="16" t="b">
        <v>0</v>
      </c>
      <c r="Y11" s="16">
        <f>IF(X11=TRUE,1,0)</f>
        <v/>
      </c>
      <c r="Z11" s="16" t="b">
        <v>0</v>
      </c>
      <c r="AA11" s="16">
        <f>IF(Z11=TRUE,1,0)</f>
        <v/>
      </c>
      <c r="AB11" s="123">
        <f>IF(AA11=1,"OK","")</f>
        <v/>
      </c>
      <c r="AC11" s="123" t="inlineStr">
        <is>
          <t>Sur site</t>
        </is>
      </c>
    </row>
    <row r="12" ht="19.9" customHeight="1">
      <c r="B12" s="123">
        <f>C12&amp;" - "&amp;D12&amp;" - "&amp;E12&amp;" - "&amp;F12&amp;" - "&amp;G12</f>
        <v/>
      </c>
      <c r="C12" s="89" t="n">
        <v>5</v>
      </c>
      <c r="D12" s="77" t="inlineStr">
        <is>
          <t>Raccordement bride 10-PL-6</t>
        </is>
      </c>
      <c r="E12" s="77" t="inlineStr">
        <is>
          <t>BW</t>
        </is>
      </c>
      <c r="F12" s="77" t="n">
        <v>50</v>
      </c>
      <c r="G12" s="77" t="n"/>
      <c r="H12" s="77" t="n"/>
      <c r="I12" s="77" t="inlineStr">
        <is>
          <t>ACIER</t>
        </is>
      </c>
      <c r="J12" s="77" t="inlineStr">
        <is>
          <t>CLIENT</t>
        </is>
      </c>
      <c r="K12" s="15" t="n">
        <v>1</v>
      </c>
      <c r="L12" s="77" t="inlineStr">
        <is>
          <t>RAL 6005</t>
        </is>
      </c>
      <c r="M12" s="77" t="inlineStr">
        <is>
          <t>Derval</t>
        </is>
      </c>
      <c r="N12" s="131" t="n"/>
      <c r="O12" s="269" t="n"/>
      <c r="P12" s="260" t="n"/>
      <c r="Q12" s="309" t="inlineStr">
        <is>
          <t>3</t>
        </is>
      </c>
      <c r="R12" s="260" t="n"/>
      <c r="S12" s="131" t="n"/>
      <c r="T12" s="131" t="n"/>
      <c r="U12" s="133" t="n"/>
      <c r="V12" s="16" t="n"/>
      <c r="W12" s="16" t="n"/>
      <c r="X12" s="16" t="b">
        <v>0</v>
      </c>
      <c r="Y12" s="16">
        <f>IF(X12=TRUE,1,0)</f>
        <v/>
      </c>
      <c r="Z12" s="16" t="b">
        <v>0</v>
      </c>
      <c r="AA12" s="16">
        <f>IF(Z12=TRUE,1,0)</f>
        <v/>
      </c>
      <c r="AB12" s="123">
        <f>IF(AA12=1,"OK","")</f>
        <v/>
      </c>
      <c r="AC12" s="123" t="inlineStr">
        <is>
          <t>Derval</t>
        </is>
      </c>
    </row>
    <row r="13" ht="19.9" customHeight="1">
      <c r="B13" s="123">
        <f>C13&amp;" - "&amp;D13&amp;" - "&amp;E13&amp;" - "&amp;F13&amp;" - "&amp;G13</f>
        <v/>
      </c>
      <c r="C13" s="89" t="n">
        <v>6</v>
      </c>
      <c r="D13" s="56" t="inlineStr">
        <is>
          <t>Raccordement bride 10-HV-671
10-HV-673
10-HV-674</t>
        </is>
      </c>
      <c r="E13" s="64" t="inlineStr">
        <is>
          <t>BW</t>
        </is>
      </c>
      <c r="F13" s="64" t="n">
        <v>50</v>
      </c>
      <c r="G13" s="64" t="n"/>
      <c r="H13" s="64" t="n"/>
      <c r="I13" s="64" t="inlineStr">
        <is>
          <t>ACIER</t>
        </is>
      </c>
      <c r="J13" s="64" t="inlineStr">
        <is>
          <t>CLIENT</t>
        </is>
      </c>
      <c r="K13" s="13" t="n">
        <v>1</v>
      </c>
      <c r="L13" s="64" t="inlineStr">
        <is>
          <t>RAL 6005</t>
        </is>
      </c>
      <c r="M13" s="64" t="inlineStr">
        <is>
          <t>Derval</t>
        </is>
      </c>
      <c r="N13" s="13" t="n"/>
      <c r="O13" s="269" t="n"/>
      <c r="P13" s="260" t="n"/>
      <c r="Q13" s="310" t="inlineStr">
        <is>
          <t>3</t>
        </is>
      </c>
      <c r="R13" s="260" t="n"/>
      <c r="S13" s="13" t="n"/>
      <c r="T13" s="13" t="n"/>
      <c r="U13" s="81" t="n"/>
      <c r="V13" s="16" t="n"/>
      <c r="W13" s="16" t="n"/>
      <c r="X13" s="16" t="b">
        <v>0</v>
      </c>
      <c r="Y13" s="16">
        <f>IF(X13=TRUE,1,0)</f>
        <v/>
      </c>
      <c r="Z13" s="16" t="b">
        <v>0</v>
      </c>
      <c r="AA13" s="16">
        <f>IF(Z13=TRUE,1,0)</f>
        <v/>
      </c>
      <c r="AB13" s="123">
        <f>IF(AA13=1,"OK","")</f>
        <v/>
      </c>
    </row>
    <row r="14" ht="19.9" customHeight="1">
      <c r="B14" s="123">
        <f>C14&amp;" - "&amp;D14&amp;" - "&amp;E14&amp;" - "&amp;F14&amp;" - "&amp;G14</f>
        <v/>
      </c>
      <c r="C14" s="89" t="n">
        <v>7</v>
      </c>
      <c r="D14" s="77" t="n"/>
      <c r="E14" s="255" t="n"/>
      <c r="F14" s="131" t="n"/>
      <c r="G14" s="255" t="n"/>
      <c r="H14" s="83" t="n"/>
      <c r="I14" s="255" t="n"/>
      <c r="J14" s="255" t="n"/>
      <c r="K14" s="131" t="n"/>
      <c r="L14" s="77" t="n"/>
      <c r="M14" s="255" t="n"/>
      <c r="N14" s="131" t="n"/>
      <c r="O14" s="269" t="n"/>
      <c r="P14" s="260" t="n"/>
      <c r="Q14" s="311" t="n"/>
      <c r="R14" s="260" t="n"/>
      <c r="S14" s="131" t="n"/>
      <c r="T14" s="131" t="n"/>
      <c r="U14" s="133" t="n"/>
      <c r="V14" s="16" t="n"/>
      <c r="W14" s="16" t="n"/>
      <c r="X14" s="16" t="b">
        <v>0</v>
      </c>
      <c r="Y14" s="16">
        <f>IF(X14=TRUE,1,0)</f>
        <v/>
      </c>
      <c r="Z14" s="16" t="b">
        <v>0</v>
      </c>
      <c r="AA14" s="16">
        <f>IF(Z14=TRUE,1,0)</f>
        <v/>
      </c>
      <c r="AB14" s="123">
        <f>IF(AA14=1,"OK","")</f>
        <v/>
      </c>
    </row>
    <row r="15" ht="19.9" customHeight="1">
      <c r="B15" s="123">
        <f>C15&amp;" - "&amp;D15&amp;" - "&amp;E15&amp;" - "&amp;F15&amp;" - "&amp;G15</f>
        <v/>
      </c>
      <c r="C15" s="89" t="n">
        <v>8</v>
      </c>
      <c r="D15" s="64" t="n"/>
      <c r="E15" s="64" t="n"/>
      <c r="F15" s="13" t="n"/>
      <c r="G15" s="13" t="n"/>
      <c r="H15" s="64" t="n"/>
      <c r="I15" s="64" t="n"/>
      <c r="J15" s="64" t="n"/>
      <c r="K15" s="13" t="n"/>
      <c r="L15" s="64" t="n"/>
      <c r="M15" s="64" t="n"/>
      <c r="N15" s="13" t="n"/>
      <c r="O15" s="269" t="n"/>
      <c r="P15" s="260" t="n"/>
      <c r="Q15" s="312" t="n"/>
      <c r="R15" s="260" t="n"/>
      <c r="S15" s="13" t="n"/>
      <c r="T15" s="13" t="n"/>
      <c r="U15" s="81" t="n"/>
      <c r="V15" s="16" t="n"/>
      <c r="W15" s="16" t="n"/>
      <c r="X15" s="16" t="b">
        <v>0</v>
      </c>
      <c r="Y15" s="16">
        <f>IF(X15=TRUE,1,0)</f>
        <v/>
      </c>
      <c r="Z15" s="16" t="b">
        <v>0</v>
      </c>
      <c r="AA15" s="16">
        <f>IF(Z15=TRUE,1,0)</f>
        <v/>
      </c>
      <c r="AB15" s="123">
        <f>IF(AA15=1,"OK","")</f>
        <v/>
      </c>
      <c r="AC15" s="123" t="inlineStr">
        <is>
          <t>OUI</t>
        </is>
      </c>
    </row>
    <row r="16" ht="19.9" customHeight="1">
      <c r="B16" s="123">
        <f>C16&amp;" - "&amp;D16&amp;" - "&amp;E16&amp;" - "&amp;F16&amp;" - "&amp;G16</f>
        <v/>
      </c>
      <c r="C16" s="90" t="n">
        <v>9</v>
      </c>
      <c r="D16" s="255" t="n"/>
      <c r="E16" s="255" t="n"/>
      <c r="F16" s="131" t="n"/>
      <c r="G16" s="131" t="n"/>
      <c r="H16" s="77" t="n"/>
      <c r="I16" s="255" t="n"/>
      <c r="J16" s="255" t="n"/>
      <c r="K16" s="15" t="n"/>
      <c r="L16" s="77" t="n"/>
      <c r="M16" s="77" t="n"/>
      <c r="N16" s="131" t="n"/>
      <c r="O16" s="269" t="n"/>
      <c r="P16" s="260" t="n"/>
      <c r="Q16" s="311" t="n"/>
      <c r="R16" s="260" t="n"/>
      <c r="S16" s="131" t="n"/>
      <c r="T16" s="131" t="n"/>
      <c r="U16" s="133" t="n"/>
      <c r="V16" s="16" t="n"/>
      <c r="W16" s="16" t="n"/>
      <c r="X16" s="16" t="b">
        <v>0</v>
      </c>
      <c r="Y16" s="16">
        <f>IF(X16=TRUE,1,0)</f>
        <v/>
      </c>
      <c r="Z16" s="16" t="b">
        <v>0</v>
      </c>
      <c r="AA16" s="16">
        <f>IF(Z16=TRUE,1,0)</f>
        <v/>
      </c>
      <c r="AB16" s="123">
        <f>IF(AA16=1,"OK","")</f>
        <v/>
      </c>
      <c r="AC16" s="123" t="inlineStr">
        <is>
          <t>NON</t>
        </is>
      </c>
    </row>
    <row r="17" ht="19.9" customHeight="1">
      <c r="B17" s="123">
        <f>C17&amp;" - "&amp;D17&amp;" - "&amp;E17&amp;" - "&amp;F17&amp;" - "&amp;G17</f>
        <v/>
      </c>
      <c r="C17" s="12" t="n">
        <v>10</v>
      </c>
      <c r="D17" s="64" t="n"/>
      <c r="E17" s="64" t="n"/>
      <c r="F17" s="13" t="n"/>
      <c r="G17" s="64" t="n"/>
      <c r="H17" s="84" t="n"/>
      <c r="I17" s="64" t="n"/>
      <c r="J17" s="64" t="n"/>
      <c r="K17" s="13" t="n"/>
      <c r="L17" s="64" t="n"/>
      <c r="M17" s="64" t="n"/>
      <c r="N17" s="13" t="n"/>
      <c r="O17" s="269" t="n"/>
      <c r="P17" s="260" t="n"/>
      <c r="Q17" s="312" t="n"/>
      <c r="R17" s="260" t="n"/>
      <c r="S17" s="13" t="n"/>
      <c r="T17" s="13" t="n"/>
      <c r="U17" s="81" t="n"/>
      <c r="V17" s="16" t="n"/>
      <c r="W17" s="16" t="n"/>
      <c r="X17" s="16" t="b">
        <v>0</v>
      </c>
      <c r="Y17" s="16">
        <f>IF(X17=TRUE,1,0)</f>
        <v/>
      </c>
      <c r="Z17" s="16" t="b">
        <v>0</v>
      </c>
      <c r="AA17" s="16">
        <f>IF(Z17=TRUE,1,0)</f>
        <v/>
      </c>
      <c r="AB17" s="123">
        <f>IF(AA17=1,"OK","")</f>
        <v/>
      </c>
    </row>
    <row r="18" ht="19.9" customHeight="1">
      <c r="B18" s="123">
        <f>C18&amp;" - "&amp;D18&amp;" - "&amp;E18&amp;" - "&amp;F18&amp;" - "&amp;G18</f>
        <v/>
      </c>
      <c r="C18" s="90" t="n">
        <v>11</v>
      </c>
      <c r="D18" s="255" t="n"/>
      <c r="E18" s="255" t="n"/>
      <c r="F18" s="131" t="n"/>
      <c r="G18" s="255" t="n"/>
      <c r="H18" s="77" t="n"/>
      <c r="I18" s="255" t="n"/>
      <c r="J18" s="255" t="n"/>
      <c r="K18" s="131" t="n"/>
      <c r="L18" s="77" t="n"/>
      <c r="M18" s="255" t="n"/>
      <c r="N18" s="131" t="n"/>
      <c r="O18" s="269" t="n"/>
      <c r="P18" s="260" t="n"/>
      <c r="Q18" s="311" t="n"/>
      <c r="R18" s="260" t="n"/>
      <c r="S18" s="131" t="n"/>
      <c r="T18" s="131" t="n"/>
      <c r="U18" s="133" t="n"/>
      <c r="V18" s="16" t="n"/>
      <c r="W18" s="16" t="n"/>
      <c r="X18" s="16" t="b">
        <v>0</v>
      </c>
      <c r="Y18" s="16">
        <f>IF(X18=TRUE,1,0)</f>
        <v/>
      </c>
      <c r="Z18" s="16" t="b">
        <v>0</v>
      </c>
      <c r="AA18" s="16">
        <f>IF(Z18=TRUE,1,0)</f>
        <v/>
      </c>
      <c r="AB18" s="123">
        <f>IF(AA18=1,"OK","")</f>
        <v/>
      </c>
      <c r="AC18" s="123" t="inlineStr">
        <is>
          <t>BW</t>
        </is>
      </c>
    </row>
    <row r="19" ht="19.9" customHeight="1">
      <c r="B19" s="123">
        <f>C19&amp;" - "&amp;D19&amp;" - "&amp;E19&amp;" - "&amp;F19&amp;" - "&amp;G19</f>
        <v/>
      </c>
      <c r="C19" s="12" t="n">
        <v>12</v>
      </c>
      <c r="D19" s="64" t="n"/>
      <c r="E19" s="64" t="n"/>
      <c r="F19" s="64" t="n"/>
      <c r="G19" s="64" t="n"/>
      <c r="H19" s="84" t="n"/>
      <c r="I19" s="64" t="n"/>
      <c r="J19" s="64" t="n"/>
      <c r="K19" s="64" t="n"/>
      <c r="L19" s="64" t="n"/>
      <c r="M19" s="64" t="n"/>
      <c r="N19" s="13" t="n"/>
      <c r="O19" s="269" t="n"/>
      <c r="P19" s="260" t="n"/>
      <c r="Q19" s="312" t="n"/>
      <c r="R19" s="260" t="n"/>
      <c r="S19" s="13" t="n"/>
      <c r="T19" s="85" t="n"/>
      <c r="U19" s="81" t="n"/>
      <c r="V19" s="16" t="n"/>
      <c r="W19" s="16" t="n"/>
      <c r="X19" s="16" t="b">
        <v>0</v>
      </c>
      <c r="Y19" s="16">
        <f>IF(X19=TRUE,1,0)</f>
        <v/>
      </c>
      <c r="Z19" s="16" t="b">
        <v>0</v>
      </c>
      <c r="AA19" s="16">
        <f>IF(Z19=TRUE,1,0)</f>
        <v/>
      </c>
      <c r="AB19" s="123">
        <f>IF(AA19=1,"OK","")</f>
        <v/>
      </c>
      <c r="AC19" s="123" t="inlineStr">
        <is>
          <t>SW</t>
        </is>
      </c>
    </row>
    <row r="20" ht="19.9" customHeight="1">
      <c r="B20" s="123">
        <f>C20&amp;" - "&amp;D20&amp;" - "&amp;E20&amp;" - "&amp;F20&amp;" - "&amp;G20</f>
        <v/>
      </c>
      <c r="C20" s="90" t="n">
        <v>13</v>
      </c>
      <c r="D20" s="77" t="n"/>
      <c r="E20" s="77" t="n"/>
      <c r="F20" s="77" t="n"/>
      <c r="G20" s="77" t="n"/>
      <c r="H20" s="77" t="n"/>
      <c r="I20" s="77" t="n"/>
      <c r="J20" s="77" t="n"/>
      <c r="K20" s="255" t="n"/>
      <c r="L20" s="77" t="n"/>
      <c r="M20" s="255" t="n"/>
      <c r="N20" s="131" t="n"/>
      <c r="O20" s="269" t="n"/>
      <c r="P20" s="260" t="n"/>
      <c r="Q20" s="311" t="n"/>
      <c r="R20" s="260" t="n"/>
      <c r="S20" s="131" t="n"/>
      <c r="T20" s="131" t="n"/>
      <c r="U20" s="133" t="n"/>
      <c r="V20" s="16" t="n"/>
      <c r="W20" s="16" t="n"/>
      <c r="X20" s="16" t="b">
        <v>0</v>
      </c>
      <c r="Y20" s="16">
        <f>IF(X20=TRUE,1,0)</f>
        <v/>
      </c>
      <c r="Z20" s="16" t="b">
        <v>0</v>
      </c>
      <c r="AA20" s="16">
        <f>IF(Z20=TRUE,1,0)</f>
        <v/>
      </c>
      <c r="AB20" s="123">
        <f>IF(AA20=1,"OK","")</f>
        <v/>
      </c>
      <c r="AC20" s="123" t="inlineStr">
        <is>
          <t>RJ</t>
        </is>
      </c>
    </row>
    <row r="21" ht="19.9" customHeight="1">
      <c r="B21" s="123">
        <f>C21&amp;" - "&amp;D21&amp;" - "&amp;E21&amp;" - "&amp;F21&amp;" - "&amp;G21</f>
        <v/>
      </c>
      <c r="C21" s="12" t="n">
        <v>14</v>
      </c>
      <c r="D21" s="64" t="n"/>
      <c r="E21" s="64" t="n"/>
      <c r="F21" s="13" t="n"/>
      <c r="G21" s="64" t="n"/>
      <c r="H21" s="84" t="n"/>
      <c r="I21" s="64" t="n"/>
      <c r="J21" s="64" t="n"/>
      <c r="K21" s="13" t="n"/>
      <c r="L21" s="64" t="n"/>
      <c r="M21" s="64" t="n"/>
      <c r="N21" s="13" t="n"/>
      <c r="O21" s="269" t="n"/>
      <c r="P21" s="260" t="n"/>
      <c r="Q21" s="312" t="n"/>
      <c r="R21" s="260" t="n"/>
      <c r="S21" s="13" t="n"/>
      <c r="T21" s="13" t="n"/>
      <c r="U21" s="81" t="n"/>
      <c r="V21" s="16" t="n"/>
      <c r="W21" s="16" t="n"/>
      <c r="X21" s="16" t="b">
        <v>0</v>
      </c>
      <c r="Y21" s="16">
        <f>IF(X21=TRUE,1,0)</f>
        <v/>
      </c>
      <c r="Z21" s="16" t="b">
        <v>0</v>
      </c>
      <c r="AA21" s="16">
        <f>IF(Z21=TRUE,1,0)</f>
        <v/>
      </c>
      <c r="AB21" s="123">
        <f>IF(AA21=1,"OK","")</f>
        <v/>
      </c>
      <c r="AC21" s="123" t="inlineStr">
        <is>
          <t>RF</t>
        </is>
      </c>
    </row>
    <row r="22" ht="19.9" customHeight="1">
      <c r="B22" s="123">
        <f>C22&amp;" - "&amp;D22&amp;" - "&amp;E22&amp;" - "&amp;F22&amp;" - "&amp;G22</f>
        <v/>
      </c>
      <c r="C22" s="90" t="n">
        <v>15</v>
      </c>
      <c r="D22" s="77" t="n"/>
      <c r="E22" s="255" t="n"/>
      <c r="F22" s="131" t="n"/>
      <c r="G22" s="255" t="n"/>
      <c r="H22" s="77" t="n"/>
      <c r="I22" s="255" t="n"/>
      <c r="J22" s="255" t="n"/>
      <c r="K22" s="131" t="n"/>
      <c r="L22" s="77" t="n"/>
      <c r="M22" s="255" t="n"/>
      <c r="N22" s="131" t="n"/>
      <c r="O22" s="269" t="n"/>
      <c r="P22" s="260" t="n"/>
      <c r="Q22" s="311" t="n"/>
      <c r="R22" s="260" t="n"/>
      <c r="S22" s="131" t="n"/>
      <c r="T22" s="131" t="n"/>
      <c r="U22" s="133" t="n"/>
      <c r="V22" s="16" t="n"/>
      <c r="W22" s="16" t="n"/>
      <c r="X22" s="16" t="b">
        <v>0</v>
      </c>
      <c r="Y22" s="16">
        <f>IF(X22=TRUE,1,0)</f>
        <v/>
      </c>
      <c r="Z22" s="16" t="b">
        <v>0</v>
      </c>
      <c r="AA22" s="16">
        <f>IF(Z22=TRUE,1,0)</f>
        <v/>
      </c>
      <c r="AB22" s="123">
        <f>IF(AA22=1,"OK","")</f>
        <v/>
      </c>
      <c r="AC22" s="123" t="inlineStr">
        <is>
          <t>RJ/BW</t>
        </is>
      </c>
    </row>
    <row r="23" ht="19.9" customHeight="1">
      <c r="B23" s="123">
        <f>C23&amp;" - "&amp;D23&amp;" - "&amp;E23&amp;" - "&amp;F23&amp;" - "&amp;G23</f>
        <v/>
      </c>
      <c r="C23" s="12" t="n">
        <v>16</v>
      </c>
      <c r="D23" s="64" t="n"/>
      <c r="E23" s="64" t="n"/>
      <c r="F23" s="64" t="n"/>
      <c r="G23" s="64" t="n"/>
      <c r="H23" s="84" t="n"/>
      <c r="I23" s="64" t="n"/>
      <c r="J23" s="64" t="n"/>
      <c r="K23" s="64" t="n"/>
      <c r="L23" s="64" t="n"/>
      <c r="M23" s="64" t="n"/>
      <c r="N23" s="13" t="n"/>
      <c r="O23" s="269" t="n"/>
      <c r="P23" s="260" t="n"/>
      <c r="Q23" s="312" t="n"/>
      <c r="R23" s="260" t="n"/>
      <c r="S23" s="13" t="n"/>
      <c r="T23" s="13" t="n"/>
      <c r="U23" s="81" t="n"/>
      <c r="V23" s="16" t="n"/>
      <c r="W23" s="16" t="n"/>
      <c r="X23" s="16" t="b">
        <v>0</v>
      </c>
      <c r="Y23" s="16">
        <f>IF(X23=TRUE,1,0)</f>
        <v/>
      </c>
      <c r="Z23" s="16" t="b">
        <v>0</v>
      </c>
      <c r="AA23" s="16">
        <f>IF(Z23=TRUE,1,0)</f>
        <v/>
      </c>
      <c r="AB23" s="123">
        <f>IF(AA23=1,"OK","")</f>
        <v/>
      </c>
    </row>
    <row r="24" ht="19.9" customHeight="1">
      <c r="B24" s="123">
        <f>C24&amp;" - "&amp;D24&amp;" - "&amp;E24&amp;" - "&amp;F24&amp;" - "&amp;G24</f>
        <v/>
      </c>
      <c r="C24" s="90" t="n">
        <v>17</v>
      </c>
      <c r="D24" s="77" t="n"/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131" t="n"/>
      <c r="O24" s="269" t="n"/>
      <c r="P24" s="260" t="n"/>
      <c r="Q24" s="311" t="n"/>
      <c r="R24" s="260" t="n"/>
      <c r="S24" s="131" t="n"/>
      <c r="T24" s="131" t="n"/>
      <c r="U24" s="133" t="n"/>
      <c r="V24" s="16" t="n"/>
      <c r="W24" s="16" t="n"/>
      <c r="X24" s="16" t="b">
        <v>0</v>
      </c>
      <c r="Y24" s="16">
        <f>IF(X24=TRUE,1,0)</f>
        <v/>
      </c>
      <c r="Z24" s="16" t="b">
        <v>0</v>
      </c>
      <c r="AA24" s="16">
        <f>IF(Z24=TRUE,1,0)</f>
        <v/>
      </c>
      <c r="AB24" s="123">
        <f>IF(AA24=1,"OK","")</f>
        <v/>
      </c>
      <c r="AC24" s="123" t="inlineStr">
        <is>
          <t>FAITE</t>
        </is>
      </c>
    </row>
    <row r="25" ht="19.9" customHeight="1">
      <c r="B25" s="123">
        <f>C25&amp;" - "&amp;D25&amp;" - "&amp;E25&amp;" - "&amp;F25&amp;" - "&amp;G25</f>
        <v/>
      </c>
      <c r="C25" s="12" t="n">
        <v>18</v>
      </c>
      <c r="D25" s="64" t="n"/>
      <c r="E25" s="64" t="n"/>
      <c r="F25" s="13" t="n"/>
      <c r="G25" s="64" t="n"/>
      <c r="H25" s="13" t="n"/>
      <c r="I25" s="64" t="n"/>
      <c r="J25" s="64" t="n"/>
      <c r="K25" s="64" t="n"/>
      <c r="L25" s="64" t="n"/>
      <c r="M25" s="64" t="n"/>
      <c r="N25" s="13" t="n"/>
      <c r="O25" s="269" t="n"/>
      <c r="P25" s="260" t="n"/>
      <c r="Q25" s="312" t="n"/>
      <c r="R25" s="260" t="n"/>
      <c r="S25" s="13" t="n"/>
      <c r="T25" s="13" t="n"/>
      <c r="U25" s="81" t="n"/>
      <c r="V25" s="16" t="n"/>
      <c r="W25" s="16" t="n"/>
      <c r="X25" s="16" t="b">
        <v>0</v>
      </c>
      <c r="Y25" s="16">
        <f>IF(X25=TRUE,1,0)</f>
        <v/>
      </c>
      <c r="Z25" s="16" t="b">
        <v>0</v>
      </c>
      <c r="AA25" s="16">
        <f>IF(Z25=TRUE,1,0)</f>
        <v/>
      </c>
      <c r="AB25" s="123">
        <f>IF(AA25=1,"OK","")</f>
        <v/>
      </c>
      <c r="AC25" s="123" t="inlineStr">
        <is>
          <t>A FAIRE</t>
        </is>
      </c>
    </row>
    <row r="26" ht="19.9" customHeight="1">
      <c r="B26" s="123">
        <f>C26&amp;" - "&amp;D26&amp;" - "&amp;E26&amp;" - "&amp;F26&amp;" - "&amp;G26</f>
        <v/>
      </c>
      <c r="C26" s="90" t="n">
        <v>19</v>
      </c>
      <c r="D26" s="255" t="n"/>
      <c r="E26" s="255" t="n"/>
      <c r="F26" s="255" t="n"/>
      <c r="G26" s="255" t="n"/>
      <c r="H26" s="255" t="n"/>
      <c r="I26" s="255" t="n"/>
      <c r="J26" s="255" t="n"/>
      <c r="K26" s="131" t="n"/>
      <c r="L26" s="255" t="n"/>
      <c r="M26" s="255" t="n"/>
      <c r="N26" s="131" t="n"/>
      <c r="O26" s="269" t="n"/>
      <c r="P26" s="260" t="n"/>
      <c r="Q26" s="311" t="n"/>
      <c r="R26" s="260" t="n"/>
      <c r="S26" s="131" t="n"/>
      <c r="T26" s="131" t="n"/>
      <c r="U26" s="133" t="n"/>
      <c r="V26" s="16" t="n"/>
      <c r="W26" s="16" t="n"/>
      <c r="X26" s="16" t="b">
        <v>0</v>
      </c>
      <c r="Y26" s="16">
        <f>IF(X26=TRUE,1,0)</f>
        <v/>
      </c>
      <c r="Z26" s="16" t="b">
        <v>0</v>
      </c>
      <c r="AA26" s="16">
        <f>IF(Z26=TRUE,1,0)</f>
        <v/>
      </c>
      <c r="AB26" s="123">
        <f>IF(AA26=1,"OK","")</f>
        <v/>
      </c>
    </row>
    <row r="27" ht="19.9" customHeight="1">
      <c r="B27" s="123">
        <f>C27&amp;" - "&amp;D27&amp;" - "&amp;E27&amp;" - "&amp;F27&amp;" - "&amp;G27</f>
        <v/>
      </c>
      <c r="C27" s="12" t="n">
        <v>20</v>
      </c>
      <c r="D27" s="64" t="n"/>
      <c r="E27" s="64" t="n"/>
      <c r="F27" s="64" t="n"/>
      <c r="G27" s="64" t="n"/>
      <c r="H27" s="64" t="n"/>
      <c r="I27" s="64" t="n"/>
      <c r="J27" s="64" t="n"/>
      <c r="K27" s="13" t="n"/>
      <c r="L27" s="64" t="n"/>
      <c r="M27" s="64" t="n"/>
      <c r="N27" s="13" t="n"/>
      <c r="O27" s="269" t="n"/>
      <c r="P27" s="260" t="n"/>
      <c r="Q27" s="312" t="n"/>
      <c r="R27" s="260" t="n"/>
      <c r="S27" s="13" t="n"/>
      <c r="T27" s="13" t="n"/>
      <c r="U27" s="81" t="n"/>
      <c r="V27" s="16" t="n"/>
      <c r="W27" s="16" t="n"/>
      <c r="X27" s="16" t="b">
        <v>0</v>
      </c>
      <c r="Y27" s="16">
        <f>IF(X27=TRUE,1,0)</f>
        <v/>
      </c>
      <c r="Z27" s="16" t="b">
        <v>0</v>
      </c>
      <c r="AA27" s="16">
        <f>IF(Z27=TRUE,1,0)</f>
        <v/>
      </c>
      <c r="AB27" s="123">
        <f>IF(AA27=1,"OK","")</f>
        <v/>
      </c>
      <c r="AC27" s="123" t="inlineStr">
        <is>
          <t>ACIER</t>
        </is>
      </c>
    </row>
    <row r="30" ht="15.6" customHeight="1"/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Q16:R16"/>
    <mergeCell ref="Q13:R13"/>
    <mergeCell ref="Q7:R7"/>
    <mergeCell ref="Q25:R25"/>
    <mergeCell ref="P2:U2"/>
    <mergeCell ref="Q21:R21"/>
    <mergeCell ref="Q12:R12"/>
    <mergeCell ref="N18:P18"/>
    <mergeCell ref="N14:P14"/>
    <mergeCell ref="N23:P23"/>
    <mergeCell ref="Q24:R24"/>
    <mergeCell ref="N17:P17"/>
    <mergeCell ref="Q18:R18"/>
    <mergeCell ref="N8:P8"/>
    <mergeCell ref="R4:S4"/>
    <mergeCell ref="Q8:R8"/>
    <mergeCell ref="T4:U4"/>
    <mergeCell ref="N19:P19"/>
    <mergeCell ref="N10:P10"/>
    <mergeCell ref="N13:P13"/>
    <mergeCell ref="Q23:R23"/>
    <mergeCell ref="Q20:R20"/>
    <mergeCell ref="Q14:R14"/>
    <mergeCell ref="Q10:R10"/>
    <mergeCell ref="N9:P9"/>
    <mergeCell ref="Q19:R19"/>
    <mergeCell ref="Q26:R26"/>
    <mergeCell ref="C6:U6"/>
    <mergeCell ref="N15:P15"/>
    <mergeCell ref="N24:P24"/>
    <mergeCell ref="Q15:R15"/>
    <mergeCell ref="N27:P27"/>
    <mergeCell ref="Q22:R22"/>
    <mergeCell ref="R3:S3"/>
    <mergeCell ref="Q9:R9"/>
    <mergeCell ref="N20:P20"/>
    <mergeCell ref="Q27:R27"/>
    <mergeCell ref="N26:P26"/>
    <mergeCell ref="N11:P11"/>
    <mergeCell ref="N7:P7"/>
    <mergeCell ref="N25:P25"/>
    <mergeCell ref="Q17:R17"/>
    <mergeCell ref="N16:P16"/>
    <mergeCell ref="Q11:R11"/>
    <mergeCell ref="N12:P12"/>
    <mergeCell ref="N22:P22"/>
    <mergeCell ref="T3:U3"/>
    <mergeCell ref="N21:P21"/>
  </mergeCells>
  <conditionalFormatting sqref="C8 C10:C27">
    <cfRule type="expression" priority="1" dxfId="0">
      <formula>($AA8&gt;0)</formula>
    </cfRule>
    <cfRule type="expression" priority="4" dxfId="1">
      <formula>($Y8&gt;0)</formula>
    </cfRule>
    <cfRule type="expression" priority="5" dxfId="2">
      <formula>($D8&lt;&gt;"")</formula>
    </cfRule>
  </conditionalFormatting>
  <conditionalFormatting sqref="C9">
    <cfRule type="expression" priority="15" dxfId="0">
      <formula>($AA9&gt;0)</formula>
    </cfRule>
    <cfRule type="expression" priority="16" dxfId="1">
      <formula>($Y9&gt;0)</formula>
    </cfRule>
    <cfRule type="expression" priority="17" dxfId="2">
      <formula>(#REF!&lt;&gt;"")</formula>
    </cfRule>
  </conditionalFormatting>
  <dataValidations count="5">
    <dataValidation sqref="E8:E27 F19:G20 F23:G24 G21 H24:I24 K19:K20 K23:K24 M24" showDropDown="0" showInputMessage="1" showErrorMessage="0" allowBlank="1" type="list">
      <formula1>$AC$18:$AC$22</formula1>
    </dataValidation>
    <dataValidation sqref="L8:L27" showDropDown="0" showInputMessage="1" showErrorMessage="0" allowBlank="1" type="list">
      <formula1>$AC$24:$AC$25</formula1>
    </dataValidation>
    <dataValidation sqref="M8:M23 M25:M27" showDropDown="0" showInputMessage="1" showErrorMessage="0" allowBlank="1" type="list">
      <formula1>$AC$11:$AC$12</formula1>
    </dataValidation>
    <dataValidation sqref="J8:J27" showDropDown="0" showInputMessage="1" showErrorMessage="0" allowBlank="1" type="list">
      <formula1>$AC$7:$AC$8</formula1>
    </dataValidation>
    <dataValidation sqref="I8:I23 I25:I27" showDropDown="0" showInputMessage="1" showErrorMessage="0" allowBlank="1" type="list">
      <formula1>$AC$27:$AC$27</formula1>
    </dataValidation>
  </dataValidations>
  <pageMargins left="0.2362204724409449" right="0" top="0.5118110236220472" bottom="0" header="0.2362204724409449" footer="0"/>
  <pageSetup orientation="landscape" paperSize="9" scale="63"/>
  <headerFooter>
    <oddHeader>&amp;L&amp;G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X21"/>
  <sheetViews>
    <sheetView showGridLines="0" topLeftCell="A3" zoomScale="85" zoomScaleNormal="85" workbookViewId="0">
      <selection activeCell="T9" sqref="T9"/>
    </sheetView>
  </sheetViews>
  <sheetFormatPr baseColWidth="10" defaultColWidth="10.7109375" defaultRowHeight="14.25"/>
  <cols>
    <col width="3.5703125" customWidth="1" style="123" min="1" max="1"/>
    <col hidden="1" width="3.5703125" customWidth="1" style="123" min="2" max="2"/>
    <col width="20.7109375" customWidth="1" style="123" min="3" max="3"/>
    <col width="39.5703125" customWidth="1" style="123" min="4" max="4"/>
    <col width="9.28515625" bestFit="1" customWidth="1" style="123" min="5" max="5"/>
    <col width="6.5703125" customWidth="1" style="123" min="6" max="7"/>
    <col width="20.7109375" customWidth="1" style="123" min="8" max="11"/>
    <col width="3.5703125" customWidth="1" style="123" min="12" max="12"/>
    <col hidden="1" width="5.28515625" customWidth="1" style="123" min="13" max="13"/>
    <col hidden="1" width="4.28515625" customWidth="1" style="123" min="14" max="14"/>
    <col hidden="1" width="6.42578125" customWidth="1" style="123" min="15" max="15"/>
    <col hidden="1" width="2.28515625" customWidth="1" style="123" min="16" max="16"/>
    <col hidden="1" width="5.7109375" customWidth="1" style="123" min="17" max="17"/>
    <col hidden="1" width="2.28515625" customWidth="1" style="123" min="18" max="18"/>
    <col hidden="1" width="10.7109375" customWidth="1" style="123" min="19" max="19"/>
    <col width="14.7109375" bestFit="1" customWidth="1" style="123" min="20" max="20"/>
    <col hidden="1" width="4.5703125" customWidth="1" style="123" min="21" max="22"/>
    <col hidden="1" width="10.7109375" customWidth="1" style="123" min="23" max="23"/>
    <col width="43.42578125" bestFit="1" customWidth="1" style="123" min="24" max="24"/>
    <col width="10.7109375" customWidth="1" style="123" min="25" max="16384"/>
  </cols>
  <sheetData>
    <row r="2" ht="15" customHeight="1">
      <c r="H2" s="136" t="inlineStr">
        <is>
          <t>Lancement Affaire - Bureau d'Etudes</t>
        </is>
      </c>
      <c r="I2" s="258" t="n"/>
      <c r="J2" s="258" t="n"/>
      <c r="K2" s="259" t="n"/>
    </row>
    <row r="3">
      <c r="H3" s="116" t="inlineStr">
        <is>
          <t>DOMAINE D'APPLICATION</t>
        </is>
      </c>
      <c r="I3" s="116" t="inlineStr">
        <is>
          <t>NATURE</t>
        </is>
      </c>
      <c r="J3" s="116" t="inlineStr">
        <is>
          <t>N° D'ORDRE</t>
        </is>
      </c>
      <c r="K3" s="116" t="inlineStr">
        <is>
          <t>VERSION</t>
        </is>
      </c>
    </row>
    <row r="4">
      <c r="H4" s="218">
        <f>'Page de Garde'!$D$4</f>
        <v/>
      </c>
      <c r="I4" s="218" t="inlineStr">
        <is>
          <t>LBE</t>
        </is>
      </c>
      <c r="J4" s="219">
        <f>'Page de Garde'!$G$4</f>
        <v/>
      </c>
      <c r="K4" s="218">
        <f>'Page de Garde'!$H$4</f>
        <v/>
      </c>
    </row>
    <row r="5" ht="44.65" customHeight="1">
      <c r="X5" s="19" t="inlineStr">
        <is>
          <t>LISTE A COPIER SI NECESSAIRE</t>
        </is>
      </c>
    </row>
    <row r="6">
      <c r="C6" s="233" t="inlineStr">
        <is>
          <t>RECEPTION DES PLANS CLIENT</t>
        </is>
      </c>
      <c r="D6" s="300" t="n"/>
      <c r="E6" s="300" t="n"/>
      <c r="F6" s="300" t="n"/>
      <c r="G6" s="300" t="n"/>
      <c r="H6" s="300" t="n"/>
      <c r="I6" s="300" t="n"/>
      <c r="J6" s="300" t="n"/>
      <c r="K6" s="300" t="n"/>
    </row>
    <row r="7" ht="15" customHeight="1" thickBot="1">
      <c r="C7" s="86" t="n"/>
      <c r="D7" s="86" t="n"/>
      <c r="E7" s="86" t="n"/>
      <c r="F7" s="86" t="n"/>
      <c r="G7" s="86" t="n"/>
      <c r="H7" s="86" t="n"/>
      <c r="I7" s="86" t="n"/>
      <c r="J7" s="86" t="n"/>
      <c r="K7" s="86" t="n"/>
    </row>
    <row r="8" ht="14.65" customHeight="1">
      <c r="C8" s="87" t="inlineStr">
        <is>
          <t xml:space="preserve">Type de plans </t>
        </is>
      </c>
      <c r="D8" s="88" t="inlineStr">
        <is>
          <t>Références du plan</t>
        </is>
      </c>
      <c r="E8" s="88" t="inlineStr">
        <is>
          <t>Révisions</t>
        </is>
      </c>
      <c r="F8" s="88" t="inlineStr">
        <is>
          <t>Reçu</t>
        </is>
      </c>
      <c r="G8" s="88" t="inlineStr">
        <is>
          <t>Traité</t>
        </is>
      </c>
      <c r="H8" s="313" t="inlineStr">
        <is>
          <t>Observations</t>
        </is>
      </c>
      <c r="I8" s="267" t="n"/>
      <c r="J8" s="267" t="n"/>
      <c r="K8" s="279" t="n"/>
      <c r="T8" s="119" t="inlineStr">
        <is>
          <t>SELECTIONNER</t>
        </is>
      </c>
      <c r="X8" s="119" t="inlineStr">
        <is>
          <t>SOUDAGE</t>
        </is>
      </c>
    </row>
    <row r="9" ht="35.1" customHeight="1">
      <c r="B9" s="123">
        <f>VLOOKUP(1,$W$9:$W$20,1,FALSE)</f>
        <v/>
      </c>
      <c r="C9" s="129">
        <f>VLOOKUP(1,W9:X20,2,FALSE)</f>
        <v/>
      </c>
      <c r="D9" s="255" t="n"/>
      <c r="E9" s="131" t="n"/>
      <c r="F9" s="131" t="n"/>
      <c r="G9" s="131" t="n"/>
      <c r="H9" s="133" t="n"/>
      <c r="I9" s="269" t="n"/>
      <c r="J9" s="269" t="n"/>
      <c r="K9" s="288" t="n"/>
      <c r="O9" s="16" t="b">
        <v>0</v>
      </c>
      <c r="P9" s="16">
        <f>IF(O9=TRUE,1,0)</f>
        <v/>
      </c>
      <c r="Q9" s="16" t="b">
        <v>0</v>
      </c>
      <c r="R9" s="16">
        <f>IF(Q9=TRUE,1,0)</f>
        <v/>
      </c>
      <c r="T9" s="255" t="inlineStr">
        <is>
          <t>x</t>
        </is>
      </c>
      <c r="U9" s="21" t="n">
        <v>1</v>
      </c>
      <c r="V9" s="21">
        <f>+IF(T9="","",U9)</f>
        <v/>
      </c>
      <c r="W9" s="22">
        <f>IF(T9="","",RANK(V9,$V$9:$V$20,1))</f>
        <v/>
      </c>
      <c r="X9" s="173" t="inlineStr">
        <is>
          <t>Plans PID</t>
        </is>
      </c>
    </row>
    <row r="10" ht="35.1" customHeight="1">
      <c r="B10" s="123">
        <f>IF(MAX($W$9:$W$20)&lt;=1,"",VLOOKUP(B9+1,$W$9:$X$20,1,FALSE))</f>
        <v/>
      </c>
      <c r="C10" s="129">
        <f>IF(MAX($W$9:$W$20)&lt;=1,"",VLOOKUP(B9+1,$W$9:$X$20,2,FALSE))</f>
        <v/>
      </c>
      <c r="D10" s="64" t="n"/>
      <c r="E10" s="13" t="n"/>
      <c r="F10" s="13" t="n"/>
      <c r="G10" s="13" t="n"/>
      <c r="H10" s="81" t="n"/>
      <c r="I10" s="269" t="n"/>
      <c r="J10" s="269" t="n"/>
      <c r="K10" s="288" t="n"/>
      <c r="O10" s="16" t="b">
        <v>0</v>
      </c>
      <c r="P10" s="16">
        <f>IF(O10=TRUE,1,0)</f>
        <v/>
      </c>
      <c r="Q10" s="16" t="b">
        <v>0</v>
      </c>
      <c r="R10" s="16">
        <f>IF(Q10=TRUE,1,0)</f>
        <v/>
      </c>
      <c r="T10" s="255" t="inlineStr">
        <is>
          <t>x</t>
        </is>
      </c>
      <c r="U10" s="21" t="n">
        <v>2</v>
      </c>
      <c r="V10" s="21">
        <f>+IF(T10="","",U10)</f>
        <v/>
      </c>
      <c r="W10" s="22">
        <f>IF(T10="","",RANK(V10,$V$9:$V$20,1))</f>
        <v/>
      </c>
      <c r="X10" s="173" t="inlineStr">
        <is>
          <t>Schémas / Croquis</t>
        </is>
      </c>
    </row>
    <row r="11" ht="35.1" customHeight="1">
      <c r="B11" s="123">
        <f>IF(MAX($W$9:$W$20)&lt;=2,"",VLOOKUP(B10+1,$W$9:$X$20,1,FALSE))</f>
        <v/>
      </c>
      <c r="C11" s="129">
        <f>IF(MAX($W$9:$W$20)&lt;=2,"",VLOOKUP(B10+1,$W$9:$X$20,2,FALSE))</f>
        <v/>
      </c>
      <c r="D11" s="255" t="n"/>
      <c r="E11" s="131" t="n"/>
      <c r="F11" s="131" t="n"/>
      <c r="G11" s="131" t="n"/>
      <c r="H11" s="133" t="n"/>
      <c r="I11" s="269" t="n"/>
      <c r="J11" s="269" t="n"/>
      <c r="K11" s="288" t="n"/>
      <c r="O11" s="16" t="b">
        <v>0</v>
      </c>
      <c r="P11" s="16">
        <f>IF(O11=TRUE,1,0)</f>
        <v/>
      </c>
      <c r="Q11" s="16" t="b">
        <v>0</v>
      </c>
      <c r="R11" s="16">
        <f>IF(Q11=TRUE,1,0)</f>
        <v/>
      </c>
      <c r="T11" s="255" t="inlineStr">
        <is>
          <t>x</t>
        </is>
      </c>
      <c r="U11" s="21" t="n">
        <v>3</v>
      </c>
      <c r="V11" s="21">
        <f>+IF(T11="","",U11)</f>
        <v/>
      </c>
      <c r="W11" s="22">
        <f>IF(T11="","",RANK(V11,$V$9:$V$20,1))</f>
        <v/>
      </c>
      <c r="X11" s="173" t="inlineStr">
        <is>
          <t>Plans Isométriques</t>
        </is>
      </c>
    </row>
    <row r="12" ht="35.1" customHeight="1">
      <c r="B12" s="123">
        <f>IF(MAX($W$9:$W$20)&lt;=3,"",VLOOKUP(B11+1,$W$9:$X$20,1,FALSE))</f>
        <v/>
      </c>
      <c r="C12" s="129">
        <f>IF(MAX($W$9:$W$20)&lt;=3,"",VLOOKUP(B11+1,$W$9:$X$20,2,FALSE))</f>
        <v/>
      </c>
      <c r="D12" s="56" t="n"/>
      <c r="E12" s="64" t="n"/>
      <c r="F12" s="13" t="n"/>
      <c r="G12" s="13" t="n"/>
      <c r="H12" s="81" t="n"/>
      <c r="I12" s="269" t="n"/>
      <c r="J12" s="269" t="n"/>
      <c r="K12" s="288" t="n"/>
      <c r="O12" s="16" t="b">
        <v>0</v>
      </c>
      <c r="P12" s="16">
        <f>IF(O12=TRUE,1,0)</f>
        <v/>
      </c>
      <c r="Q12" s="16" t="b">
        <v>0</v>
      </c>
      <c r="R12" s="16">
        <f>IF(Q12=TRUE,1,0)</f>
        <v/>
      </c>
      <c r="T12" s="255" t="inlineStr">
        <is>
          <t>x</t>
        </is>
      </c>
      <c r="U12" s="21" t="n">
        <v>4</v>
      </c>
      <c r="V12" s="21">
        <f>+IF(T12="","",U12)</f>
        <v/>
      </c>
      <c r="W12" s="22">
        <f>IF(T12="","",RANK(V12,$V$9:$V$20,1))</f>
        <v/>
      </c>
      <c r="X12" s="173" t="inlineStr">
        <is>
          <t>Plans Tuyauterie</t>
        </is>
      </c>
    </row>
    <row r="13" ht="35.1" customHeight="1">
      <c r="B13" s="123">
        <f>IF(MAX($W$9:$W$20)&lt;=4,"",VLOOKUP(B12+1,$W$9:$X$20,1,FALSE))</f>
        <v/>
      </c>
      <c r="C13" s="129">
        <f>IF(MAX($W$9:$W$20)&lt;=4,"",VLOOKUP(B12+1,$W$9:$X$20,2,FALSE))</f>
        <v/>
      </c>
      <c r="D13" s="255" t="n"/>
      <c r="E13" s="255" t="n"/>
      <c r="F13" s="131" t="n"/>
      <c r="G13" s="131" t="n"/>
      <c r="H13" s="133" t="n"/>
      <c r="I13" s="269" t="n"/>
      <c r="J13" s="269" t="n"/>
      <c r="K13" s="288" t="n"/>
      <c r="O13" s="16" t="b">
        <v>0</v>
      </c>
      <c r="P13" s="16">
        <f>IF(O13=TRUE,1,0)</f>
        <v/>
      </c>
      <c r="Q13" s="16" t="b">
        <v>0</v>
      </c>
      <c r="R13" s="16">
        <f>IF(Q13=TRUE,1,0)</f>
        <v/>
      </c>
      <c r="T13" s="255" t="inlineStr">
        <is>
          <t>x</t>
        </is>
      </c>
      <c r="U13" s="21" t="n">
        <v>5</v>
      </c>
      <c r="V13" s="21">
        <f>+IF(T13="","",U13)</f>
        <v/>
      </c>
      <c r="W13" s="22">
        <f>IF(T13="","",RANK(V13,$V$9:$V$20,1))</f>
        <v/>
      </c>
      <c r="X13" s="173" t="inlineStr">
        <is>
          <t>Plans DREAL Existant</t>
        </is>
      </c>
    </row>
    <row r="14" ht="35.1" customHeight="1">
      <c r="B14" s="123">
        <f>IF(MAX($W$9:$W$20)&lt;=5,"",VLOOKUP(B13+1,$W$9:$X$20,1,FALSE))</f>
        <v/>
      </c>
      <c r="C14" s="129">
        <f>IF(MAX($W$9:$W$20)&lt;=5,"",VLOOKUP(B13+1,$W$9:$X$20,2,FALSE))</f>
        <v/>
      </c>
      <c r="D14" s="64" t="n"/>
      <c r="E14" s="13" t="n"/>
      <c r="F14" s="13" t="n"/>
      <c r="G14" s="13" t="n"/>
      <c r="H14" s="81" t="n"/>
      <c r="I14" s="269" t="n"/>
      <c r="J14" s="269" t="n"/>
      <c r="K14" s="288" t="n"/>
      <c r="O14" s="16" t="b">
        <v>0</v>
      </c>
      <c r="P14" s="16">
        <f>IF(O14=TRUE,1,0)</f>
        <v/>
      </c>
      <c r="Q14" s="16" t="b">
        <v>0</v>
      </c>
      <c r="R14" s="16">
        <f>IF(Q14=TRUE,1,0)</f>
        <v/>
      </c>
      <c r="T14" s="255" t="inlineStr">
        <is>
          <t>x</t>
        </is>
      </c>
      <c r="U14" s="21" t="n">
        <v>6</v>
      </c>
      <c r="V14" s="21">
        <f>+IF(T14="","",U14)</f>
        <v/>
      </c>
      <c r="W14" s="22">
        <f>IF(T14="","",RANK(V14,$V$9:$V$20,1))</f>
        <v/>
      </c>
      <c r="X14" s="173" t="inlineStr">
        <is>
          <t>Plans d'Implantation</t>
        </is>
      </c>
    </row>
    <row r="15" ht="35.1" customHeight="1">
      <c r="B15" s="123">
        <f>IF(MAX($W$9:$W$20)&lt;=6,"",VLOOKUP(B14+1,$W$9:$X$20,1,FALSE))</f>
        <v/>
      </c>
      <c r="C15" s="129">
        <f>IF(MAX($W$9:$W$20)&lt;=6,"",VLOOKUP(B14+1,$W$9:$X$20,2,FALSE))</f>
        <v/>
      </c>
      <c r="D15" s="255" t="n"/>
      <c r="E15" s="255" t="n"/>
      <c r="F15" s="131" t="n"/>
      <c r="G15" s="131" t="n"/>
      <c r="H15" s="133" t="n"/>
      <c r="I15" s="269" t="n"/>
      <c r="J15" s="269" t="n"/>
      <c r="K15" s="288" t="n"/>
      <c r="O15" s="16" t="b">
        <v>0</v>
      </c>
      <c r="P15" s="16">
        <f>IF(O15=TRUE,1,0)</f>
        <v/>
      </c>
      <c r="Q15" s="16" t="b">
        <v>0</v>
      </c>
      <c r="R15" s="16">
        <f>IF(Q15=TRUE,1,0)</f>
        <v/>
      </c>
      <c r="T15" s="255" t="inlineStr">
        <is>
          <t>x</t>
        </is>
      </c>
      <c r="U15" s="21" t="n">
        <v>7</v>
      </c>
      <c r="V15" s="21">
        <f>+IF(T15="","",U15)</f>
        <v/>
      </c>
      <c r="W15" s="22">
        <f>IF(T15="","",RANK(V15,$V$9:$V$20,1))</f>
        <v/>
      </c>
      <c r="X15" s="173" t="inlineStr">
        <is>
          <t>Maquette 3D</t>
        </is>
      </c>
    </row>
    <row r="16" ht="35.1" customHeight="1">
      <c r="B16" s="123">
        <f>IF(MAX($W$9:$W$20)&lt;=7,"",VLOOKUP(B15+1,$W$9:$X$20,1,FALSE))</f>
        <v/>
      </c>
      <c r="C16" s="129">
        <f>IF(MAX($W$9:$W$20)&lt;=7,"",VLOOKUP(B15+1,$W$9:$X$20,2,FALSE))</f>
        <v/>
      </c>
      <c r="D16" s="64" t="n"/>
      <c r="E16" s="13" t="n"/>
      <c r="F16" s="13" t="n"/>
      <c r="G16" s="13" t="n"/>
      <c r="H16" s="81" t="n"/>
      <c r="I16" s="269" t="n"/>
      <c r="J16" s="269" t="n"/>
      <c r="K16" s="288" t="n"/>
      <c r="O16" s="16" t="b">
        <v>0</v>
      </c>
      <c r="P16" s="16">
        <f>IF(O16=TRUE,1,0)</f>
        <v/>
      </c>
      <c r="Q16" s="16" t="b">
        <v>0</v>
      </c>
      <c r="R16" s="16">
        <f>IF(Q16=TRUE,1,0)</f>
        <v/>
      </c>
      <c r="T16" s="255" t="inlineStr">
        <is>
          <t>x</t>
        </is>
      </c>
      <c r="U16" s="21" t="n">
        <v>8</v>
      </c>
      <c r="V16" s="21">
        <f>+IF(T16="","",U16)</f>
        <v/>
      </c>
      <c r="W16" s="22">
        <f>IF(T16="","",RANK(V16,$V$9:$V$20,1))</f>
        <v/>
      </c>
      <c r="X16" s="173" t="inlineStr">
        <is>
          <t>Cahier des Charges</t>
        </is>
      </c>
    </row>
    <row r="17" ht="35.25" customHeight="1">
      <c r="B17" s="123">
        <f>IF(MAX($W$9:$W$20)&lt;=8,"",VLOOKUP(B16+1,$W$9:$X$20,1,FALSE))</f>
        <v/>
      </c>
      <c r="C17" s="129">
        <f>IF(MAX($W$9:$W$20)&lt;=8,"",VLOOKUP(B16+1,$W$9:$X$20,2,FALSE))</f>
        <v/>
      </c>
      <c r="D17" s="255" t="n"/>
      <c r="E17" s="131" t="n"/>
      <c r="F17" s="131" t="n"/>
      <c r="G17" s="131" t="n"/>
      <c r="H17" s="133" t="n"/>
      <c r="I17" s="269" t="n"/>
      <c r="J17" s="269" t="n"/>
      <c r="K17" s="288" t="n"/>
      <c r="O17" s="16" t="b">
        <v>0</v>
      </c>
      <c r="P17" s="16">
        <f>IF(O17=TRUE,1,0)</f>
        <v/>
      </c>
      <c r="Q17" s="16" t="b">
        <v>0</v>
      </c>
      <c r="R17" s="16">
        <f>IF(Q17=TRUE,1,0)</f>
        <v/>
      </c>
      <c r="T17" s="255" t="n"/>
      <c r="U17" s="21" t="n">
        <v>9</v>
      </c>
      <c r="V17" s="21">
        <f>+IF(T17="","",U17)</f>
        <v/>
      </c>
      <c r="W17" s="22">
        <f>IF(T17="","",RANK(V17,$V$9:$V$20,1))</f>
        <v/>
      </c>
      <c r="X17" s="255" t="inlineStr">
        <is>
          <t>-</t>
        </is>
      </c>
    </row>
    <row r="18" ht="35.25" customHeight="1">
      <c r="B18" s="123">
        <f>IF(MAX($W$9:$W$20)&lt;=9,"",VLOOKUP(B17+1,$W$9:$X$20,1,FALSE))</f>
        <v/>
      </c>
      <c r="C18" s="129">
        <f>IF(MAX($W$9:$W$20)&lt;=9,"",VLOOKUP(B17+1,$W$9:$X$20,2,FALSE))</f>
        <v/>
      </c>
      <c r="D18" s="64" t="n"/>
      <c r="E18" s="13" t="n"/>
      <c r="F18" s="13" t="n"/>
      <c r="G18" s="13" t="n"/>
      <c r="H18" s="81" t="n"/>
      <c r="I18" s="269" t="n"/>
      <c r="J18" s="269" t="n"/>
      <c r="K18" s="288" t="n"/>
      <c r="O18" s="16" t="b">
        <v>0</v>
      </c>
      <c r="P18" s="16">
        <f>IF(O18=TRUE,1,0)</f>
        <v/>
      </c>
      <c r="Q18" s="16" t="b">
        <v>0</v>
      </c>
      <c r="R18" s="16">
        <f>IF(Q18=TRUE,1,0)</f>
        <v/>
      </c>
      <c r="T18" s="255" t="n"/>
      <c r="U18" s="21" t="n">
        <v>10</v>
      </c>
      <c r="V18" s="21">
        <f>+IF(T18="","",U18)</f>
        <v/>
      </c>
      <c r="W18" s="22">
        <f>IF(T18="","",RANK(V18,$V$9:$V$20,1))</f>
        <v/>
      </c>
      <c r="X18" s="255" t="inlineStr">
        <is>
          <t>-</t>
        </is>
      </c>
    </row>
    <row r="19" ht="35.25" customHeight="1">
      <c r="B19" s="123">
        <f>IF(MAX($W$9:$W$20)&lt;=10,"",VLOOKUP(B18+1,$W$9:$X$20,1,FALSE))</f>
        <v/>
      </c>
      <c r="C19" s="129">
        <f>IF(MAX($W$9:$W$20)&lt;=10,"",VLOOKUP(B18+1,$W$9:$X$20,2,FALSE))</f>
        <v/>
      </c>
      <c r="D19" s="255" t="n"/>
      <c r="E19" s="131" t="n"/>
      <c r="F19" s="131" t="n"/>
      <c r="G19" s="131" t="n"/>
      <c r="H19" s="133" t="n"/>
      <c r="I19" s="269" t="n"/>
      <c r="J19" s="269" t="n"/>
      <c r="K19" s="288" t="n"/>
      <c r="O19" s="16" t="b">
        <v>0</v>
      </c>
      <c r="P19" s="16">
        <f>IF(O19=TRUE,1,0)</f>
        <v/>
      </c>
      <c r="Q19" s="16" t="b">
        <v>0</v>
      </c>
      <c r="R19" s="16">
        <f>IF(Q19=TRUE,1,0)</f>
        <v/>
      </c>
      <c r="T19" s="255" t="n"/>
      <c r="U19" s="21" t="n">
        <v>11</v>
      </c>
      <c r="V19" s="21">
        <f>+IF(T19="","",U19)</f>
        <v/>
      </c>
      <c r="W19" s="22">
        <f>IF(T19="","",RANK(V19,$V$9:$V$20,1))</f>
        <v/>
      </c>
      <c r="X19" s="255" t="inlineStr">
        <is>
          <t>-</t>
        </is>
      </c>
    </row>
    <row r="20" ht="35.25" customHeight="1">
      <c r="B20" s="123">
        <f>IF(MAX($W$9:$W$20)&lt;=11,"",VLOOKUP(B19+1,$W$9:$X$20,1,FALSE))</f>
        <v/>
      </c>
      <c r="C20" s="129">
        <f>IF(MAX($W$9:$W$20)&lt;=11,"",VLOOKUP(B19+1,$W$9:$X$20,2,FALSE))</f>
        <v/>
      </c>
      <c r="D20" s="64" t="n"/>
      <c r="E20" s="13" t="n"/>
      <c r="F20" s="13" t="n"/>
      <c r="G20" s="13" t="n"/>
      <c r="H20" s="81" t="n"/>
      <c r="I20" s="269" t="n"/>
      <c r="J20" s="269" t="n"/>
      <c r="K20" s="288" t="n"/>
      <c r="O20" s="16" t="b">
        <v>0</v>
      </c>
      <c r="P20" s="16">
        <f>IF(O20=TRUE,1,0)</f>
        <v/>
      </c>
      <c r="Q20" s="16" t="b">
        <v>0</v>
      </c>
      <c r="R20" s="16">
        <f>IF(Q20=TRUE,1,0)</f>
        <v/>
      </c>
      <c r="T20" s="255" t="n"/>
      <c r="U20" s="21" t="n">
        <v>12</v>
      </c>
      <c r="V20" s="21">
        <f>+IF(T20="","",U20)</f>
        <v/>
      </c>
      <c r="W20" s="22">
        <f>IF(T20="","",RANK(V20,$V$9:$V$20,1))</f>
        <v/>
      </c>
      <c r="X20" s="255" t="inlineStr">
        <is>
          <t>-</t>
        </is>
      </c>
    </row>
    <row r="21">
      <c r="X21" s="31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15">
    <mergeCell ref="H18:K18"/>
    <mergeCell ref="H14:K14"/>
    <mergeCell ref="H13:K13"/>
    <mergeCell ref="H9:K9"/>
    <mergeCell ref="H8:K8"/>
    <mergeCell ref="H17:K17"/>
    <mergeCell ref="H11:K11"/>
    <mergeCell ref="H12:K12"/>
    <mergeCell ref="H2:K2"/>
    <mergeCell ref="H20:K20"/>
    <mergeCell ref="H16:K16"/>
    <mergeCell ref="H15:K15"/>
    <mergeCell ref="H10:K10"/>
    <mergeCell ref="H19:K19"/>
    <mergeCell ref="C6:K6"/>
  </mergeCells>
  <conditionalFormatting sqref="C9:C20">
    <cfRule type="expression" priority="1" dxfId="2">
      <formula>($D9&gt;0)</formula>
    </cfRule>
    <cfRule type="expression" priority="2" dxfId="1">
      <formula>($P9&gt;0)</formula>
    </cfRule>
    <cfRule type="expression" priority="3" dxfId="0">
      <formula>($R9&gt;0)</formula>
    </cfRule>
  </conditionalFormatting>
  <pageMargins left="0.2362204724409449" right="0" top="0.6299212598425197" bottom="0" header="0.2362204724409449" footer="0"/>
  <pageSetup orientation="landscape" paperSize="9"/>
  <headerFooter>
    <oddHeader>&amp;L&amp;G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B22" sqref="B22"/>
    </sheetView>
  </sheetViews>
  <sheetFormatPr baseColWidth="10" defaultRowHeight="15"/>
  <cols>
    <col width="39.7109375" bestFit="1" customWidth="1" min="1" max="1"/>
    <col width="14.28515625" bestFit="1" customWidth="1" min="2" max="2"/>
    <col width="14" bestFit="1" customWidth="1" min="3" max="3"/>
  </cols>
  <sheetData>
    <row r="1">
      <c r="A1" t="inlineStr">
        <is>
          <t xml:space="preserve">Tâches BE </t>
        </is>
      </c>
      <c r="B1" t="inlineStr">
        <is>
          <t>Heures estimées</t>
        </is>
      </c>
      <c r="C1" t="inlineStr">
        <is>
          <t>Heures Vendues</t>
        </is>
      </c>
    </row>
    <row r="2">
      <c r="A2" t="inlineStr">
        <is>
          <t>LBE</t>
        </is>
      </c>
      <c r="B2" t="n">
        <v>2</v>
      </c>
    </row>
    <row r="3">
      <c r="A3" t="inlineStr">
        <is>
          <t>Nomenclature</t>
        </is>
      </c>
      <c r="B3" t="n">
        <v>2</v>
      </c>
    </row>
    <row r="4">
      <c r="A4" t="inlineStr">
        <is>
          <t>Plans TUT</t>
        </is>
      </c>
      <c r="B4" t="n">
        <v>8</v>
      </c>
    </row>
    <row r="5">
      <c r="A5" t="inlineStr">
        <is>
          <t>Plans isométriques</t>
        </is>
      </c>
      <c r="B5" t="n">
        <v>12</v>
      </c>
    </row>
    <row r="6">
      <c r="A6" t="inlineStr">
        <is>
          <t>Tableau de débits</t>
        </is>
      </c>
      <c r="B6" t="n">
        <v>1</v>
      </c>
    </row>
    <row r="7">
      <c r="A7" t="inlineStr">
        <is>
          <t>Plans GC</t>
        </is>
      </c>
      <c r="B7" s="95" t="n">
        <v>0</v>
      </c>
    </row>
    <row r="8">
      <c r="A8" t="inlineStr">
        <is>
          <t>Plans de manchettes délardées</t>
        </is>
      </c>
      <c r="B8" t="n">
        <v>0.5</v>
      </c>
    </row>
    <row r="9">
      <c r="A9" t="inlineStr">
        <is>
          <t>Plans de montage d'épreuve/séchage</t>
        </is>
      </c>
      <c r="B9" t="n">
        <v>1</v>
      </c>
    </row>
    <row r="10">
      <c r="A10" t="inlineStr">
        <is>
          <t>Plans de sertissage</t>
        </is>
      </c>
      <c r="B10" t="n">
        <v>0.5</v>
      </c>
    </row>
    <row r="11">
      <c r="A11" t="inlineStr">
        <is>
          <t>Plans Levage</t>
        </is>
      </c>
      <c r="B11" s="95" t="n">
        <v>0</v>
      </c>
    </row>
    <row r="12">
      <c r="A12" t="inlineStr">
        <is>
          <t xml:space="preserve">GDER </t>
        </is>
      </c>
      <c r="B12" t="n">
        <v>4</v>
      </c>
    </row>
    <row r="13">
      <c r="A13" t="inlineStr">
        <is>
          <t>Cahier de soudage avec validation pré-soudage</t>
        </is>
      </c>
      <c r="B13" t="n">
        <v>8</v>
      </c>
    </row>
    <row r="14">
      <c r="A14" t="inlineStr">
        <is>
          <t>Dossier d'épreuve selon A.M du 05/03/2014</t>
        </is>
      </c>
      <c r="B14" t="n">
        <v>12</v>
      </c>
    </row>
    <row r="15">
      <c r="A15" t="inlineStr">
        <is>
          <t>Dossier de Fabrication selon Art.4.3</t>
        </is>
      </c>
      <c r="B15" t="n">
        <v>2</v>
      </c>
    </row>
    <row r="16">
      <c r="A16" t="inlineStr">
        <is>
          <t>Relevé Epaisseur Manchette délardée</t>
        </is>
      </c>
      <c r="B16" t="n">
        <v>1</v>
      </c>
    </row>
    <row r="17">
      <c r="A17" t="inlineStr">
        <is>
          <t>PV Relevés paramètres de soudage</t>
        </is>
      </c>
      <c r="B17" t="n">
        <v>2</v>
      </c>
    </row>
    <row r="18">
      <c r="A18" t="inlineStr">
        <is>
          <t>Dossier de fin d'affaire</t>
        </is>
      </c>
      <c r="B18" t="n">
        <v>4</v>
      </c>
    </row>
    <row r="20">
      <c r="A20" t="inlineStr">
        <is>
          <t>TOTAL</t>
        </is>
      </c>
      <c r="B20">
        <f>SUM(B2:B18)</f>
        <v/>
      </c>
      <c r="C20" t="n">
        <v>74</v>
      </c>
    </row>
    <row r="22">
      <c r="A22" t="inlineStr">
        <is>
          <t>Objectif</t>
        </is>
      </c>
      <c r="B22" t="n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16" customWidth="1" min="4" max="4"/>
    <col width="22" customWidth="1" min="5" max="5"/>
    <col width="22" customWidth="1" min="6" max="6"/>
  </cols>
  <sheetData>
    <row r="2">
      <c r="B2" s="314" t="inlineStr">
        <is>
          <t>Table Clients (référentiel)</t>
        </is>
      </c>
    </row>
    <row r="4">
      <c r="B4" s="315" t="inlineStr">
        <is>
          <t>N° Affaire (clé)</t>
        </is>
      </c>
      <c r="C4" s="315" t="inlineStr">
        <is>
          <t>Code Client</t>
        </is>
      </c>
      <c r="D4" s="315" t="inlineStr">
        <is>
          <t>Nom Client</t>
        </is>
      </c>
      <c r="E4" s="315" t="inlineStr">
        <is>
          <t>Code Responsable ARTIS</t>
        </is>
      </c>
      <c r="F4" s="315" t="inlineStr">
        <is>
          <t>Nom Responsable ARTIS</t>
        </is>
      </c>
    </row>
    <row r="5">
      <c r="B5" t="inlineStr">
        <is>
          <t>2026-AF095</t>
        </is>
      </c>
      <c r="C5" s="316" t="inlineStr">
        <is>
          <t>A COMPLETER</t>
        </is>
      </c>
      <c r="D5" t="inlineStr">
        <is>
          <t>NATRAN</t>
        </is>
      </c>
      <c r="E5" s="316" t="inlineStr">
        <is>
          <t>A COMPLETER</t>
        </is>
      </c>
      <c r="F5" t="inlineStr">
        <is>
          <t>AYTE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39"/>
  <sheetViews>
    <sheetView workbookViewId="0">
      <selection activeCell="A1" sqref="A1"/>
    </sheetView>
  </sheetViews>
  <sheetFormatPr baseColWidth="8" defaultRowHeight="15"/>
  <cols>
    <col width="45" customWidth="1" min="2" max="2"/>
    <col width="45" customWidth="1" min="3" max="3"/>
    <col width="30" customWidth="1" min="4" max="4"/>
    <col width="20" customWidth="1" min="5" max="5"/>
  </cols>
  <sheetData>
    <row r="2">
      <c r="B2" s="314" t="inlineStr">
        <is>
          <t>Référentiel réglementaire par type de livrable — brouillon à valider avec toi</t>
        </is>
      </c>
    </row>
    <row r="4">
      <c r="B4" s="315" t="inlineStr">
        <is>
          <t>Type de livrable</t>
        </is>
      </c>
      <c r="C4" s="315" t="inlineStr">
        <is>
          <t>Référence réglementaire / texte type</t>
        </is>
      </c>
      <c r="D4" s="315" t="inlineStr">
        <is>
          <t>Condition d'application</t>
        </is>
      </c>
      <c r="E4" s="315" t="inlineStr">
        <is>
          <t>Source (à préciser)</t>
        </is>
      </c>
    </row>
    <row r="5">
      <c r="B5" t="inlineStr">
        <is>
          <t>Nomenclature</t>
        </is>
      </c>
      <c r="D5" t="inlineStr">
        <is>
          <t>A COMPLETER</t>
        </is>
      </c>
      <c r="E5" t="inlineStr">
        <is>
          <t>A COMPLETER</t>
        </is>
      </c>
    </row>
    <row r="6">
      <c r="B6" t="inlineStr">
        <is>
          <t>Plans isométriques manuel</t>
        </is>
      </c>
      <c r="D6" t="inlineStr">
        <is>
          <t>A COMPLETER</t>
        </is>
      </c>
      <c r="E6" t="inlineStr">
        <is>
          <t>A COMPLETER</t>
        </is>
      </c>
    </row>
    <row r="7">
      <c r="B7" t="inlineStr">
        <is>
          <t>Résa 80%</t>
        </is>
      </c>
      <c r="D7" t="inlineStr">
        <is>
          <t>A COMPLETER</t>
        </is>
      </c>
      <c r="E7" t="inlineStr">
        <is>
          <t>A COMPLETER</t>
        </is>
      </c>
    </row>
    <row r="8">
      <c r="B8" t="inlineStr">
        <is>
          <t>Plans 3D</t>
        </is>
      </c>
      <c r="D8" t="inlineStr">
        <is>
          <t>A COMPLETER</t>
        </is>
      </c>
      <c r="E8" t="inlineStr">
        <is>
          <t>A COMPLETER</t>
        </is>
      </c>
    </row>
    <row r="9">
      <c r="B9" t="inlineStr">
        <is>
          <t>Plans TUT</t>
        </is>
      </c>
      <c r="D9" t="inlineStr">
        <is>
          <t>A COMPLETER</t>
        </is>
      </c>
      <c r="E9" t="inlineStr">
        <is>
          <t>A COMPLETER</t>
        </is>
      </c>
    </row>
    <row r="10">
      <c r="B10" t="inlineStr">
        <is>
          <t>Résa 100%</t>
        </is>
      </c>
      <c r="D10" t="inlineStr">
        <is>
          <t>A COMPLETER</t>
        </is>
      </c>
      <c r="E10" t="inlineStr">
        <is>
          <t>A COMPLETER</t>
        </is>
      </c>
    </row>
    <row r="11">
      <c r="B11" t="inlineStr">
        <is>
          <t>Plans isométriques - Repérage pièces</t>
        </is>
      </c>
      <c r="D11" t="inlineStr">
        <is>
          <t>A COMPLETER</t>
        </is>
      </c>
      <c r="E11" t="inlineStr">
        <is>
          <t>A COMPLETER</t>
        </is>
      </c>
    </row>
    <row r="12">
      <c r="B12" t="inlineStr">
        <is>
          <t>Plans isométriques - Repérage soudures</t>
        </is>
      </c>
      <c r="D12" t="inlineStr">
        <is>
          <t>A COMPLETER</t>
        </is>
      </c>
      <c r="E12" t="inlineStr">
        <is>
          <t>A COMPLETER</t>
        </is>
      </c>
    </row>
    <row r="13">
      <c r="B13" t="inlineStr">
        <is>
          <t>Tableau de débits</t>
        </is>
      </c>
      <c r="D13" t="inlineStr">
        <is>
          <t>A COMPLETER</t>
        </is>
      </c>
      <c r="E13" t="inlineStr">
        <is>
          <t>A COMPLETER</t>
        </is>
      </c>
    </row>
    <row r="14">
      <c r="B14" t="inlineStr">
        <is>
          <t>Plans GC</t>
        </is>
      </c>
      <c r="D14" t="inlineStr">
        <is>
          <t>A COMPLETER</t>
        </is>
      </c>
      <c r="E14" t="inlineStr">
        <is>
          <t>A COMPLETER</t>
        </is>
      </c>
    </row>
    <row r="15">
      <c r="B15" t="inlineStr">
        <is>
          <t>Plans de manchettes délardées</t>
        </is>
      </c>
      <c r="D15" t="inlineStr">
        <is>
          <t>A COMPLETER</t>
        </is>
      </c>
      <c r="E15" t="inlineStr">
        <is>
          <t>A COMPLETER</t>
        </is>
      </c>
    </row>
    <row r="16">
      <c r="B16" t="inlineStr">
        <is>
          <t>Plans de châssis</t>
        </is>
      </c>
      <c r="D16" t="inlineStr">
        <is>
          <t>A COMPLETER</t>
        </is>
      </c>
      <c r="E16" t="inlineStr">
        <is>
          <t>A COMPLETER</t>
        </is>
      </c>
    </row>
    <row r="17">
      <c r="B17" t="inlineStr">
        <is>
          <t>Plans de terrassement</t>
        </is>
      </c>
      <c r="D17" t="inlineStr">
        <is>
          <t>A COMPLETER</t>
        </is>
      </c>
      <c r="E17" t="inlineStr">
        <is>
          <t>A COMPLETER</t>
        </is>
      </c>
    </row>
    <row r="18">
      <c r="B18" t="inlineStr">
        <is>
          <t>Plans d'installation chantier / Base vie</t>
        </is>
      </c>
      <c r="D18" t="inlineStr">
        <is>
          <t>A COMPLETER</t>
        </is>
      </c>
      <c r="E18" t="inlineStr">
        <is>
          <t>A COMPLETER</t>
        </is>
      </c>
    </row>
    <row r="19">
      <c r="B19" t="inlineStr">
        <is>
          <t>Plans de montage d'épreuve/séchage</t>
        </is>
      </c>
      <c r="D19" t="inlineStr">
        <is>
          <t>A COMPLETER</t>
        </is>
      </c>
      <c r="E19" t="inlineStr">
        <is>
          <t>A COMPLETER</t>
        </is>
      </c>
    </row>
    <row r="20">
      <c r="B20" t="inlineStr">
        <is>
          <t>Plans isométriques - Repérage brides et appareils</t>
        </is>
      </c>
      <c r="D20" t="inlineStr">
        <is>
          <t>A COMPLETER</t>
        </is>
      </c>
      <c r="E20" t="inlineStr">
        <is>
          <t>A COMPLETER</t>
        </is>
      </c>
    </row>
    <row r="21">
      <c r="B21" t="inlineStr">
        <is>
          <t>Plans de sertissage</t>
        </is>
      </c>
      <c r="D21" t="inlineStr">
        <is>
          <t>A COMPLETER</t>
        </is>
      </c>
      <c r="E21" t="inlineStr">
        <is>
          <t>A COMPLETER</t>
        </is>
      </c>
    </row>
    <row r="22">
      <c r="B22" t="inlineStr">
        <is>
          <t>Plans Levage</t>
        </is>
      </c>
      <c r="D22" t="inlineStr">
        <is>
          <t>A COMPLETER</t>
        </is>
      </c>
      <c r="E22" t="inlineStr">
        <is>
          <t>A COMPLETER</t>
        </is>
      </c>
    </row>
    <row r="23">
      <c r="B23" t="inlineStr">
        <is>
          <t>Montage sur site</t>
        </is>
      </c>
      <c r="D23" t="inlineStr">
        <is>
          <t>A COMPLETER</t>
        </is>
      </c>
      <c r="E23" t="inlineStr">
        <is>
          <t>A COMPLETER</t>
        </is>
      </c>
    </row>
    <row r="24">
      <c r="B24" t="inlineStr">
        <is>
          <t>Plans enrobage / Peinture</t>
        </is>
      </c>
      <c r="D24" t="inlineStr">
        <is>
          <t>A COMPLETER</t>
        </is>
      </c>
      <c r="E24" t="inlineStr">
        <is>
          <t>A COMPLETER</t>
        </is>
      </c>
    </row>
    <row r="25">
      <c r="B25" t="inlineStr">
        <is>
          <t>Maquette 3D</t>
        </is>
      </c>
      <c r="D25" t="inlineStr">
        <is>
          <t>A COMPLETER</t>
        </is>
      </c>
      <c r="E25" t="inlineStr">
        <is>
          <t>A COMPLETER</t>
        </is>
      </c>
    </row>
    <row r="26">
      <c r="B26" t="inlineStr">
        <is>
          <t xml:space="preserve">GDER TUT </t>
        </is>
      </c>
      <c r="D26" t="inlineStr">
        <is>
          <t>A COMPLETER</t>
        </is>
      </c>
      <c r="E26" t="inlineStr">
        <is>
          <t>A COMPLETER</t>
        </is>
      </c>
    </row>
    <row r="27">
      <c r="B27" t="inlineStr">
        <is>
          <t>GDER GCT</t>
        </is>
      </c>
      <c r="D27" t="inlineStr">
        <is>
          <t>A COMPLETER</t>
        </is>
      </c>
      <c r="E27" t="inlineStr">
        <is>
          <t>A COMPLETER</t>
        </is>
      </c>
    </row>
    <row r="28">
      <c r="B28" t="inlineStr">
        <is>
          <t>GDER DREAL</t>
        </is>
      </c>
      <c r="D28" t="inlineStr">
        <is>
          <t>A COMPLETER</t>
        </is>
      </c>
      <c r="E28" t="inlineStr">
        <is>
          <t>A COMPLETER</t>
        </is>
      </c>
    </row>
    <row r="29">
      <c r="B29" t="inlineStr">
        <is>
          <t>Spécifique (à préciser)</t>
        </is>
      </c>
      <c r="D29" t="inlineStr">
        <is>
          <t>A COMPLETER</t>
        </is>
      </c>
      <c r="E29" t="inlineStr">
        <is>
          <t>A COMPLETER</t>
        </is>
      </c>
    </row>
    <row r="30">
      <c r="B30" t="inlineStr">
        <is>
          <t>Cahier de soudage avec validation pré-soudage</t>
        </is>
      </c>
      <c r="D30" t="inlineStr">
        <is>
          <t>A COMPLETER</t>
        </is>
      </c>
      <c r="E30" t="inlineStr">
        <is>
          <t>A COMPLETER</t>
        </is>
      </c>
    </row>
    <row r="31">
      <c r="B31" t="inlineStr">
        <is>
          <t>DMOS / QMOS /QS</t>
        </is>
      </c>
      <c r="D31" t="inlineStr">
        <is>
          <t>A COMPLETER</t>
        </is>
      </c>
      <c r="E31" t="inlineStr">
        <is>
          <t>A COMPLETER</t>
        </is>
      </c>
    </row>
    <row r="32">
      <c r="B32" t="inlineStr">
        <is>
          <t>Dossier d'épreuve selon DESP 2014/68/UE</t>
        </is>
      </c>
      <c r="C32" t="inlineStr">
        <is>
          <t>Directive 2014/68/UE - DESP (texte cité dans l'intitulé du livrable)</t>
        </is>
      </c>
      <c r="D32" t="inlineStr">
        <is>
          <t>A COMPLETER</t>
        </is>
      </c>
      <c r="E32" t="inlineStr">
        <is>
          <t>A COMPLETER</t>
        </is>
      </c>
    </row>
    <row r="33">
      <c r="B33" t="inlineStr">
        <is>
          <t>Dossier d'épreuve selon A.M du 05/03/2014</t>
        </is>
      </c>
      <c r="C33" t="inlineStr">
        <is>
          <t>Arrêté Ministériel du 05/03/2014 (texte cité dans l'intitulé du livrable)</t>
        </is>
      </c>
      <c r="D33" t="inlineStr">
        <is>
          <t>A COMPLETER</t>
        </is>
      </c>
      <c r="E33" t="inlineStr">
        <is>
          <t>A COMPLETER</t>
        </is>
      </c>
    </row>
    <row r="34">
      <c r="B34" t="inlineStr">
        <is>
          <t>Dossier de Fabrication selon Art.4.3</t>
        </is>
      </c>
      <c r="D34" t="inlineStr">
        <is>
          <t>A COMPLETER</t>
        </is>
      </c>
      <c r="E34" t="inlineStr">
        <is>
          <t>A COMPLETER</t>
        </is>
      </c>
    </row>
    <row r="35">
      <c r="B35" t="inlineStr">
        <is>
          <t>Relevé Epaisseur Manchette délardée</t>
        </is>
      </c>
      <c r="D35" t="inlineStr">
        <is>
          <t>A COMPLETER</t>
        </is>
      </c>
      <c r="E35" t="inlineStr">
        <is>
          <t>A COMPLETER</t>
        </is>
      </c>
    </row>
    <row r="36">
      <c r="B36" t="inlineStr">
        <is>
          <t>PV Cintrage</t>
        </is>
      </c>
      <c r="D36" t="inlineStr">
        <is>
          <t>A COMPLETER</t>
        </is>
      </c>
      <c r="E36" t="inlineStr">
        <is>
          <t>A COMPLETER</t>
        </is>
      </c>
    </row>
    <row r="37">
      <c r="B37" t="inlineStr">
        <is>
          <t>PV Relevés paramètres de soudage</t>
        </is>
      </c>
      <c r="D37" t="inlineStr">
        <is>
          <t>A COMPLETER</t>
        </is>
      </c>
      <c r="E37" t="inlineStr">
        <is>
          <t>A COMPLETER</t>
        </is>
      </c>
    </row>
    <row r="38">
      <c r="B38" t="inlineStr">
        <is>
          <t>Carnet de soudures</t>
        </is>
      </c>
      <c r="D38" t="inlineStr">
        <is>
          <t>A COMPLETER</t>
        </is>
      </c>
      <c r="E38" t="inlineStr">
        <is>
          <t>A COMPLETER</t>
        </is>
      </c>
    </row>
    <row r="39">
      <c r="B39" t="inlineStr">
        <is>
          <t>Dossier de fin d'affaire</t>
        </is>
      </c>
      <c r="D39" t="inlineStr">
        <is>
          <t>A COMPLETER</t>
        </is>
      </c>
      <c r="E39" t="inlineStr">
        <is>
          <t>A COMPLETER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28"/>
  <sheetViews>
    <sheetView workbookViewId="0">
      <selection activeCell="A1" sqref="A1"/>
    </sheetView>
  </sheetViews>
  <sheetFormatPr baseColWidth="8" defaultRowHeight="15"/>
  <cols>
    <col width="45" customWidth="1" min="2" max="2"/>
    <col width="35" customWidth="1" min="3" max="3"/>
    <col width="16" customWidth="1" min="4" max="4"/>
    <col width="16" customWidth="1" min="5" max="5"/>
  </cols>
  <sheetData>
    <row r="2">
      <c r="B2" s="314" t="inlineStr">
        <is>
          <t>Correspondance Livrable (Actions) -&gt; Tâche BE (Heures BE) — brouillon à valider</t>
        </is>
      </c>
    </row>
    <row r="4">
      <c r="B4" s="315" t="inlineStr">
        <is>
          <t>Livrable (Actions - Liste des livrables)</t>
        </is>
      </c>
      <c r="C4" s="315" t="inlineStr">
        <is>
          <t>Tâche BE correspondante (Heures BE)</t>
        </is>
      </c>
      <c r="D4" s="315" t="inlineStr">
        <is>
          <t>Coché sur cette affaire</t>
        </is>
      </c>
      <c r="E4" s="315" t="inlineStr">
        <is>
          <t>Heures estimées</t>
        </is>
      </c>
    </row>
    <row r="5">
      <c r="B5" t="inlineStr">
        <is>
          <t>Nomenclature</t>
        </is>
      </c>
      <c r="C5" t="inlineStr">
        <is>
          <t>Nomenclature</t>
        </is>
      </c>
      <c r="D5">
        <f>IFERROR(INDEX('Actions - Liste des livrables'!$I$11:$I$46,MATCH(B5,'Actions - Liste des livrables'!$M$11:$M$46,0)),"")</f>
        <v/>
      </c>
      <c r="E5">
        <f>IFERROR(IF(D5="x",INDEX('Heures BE'!$B$2:$B$18,MATCH(C5,'Heures BE'!$A$2:$A$18,0)),0),0)</f>
        <v/>
      </c>
    </row>
    <row r="6">
      <c r="B6" t="inlineStr">
        <is>
          <t>Plans TUT</t>
        </is>
      </c>
      <c r="C6" t="inlineStr">
        <is>
          <t>Plans TUT</t>
        </is>
      </c>
      <c r="D6">
        <f>IFERROR(INDEX('Actions - Liste des livrables'!$I$11:$I$46,MATCH(B6,'Actions - Liste des livrables'!$M$11:$M$46,0)),"")</f>
        <v/>
      </c>
      <c r="E6">
        <f>IFERROR(IF(D6="x",INDEX('Heures BE'!$B$2:$B$18,MATCH(C6,'Heures BE'!$A$2:$A$18,0)),0),0)</f>
        <v/>
      </c>
    </row>
    <row r="7">
      <c r="B7" t="inlineStr">
        <is>
          <t>Plans isométriques - Repérage pièces</t>
        </is>
      </c>
      <c r="C7" t="inlineStr">
        <is>
          <t>Plans isométriques</t>
        </is>
      </c>
      <c r="D7">
        <f>IFERROR(INDEX('Actions - Liste des livrables'!$I$11:$I$46,MATCH(B7,'Actions - Liste des livrables'!$M$11:$M$46,0)),"")</f>
        <v/>
      </c>
      <c r="E7">
        <f>IFERROR(IF(D7="x",INDEX('Heures BE'!$B$2:$B$18,MATCH(C7,'Heures BE'!$A$2:$A$18,0)),0),0)</f>
        <v/>
      </c>
    </row>
    <row r="8">
      <c r="B8" t="inlineStr">
        <is>
          <t>Plans isométriques - Repérage soudures</t>
        </is>
      </c>
      <c r="C8" t="inlineStr">
        <is>
          <t>Plans isométriques</t>
        </is>
      </c>
      <c r="D8">
        <f>IFERROR(INDEX('Actions - Liste des livrables'!$I$11:$I$46,MATCH(B8,'Actions - Liste des livrables'!$M$11:$M$46,0)),"")</f>
        <v/>
      </c>
      <c r="E8">
        <f>IFERROR(IF(D8="x",INDEX('Heures BE'!$B$2:$B$18,MATCH(C8,'Heures BE'!$A$2:$A$18,0)),0),0)</f>
        <v/>
      </c>
    </row>
    <row r="9">
      <c r="B9" t="inlineStr">
        <is>
          <t>Plans isométriques - Repérage brides et appareils</t>
        </is>
      </c>
      <c r="C9" t="inlineStr">
        <is>
          <t>Plans isométriques</t>
        </is>
      </c>
      <c r="D9">
        <f>IFERROR(INDEX('Actions - Liste des livrables'!$I$11:$I$46,MATCH(B9,'Actions - Liste des livrables'!$M$11:$M$46,0)),"")</f>
        <v/>
      </c>
      <c r="E9">
        <f>IFERROR(IF(D9="x",INDEX('Heures BE'!$B$2:$B$18,MATCH(C9,'Heures BE'!$A$2:$A$18,0)),0),0)</f>
        <v/>
      </c>
    </row>
    <row r="10">
      <c r="B10" t="inlineStr">
        <is>
          <t>Tableau de débits</t>
        </is>
      </c>
      <c r="C10" t="inlineStr">
        <is>
          <t>Tableau de débits</t>
        </is>
      </c>
      <c r="D10">
        <f>IFERROR(INDEX('Actions - Liste des livrables'!$I$11:$I$46,MATCH(B10,'Actions - Liste des livrables'!$M$11:$M$46,0)),"")</f>
        <v/>
      </c>
      <c r="E10">
        <f>IFERROR(IF(D10="x",INDEX('Heures BE'!$B$2:$B$18,MATCH(C10,'Heures BE'!$A$2:$A$18,0)),0),0)</f>
        <v/>
      </c>
    </row>
    <row r="11">
      <c r="B11" t="inlineStr">
        <is>
          <t>Plans GC</t>
        </is>
      </c>
      <c r="C11" t="inlineStr">
        <is>
          <t>Plans GC</t>
        </is>
      </c>
      <c r="D11">
        <f>IFERROR(INDEX('Actions - Liste des livrables'!$I$11:$I$46,MATCH(B11,'Actions - Liste des livrables'!$M$11:$M$46,0)),"")</f>
        <v/>
      </c>
      <c r="E11">
        <f>IFERROR(IF(D11="x",INDEX('Heures BE'!$B$2:$B$18,MATCH(C11,'Heures BE'!$A$2:$A$18,0)),0),0)</f>
        <v/>
      </c>
    </row>
    <row r="12">
      <c r="B12" t="inlineStr">
        <is>
          <t>Plans de manchettes délardées</t>
        </is>
      </c>
      <c r="C12" t="inlineStr">
        <is>
          <t>Plans de manchettes délardées</t>
        </is>
      </c>
      <c r="D12">
        <f>IFERROR(INDEX('Actions - Liste des livrables'!$I$11:$I$46,MATCH(B12,'Actions - Liste des livrables'!$M$11:$M$46,0)),"")</f>
        <v/>
      </c>
      <c r="E12">
        <f>IFERROR(IF(D12="x",INDEX('Heures BE'!$B$2:$B$18,MATCH(C12,'Heures BE'!$A$2:$A$18,0)),0),0)</f>
        <v/>
      </c>
    </row>
    <row r="13">
      <c r="B13" t="inlineStr">
        <is>
          <t>Plans de montage d'épreuve/séchage</t>
        </is>
      </c>
      <c r="C13" t="inlineStr">
        <is>
          <t>Plans de montage d'épreuve/séchage</t>
        </is>
      </c>
      <c r="D13">
        <f>IFERROR(INDEX('Actions - Liste des livrables'!$I$11:$I$46,MATCH(B13,'Actions - Liste des livrables'!$M$11:$M$46,0)),"")</f>
        <v/>
      </c>
      <c r="E13">
        <f>IFERROR(IF(D13="x",INDEX('Heures BE'!$B$2:$B$18,MATCH(C13,'Heures BE'!$A$2:$A$18,0)),0),0)</f>
        <v/>
      </c>
    </row>
    <row r="14">
      <c r="B14" t="inlineStr">
        <is>
          <t>Plans de sertissage</t>
        </is>
      </c>
      <c r="C14" t="inlineStr">
        <is>
          <t>Plans de sertissage</t>
        </is>
      </c>
      <c r="D14">
        <f>IFERROR(INDEX('Actions - Liste des livrables'!$I$11:$I$46,MATCH(B14,'Actions - Liste des livrables'!$M$11:$M$46,0)),"")</f>
        <v/>
      </c>
      <c r="E14">
        <f>IFERROR(IF(D14="x",INDEX('Heures BE'!$B$2:$B$18,MATCH(C14,'Heures BE'!$A$2:$A$18,0)),0),0)</f>
        <v/>
      </c>
    </row>
    <row r="15">
      <c r="B15" t="inlineStr">
        <is>
          <t>Plans Levage</t>
        </is>
      </c>
      <c r="C15" t="inlineStr">
        <is>
          <t>Plans Levage</t>
        </is>
      </c>
      <c r="D15">
        <f>IFERROR(INDEX('Actions - Liste des livrables'!$I$11:$I$46,MATCH(B15,'Actions - Liste des livrables'!$M$11:$M$46,0)),"")</f>
        <v/>
      </c>
      <c r="E15">
        <f>IFERROR(IF(D15="x",INDEX('Heures BE'!$B$2:$B$18,MATCH(C15,'Heures BE'!$A$2:$A$18,0)),0),0)</f>
        <v/>
      </c>
    </row>
    <row r="16">
      <c r="B16" t="inlineStr">
        <is>
          <t>Plans enrobage / Peinture</t>
        </is>
      </c>
      <c r="C16" t="inlineStr">
        <is>
          <t>Plans enrobage / Peinture</t>
        </is>
      </c>
      <c r="D16">
        <f>IFERROR(INDEX('Actions - Liste des livrables'!$I$11:$I$46,MATCH(B16,'Actions - Liste des livrables'!$M$11:$M$46,0)),"")</f>
        <v/>
      </c>
      <c r="E16">
        <f>IFERROR(IF(D16="x",INDEX('Heures BE'!$B$2:$B$18,MATCH(C16,'Heures BE'!$A$2:$A$18,0)),0),0)</f>
        <v/>
      </c>
    </row>
    <row r="17">
      <c r="B17" t="inlineStr">
        <is>
          <t xml:space="preserve">GDER TUT </t>
        </is>
      </c>
      <c r="C17" t="inlineStr">
        <is>
          <t xml:space="preserve">GDER </t>
        </is>
      </c>
      <c r="D17">
        <f>IFERROR(INDEX('Actions - Liste des livrables'!$I$11:$I$46,MATCH(B17,'Actions - Liste des livrables'!$M$11:$M$46,0)),"")</f>
        <v/>
      </c>
      <c r="E17">
        <f>IFERROR(IF(D17="x",INDEX('Heures BE'!$B$2:$B$18,MATCH(C17,'Heures BE'!$A$2:$A$18,0)),0),0)</f>
        <v/>
      </c>
    </row>
    <row r="18">
      <c r="B18" t="inlineStr">
        <is>
          <t>GDER GCT</t>
        </is>
      </c>
      <c r="C18" t="inlineStr">
        <is>
          <t xml:space="preserve">GDER </t>
        </is>
      </c>
      <c r="D18">
        <f>IFERROR(INDEX('Actions - Liste des livrables'!$I$11:$I$46,MATCH(B18,'Actions - Liste des livrables'!$M$11:$M$46,0)),"")</f>
        <v/>
      </c>
      <c r="E18">
        <f>IFERROR(IF(D18="x",INDEX('Heures BE'!$B$2:$B$18,MATCH(C18,'Heures BE'!$A$2:$A$18,0)),0),0)</f>
        <v/>
      </c>
    </row>
    <row r="19">
      <c r="B19" t="inlineStr">
        <is>
          <t>GDER DREAL</t>
        </is>
      </c>
      <c r="C19" t="inlineStr">
        <is>
          <t xml:space="preserve">GDER </t>
        </is>
      </c>
      <c r="D19">
        <f>IFERROR(INDEX('Actions - Liste des livrables'!$I$11:$I$46,MATCH(B19,'Actions - Liste des livrables'!$M$11:$M$46,0)),"")</f>
        <v/>
      </c>
      <c r="E19">
        <f>IFERROR(IF(D19="x",INDEX('Heures BE'!$B$2:$B$18,MATCH(C19,'Heures BE'!$A$2:$A$18,0)),0),0)</f>
        <v/>
      </c>
    </row>
    <row r="20">
      <c r="B20" t="inlineStr">
        <is>
          <t>Cahier de soudage avec validation pré-soudage</t>
        </is>
      </c>
      <c r="C20" t="inlineStr">
        <is>
          <t>Cahier de soudage avec validation pré-soudage</t>
        </is>
      </c>
      <c r="D20">
        <f>IFERROR(INDEX('Actions - Liste des livrables'!$I$11:$I$46,MATCH(B20,'Actions - Liste des livrables'!$M$11:$M$46,0)),"")</f>
        <v/>
      </c>
      <c r="E20">
        <f>IFERROR(IF(D20="x",INDEX('Heures BE'!$B$2:$B$18,MATCH(C20,'Heures BE'!$A$2:$A$18,0)),0),0)</f>
        <v/>
      </c>
    </row>
    <row r="21">
      <c r="B21" t="inlineStr">
        <is>
          <t>Dossier d'épreuve selon A.M du 05/03/2014</t>
        </is>
      </c>
      <c r="C21" t="inlineStr">
        <is>
          <t>Dossier d'épreuve selon A.M du 05/03/2014</t>
        </is>
      </c>
      <c r="D21">
        <f>IFERROR(INDEX('Actions - Liste des livrables'!$I$11:$I$46,MATCH(B21,'Actions - Liste des livrables'!$M$11:$M$46,0)),"")</f>
        <v/>
      </c>
      <c r="E21">
        <f>IFERROR(IF(D21="x",INDEX('Heures BE'!$B$2:$B$18,MATCH(C21,'Heures BE'!$A$2:$A$18,0)),0),0)</f>
        <v/>
      </c>
    </row>
    <row r="22">
      <c r="B22" t="inlineStr">
        <is>
          <t>Dossier de Fabrication selon Art.4.3</t>
        </is>
      </c>
      <c r="C22" t="inlineStr">
        <is>
          <t>Dossier de Fabrication selon Art.4.3</t>
        </is>
      </c>
      <c r="D22">
        <f>IFERROR(INDEX('Actions - Liste des livrables'!$I$11:$I$46,MATCH(B22,'Actions - Liste des livrables'!$M$11:$M$46,0)),"")</f>
        <v/>
      </c>
      <c r="E22">
        <f>IFERROR(IF(D22="x",INDEX('Heures BE'!$B$2:$B$18,MATCH(C22,'Heures BE'!$A$2:$A$18,0)),0),0)</f>
        <v/>
      </c>
    </row>
    <row r="23">
      <c r="B23" t="inlineStr">
        <is>
          <t>Relevé Epaisseur Manchette délardée</t>
        </is>
      </c>
      <c r="C23" t="inlineStr">
        <is>
          <t>Relevé Epaisseur Manchette délardée</t>
        </is>
      </c>
      <c r="D23">
        <f>IFERROR(INDEX('Actions - Liste des livrables'!$I$11:$I$46,MATCH(B23,'Actions - Liste des livrables'!$M$11:$M$46,0)),"")</f>
        <v/>
      </c>
      <c r="E23">
        <f>IFERROR(IF(D23="x",INDEX('Heures BE'!$B$2:$B$18,MATCH(C23,'Heures BE'!$A$2:$A$18,0)),0),0)</f>
        <v/>
      </c>
    </row>
    <row r="24">
      <c r="B24" t="inlineStr">
        <is>
          <t>PV Relevés paramètres de soudage</t>
        </is>
      </c>
      <c r="C24" t="inlineStr">
        <is>
          <t>PV Relevés paramètres de soudage</t>
        </is>
      </c>
      <c r="D24">
        <f>IFERROR(INDEX('Actions - Liste des livrables'!$I$11:$I$46,MATCH(B24,'Actions - Liste des livrables'!$M$11:$M$46,0)),"")</f>
        <v/>
      </c>
      <c r="E24">
        <f>IFERROR(IF(D24="x",INDEX('Heures BE'!$B$2:$B$18,MATCH(C24,'Heures BE'!$A$2:$A$18,0)),0),0)</f>
        <v/>
      </c>
    </row>
    <row r="25">
      <c r="B25" t="inlineStr">
        <is>
          <t>Carnet de soudures</t>
        </is>
      </c>
      <c r="C25" t="inlineStr">
        <is>
          <t>A PRECISER (absent de Heures BE)</t>
        </is>
      </c>
      <c r="D25">
        <f>IFERROR(INDEX('Actions - Liste des livrables'!$I$11:$I$46,MATCH(B25,'Actions - Liste des livrables'!$M$11:$M$46,0)),"")</f>
        <v/>
      </c>
      <c r="E25">
        <f>IFERROR(IF(D25="x",INDEX('Heures BE'!$B$2:$B$18,MATCH(C25,'Heures BE'!$A$2:$A$18,0)),0),0)</f>
        <v/>
      </c>
    </row>
    <row r="26">
      <c r="B26" t="inlineStr">
        <is>
          <t>Dossier de fin d'affaire</t>
        </is>
      </c>
      <c r="C26" t="inlineStr">
        <is>
          <t>Dossier de fin d'affaire</t>
        </is>
      </c>
      <c r="D26">
        <f>IFERROR(INDEX('Actions - Liste des livrables'!$I$11:$I$46,MATCH(B26,'Actions - Liste des livrables'!$M$11:$M$46,0)),"")</f>
        <v/>
      </c>
      <c r="E26">
        <f>IFERROR(IF(D26="x",INDEX('Heures BE'!$B$2:$B$18,MATCH(C26,'Heures BE'!$A$2:$A$18,0)),0),0)</f>
        <v/>
      </c>
    </row>
    <row r="28">
      <c r="B28" s="317" t="inlineStr">
        <is>
          <t>TOTAL auto (selon coches) - a comparer avec Heures BE!B20</t>
        </is>
      </c>
      <c r="E28" s="318">
        <f>SUM(E5:E26)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Amélie GICQUEAU</dc:creator>
  <dcterms:created xsi:type="dcterms:W3CDTF">2018-08-31T06:37:30Z</dcterms:created>
  <dcterms:modified xsi:type="dcterms:W3CDTF">2026-07-01T08:23:51Z</dcterms:modified>
  <cp:lastModifiedBy>Gabin LEBALLAIS</cp:lastModifiedBy>
  <cp:lastPrinted>2020-04-02T10:39:37Z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0x010100B28A07F7DC2A9E498481B3D8C8DA7653</vt:lpwstr>
  </property>
  <property name="MediaServiceImageTags" fmtid="{D5CDD505-2E9C-101B-9397-08002B2CF9AE}" pid="3">
    <vt:lpwstr/>
  </property>
</Properties>
</file>