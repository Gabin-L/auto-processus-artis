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tisgroupe.sharepoint.com/teams/2026-AF073-CintreDN300BettancourtIngrid/Documents partages/General/01 - Etudes/1.4 - Tableau de débit/"/>
    </mc:Choice>
  </mc:AlternateContent>
  <xr:revisionPtr revIDLastSave="451" documentId="13_ncr:1_{2FBC502F-EEEF-455B-8B3A-82F773DEAD2A}" xr6:coauthVersionLast="47" xr6:coauthVersionMax="47" xr10:uidLastSave="{9E23452F-2776-4940-B5BA-66D99E14E47D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Print_Area" localSheetId="0">Feuil1!$A$1:$I$113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4" i="1" s="1"/>
  <c r="F6" i="1" a="1"/>
  <c r="F6" i="1" s="1"/>
  <c r="G11" i="1"/>
  <c r="G12" i="1" l="1"/>
  <c r="G13" i="1"/>
  <c r="G14" i="1"/>
  <c r="G15" i="1"/>
  <c r="G16" i="1"/>
  <c r="G17" i="1"/>
  <c r="G18" i="1"/>
  <c r="G19" i="1"/>
  <c r="B58" i="1" l="1"/>
  <c r="B57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O8" i="1" l="1"/>
  <c r="P8" i="1" s="1"/>
  <c r="O9" i="1"/>
  <c r="P9" i="1" s="1"/>
  <c r="O10" i="1"/>
  <c r="O11" i="1"/>
  <c r="O12" i="1"/>
  <c r="P12" i="1" s="1"/>
  <c r="O13" i="1"/>
  <c r="P13" i="1" s="1"/>
  <c r="O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7" i="1"/>
  <c r="P7" i="1" s="1"/>
  <c r="P11" i="1" l="1"/>
  <c r="P14" i="1"/>
  <c r="P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<sst xmlns="http://schemas.openxmlformats.org/spreadsheetml/2006/main" count="91" uniqueCount="74">
  <si>
    <r>
      <t>Tableau de sortie de tube</t>
    </r>
    <r>
      <rPr>
        <b/>
        <sz val="11"/>
        <color theme="1"/>
        <rFont val="Tahoma"/>
        <family val="2"/>
      </rPr>
      <t> :</t>
    </r>
  </si>
  <si>
    <t>DN</t>
  </si>
  <si>
    <t>EP.</t>
  </si>
  <si>
    <t>NU / PE</t>
  </si>
  <si>
    <t>COULEE</t>
  </si>
  <si>
    <t>SIGNATURE</t>
  </si>
  <si>
    <t>FS</t>
  </si>
  <si>
    <t>Ep.</t>
  </si>
  <si>
    <t>Rev</t>
  </si>
  <si>
    <t>LG</t>
  </si>
  <si>
    <t>NUMERO</t>
  </si>
  <si>
    <t>VERIF COTE</t>
  </si>
  <si>
    <t>DOMAINE D'APPLICATION</t>
  </si>
  <si>
    <t>NATURE</t>
  </si>
  <si>
    <t>N° D'ORDRE</t>
  </si>
  <si>
    <t>VERSION</t>
  </si>
  <si>
    <t>NB DE PAGES</t>
  </si>
  <si>
    <t>01</t>
  </si>
  <si>
    <t>v0</t>
  </si>
  <si>
    <t>1 sur 1</t>
  </si>
  <si>
    <t>NU</t>
  </si>
  <si>
    <t>Percage :</t>
  </si>
  <si>
    <t xml:space="preserve">Oui </t>
  </si>
  <si>
    <t>Non</t>
  </si>
  <si>
    <t xml:space="preserve">Référence du plan pour le traçage : </t>
  </si>
  <si>
    <t xml:space="preserve">Nombre de percage à tracer : </t>
  </si>
  <si>
    <t>Piquage</t>
  </si>
  <si>
    <t xml:space="preserve">Tube Projet : </t>
  </si>
  <si>
    <t>PE</t>
  </si>
  <si>
    <t>N° TUBE</t>
  </si>
  <si>
    <t>N° COULEE</t>
  </si>
  <si>
    <t>LONGUEUR</t>
  </si>
  <si>
    <t>Commentaires / Observations</t>
  </si>
  <si>
    <t>Tableau de débit :</t>
  </si>
  <si>
    <t xml:space="preserve">
Tableau de débit :</t>
  </si>
  <si>
    <t>REP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</si>
  <si>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</si>
  <si>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</si>
  <si>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</si>
  <si>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</si>
  <si>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</si>
  <si>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</si>
  <si>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</si>
  <si>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</si>
  <si>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</si>
  <si>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</si>
  <si>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</si>
  <si>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</si>
  <si>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</si>
  <si>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</si>
  <si>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</si>
  <si>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</si>
  <si>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</si>
  <si>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A</t>
  </si>
  <si>
    <t>Projet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</si>
  <si>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</si>
  <si>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</si>
  <si>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</si>
  <si>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</si>
  <si>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</si>
  <si>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</si>
  <si>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</si>
  <si>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</si>
  <si>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</si>
  <si>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</si>
  <si>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</si>
  <si>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</si>
  <si>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</si>
  <si>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</si>
  <si>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</si>
  <si>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TABLEAU DE DÉBITS</t>
  </si>
  <si>
    <t>AH</t>
  </si>
  <si>
    <t>AJ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</si>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</sst>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20"/>
      <color theme="1"/>
      <name val="Tahoma"/>
      <family val="2"/>
    </font>
    <font>
      <b/>
      <u/>
      <sz val="11"/>
      <color theme="1"/>
      <name val="Tahoma"/>
      <family val="2"/>
    </font>
    <font>
      <b/>
      <sz val="7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i/>
      <sz val="9"/>
      <color theme="1"/>
      <name val="Tahoma"/>
      <family val="2"/>
    </font>
    <font>
      <b/>
      <sz val="14"/>
      <color theme="0"/>
      <name val="Tahoma"/>
      <family val="2"/>
    </font>
    <font>
      <sz val="16"/>
      <name val="Tahoma"/>
      <family val="2"/>
    </font>
    <font>
      <sz val="12"/>
      <color theme="0"/>
      <name val="Tahoma"/>
      <family val="2"/>
    </font>
    <font>
      <sz val="1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1"/>
      <color theme="0"/>
      <name val="Tahoma"/>
      <family val="2"/>
    </font>
    <font>
      <sz val="6"/>
      <color theme="0"/>
      <name val="Tahoma"/>
      <family val="2"/>
    </font>
    <font>
      <b/>
      <sz val="11"/>
      <color theme="1"/>
      <name val="Calibri"/>
      <family val="2"/>
      <scheme val="minor"/>
    </font>
    <font>
      <sz val="7"/>
      <color theme="1"/>
      <name val="Tahoma"/>
      <family val="2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00305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DotDot">
        <color theme="0"/>
      </right>
      <top style="medium">
        <color indexed="64"/>
      </top>
      <bottom style="thin">
        <color indexed="64"/>
      </bottom>
      <diagonal/>
    </border>
    <border>
      <left style="dashDotDot">
        <color theme="0"/>
      </left>
      <right style="dashDotDot">
        <color theme="0"/>
      </right>
      <top style="medium">
        <color indexed="64"/>
      </top>
      <bottom style="thin">
        <color indexed="64"/>
      </bottom>
      <diagonal/>
    </border>
    <border>
      <left style="dashDotDot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dashDotDot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DotDot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0" fillId="0" borderId="1" xfId="0" applyBorder="1"/>
    <xf numFmtId="0" fontId="0" fillId="0" borderId="29" xfId="0" applyBorder="1"/>
    <xf numFmtId="164" fontId="0" fillId="0" borderId="1" xfId="0" applyNumberFormat="1" applyBorder="1"/>
    <xf numFmtId="0" fontId="11" fillId="0" borderId="6" xfId="0" applyFont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0" fillId="0" borderId="0" xfId="0" applyFont="1"/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center" vertical="center"/>
      <protection locked="0"/>
    </xf>
    <xf numFmtId="0" fontId="11" fillId="0" borderId="27" xfId="0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11" fillId="0" borderId="24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" xfId="0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8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4" fillId="3" borderId="2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133350</xdr:rowOff>
    </xdr:from>
    <xdr:to>
      <xdr:col>9</xdr:col>
      <xdr:colOff>171450</xdr:colOff>
      <xdr:row>0</xdr:row>
      <xdr:rowOff>313083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95950" y="133350"/>
          <a:ext cx="1095375" cy="179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900" b="1" i="1">
              <a:solidFill>
                <a:sysClr val="windowText" lastClr="000000"/>
              </a:solidFill>
            </a:rPr>
            <a:t>FO_PRF_09_v1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"/>
  <sheetViews>
    <sheetView tabSelected="1" zoomScaleNormal="100" workbookViewId="0">
      <selection activeCell="F6" sqref="F6:I6"/>
    </sheetView>
  </sheetViews>
  <sheetFormatPr baseColWidth="10" defaultColWidth="14.85546875" defaultRowHeight="15"/>
  <cols>
    <col min="1" max="3" width="14.85546875" style="3"/>
    <col min="4" max="4" width="14.85546875" style="35"/>
    <col min="5" max="5" width="14.85546875" style="3"/>
    <col min="6" max="6" width="15.140625" style="3" bestFit="1" customWidth="1"/>
    <col min="7" max="9" width="14.85546875" style="3"/>
  </cols>
  <sheetData>
    <row r="1" spans="1:19" ht="25.5">
      <c r="A1" s="44"/>
      <c r="B1" s="44"/>
      <c r="C1" s="44"/>
      <c r="D1" s="44"/>
      <c r="E1" s="44"/>
      <c r="F1" s="44"/>
      <c r="G1" s="44"/>
      <c r="H1" s="44"/>
      <c r="I1" s="44"/>
    </row>
    <row r="2" spans="1:19" ht="25.5">
      <c r="A2" s="4"/>
      <c r="B2" s="36"/>
      <c r="C2" s="4"/>
      <c r="D2" s="45" t="s">
        <v>70</v>
      </c>
      <c r="E2" s="45"/>
      <c r="F2" s="45"/>
      <c r="G2" s="45"/>
      <c r="H2" s="45"/>
      <c r="I2" s="45"/>
    </row>
    <row r="3" spans="1:19" ht="25.5">
      <c r="A3" s="4"/>
      <c r="B3" s="4"/>
      <c r="C3" s="4"/>
      <c r="D3" s="47" t="s">
        <v>12</v>
      </c>
      <c r="E3" s="47"/>
      <c r="F3" s="6" t="s">
        <v>13</v>
      </c>
      <c r="G3" s="6" t="s">
        <v>14</v>
      </c>
      <c r="H3" s="7" t="s">
        <v>15</v>
      </c>
      <c r="I3" s="8" t="s">
        <v>16</v>
      </c>
    </row>
    <row r="4" spans="1:19" ht="63.75" customHeight="1">
      <c r="A4" s="4"/>
      <c r="B4" s="4"/>
      <c r="C4" s="4"/>
      <c r="D4" s="46" t="str" cm="1">
        <f t="array" aca="1" ref="D4" ca="1">_xlfn.LET(
  _xlpm.nom,MID(CELL("filename"),FIND("[",CELL("filename"))+1,FIND("]",CELL("filename"))-FIND("[",CELL("filename"))-6),
  LEFT(_xlpm.nom,FIND("-",_xlpm.nom,FIND("-",_xlpm.nom)+1)-1)
)</f>
        <v>2026-AF073</v>
      </c>
      <c r="E4" s="46"/>
      <c r="F4" s="21"/>
      <c r="G4" s="22" t="s">
        <v>17</v>
      </c>
      <c r="H4" s="23" t="s">
        <v>18</v>
      </c>
      <c r="I4" s="5" t="s">
        <v>19</v>
      </c>
    </row>
    <row r="5" spans="1:19" ht="25.5">
      <c r="A5" s="4"/>
      <c r="B5" s="4"/>
      <c r="C5" s="4"/>
      <c r="D5" s="9"/>
      <c r="E5" s="9"/>
      <c r="F5" s="9"/>
      <c r="G5" s="10"/>
      <c r="H5" s="11"/>
      <c r="I5" s="12"/>
    </row>
    <row r="6" spans="1:19" ht="93" customHeight="1">
      <c r="A6" s="4"/>
      <c r="B6" s="4"/>
      <c r="C6"/>
      <c r="D6" s="54" t="s">
        <v>54</v>
      </c>
      <c r="E6" s="54"/>
      <c r="F6" s="72" t="str" cm="1">
        <f t="array" aca="1" ref="F6" ca="1">_xlfn.LET(
  _xlpm.chemin,CELL("filename"),
  _xlpm.equipe,MID(_xlpm.chemin,FIND("/teams/",_xlpm.chemin)+7,FIND("/",_xlpm.chemin,FIND("/teams/",_xlpm.chemin)+8)-FIND("/teams/",_xlpm.chemin)-7),
  _xlpm.nom,SUBSTITUTE(SUBSTITUTE(_xlpm.equipe," ","_"),"%20","_"),
  MID(_xlpm.nom,FIND("-",_xlpm.nom,FIND("-AF",_xlpm.nom)+3)+1,LEN(_xlpm.nom))
)</f>
        <v>CintreDN300BettancourtIngrid</v>
      </c>
      <c r="G6" s="73"/>
      <c r="H6" s="73"/>
      <c r="I6" s="74"/>
    </row>
    <row r="7" spans="1:19">
      <c r="A7" s="60" t="s">
        <v>27</v>
      </c>
      <c r="B7" s="60"/>
      <c r="C7" s="60"/>
      <c r="D7" s="27" t="s">
        <v>23</v>
      </c>
      <c r="E7"/>
      <c r="F7"/>
      <c r="G7"/>
      <c r="H7"/>
      <c r="I7"/>
      <c r="M7" s="29" t="s">
        <v>20</v>
      </c>
      <c r="N7" s="28">
        <v>1</v>
      </c>
      <c r="O7" s="28" t="str">
        <f>+IF(S7=0,"",N7)</f>
        <v/>
      </c>
      <c r="P7" s="28" t="str">
        <f t="shared" ref="P7:P20" si="0">IF(O7="","",RANK(O7,$O$7:$O$20,1))</f>
        <v/>
      </c>
      <c r="Q7" s="28">
        <v>15</v>
      </c>
      <c r="R7" s="28">
        <v>4.9000000000000004</v>
      </c>
      <c r="S7" s="28"/>
    </row>
    <row r="8" spans="1:19">
      <c r="A8" s="1" t="s">
        <v>0</v>
      </c>
      <c r="B8"/>
      <c r="C8"/>
      <c r="D8" s="34"/>
      <c r="E8"/>
      <c r="F8"/>
      <c r="G8"/>
      <c r="H8"/>
      <c r="I8"/>
      <c r="M8" s="29" t="s">
        <v>28</v>
      </c>
      <c r="N8" s="28">
        <v>2</v>
      </c>
      <c r="O8" s="28" t="str">
        <f t="shared" ref="O8:O13" si="1">+IF(S8=0,"",N8)</f>
        <v/>
      </c>
      <c r="P8" s="28" t="str">
        <f t="shared" si="0"/>
        <v/>
      </c>
      <c r="Q8" s="28">
        <v>25</v>
      </c>
      <c r="R8" s="28">
        <v>4.5</v>
      </c>
      <c r="S8" s="28"/>
    </row>
    <row r="9" spans="1:19" ht="15.75" thickBot="1">
      <c r="A9" s="1"/>
      <c r="B9"/>
      <c r="C9"/>
      <c r="D9" s="34"/>
      <c r="E9"/>
      <c r="F9"/>
      <c r="G9"/>
      <c r="H9"/>
      <c r="I9"/>
      <c r="M9" s="29"/>
      <c r="N9" s="28">
        <v>3</v>
      </c>
      <c r="O9" s="28" t="str">
        <f t="shared" si="1"/>
        <v/>
      </c>
      <c r="P9" s="28" t="str">
        <f t="shared" si="0"/>
        <v/>
      </c>
      <c r="Q9" s="28">
        <v>65</v>
      </c>
      <c r="R9" s="28">
        <v>5.6</v>
      </c>
      <c r="S9" s="28"/>
    </row>
    <row r="10" spans="1:19" ht="15.75" thickBot="1">
      <c r="A10" s="14" t="s">
        <v>1</v>
      </c>
      <c r="B10" s="15" t="s">
        <v>2</v>
      </c>
      <c r="C10" s="15" t="s">
        <v>3</v>
      </c>
      <c r="D10" s="48" t="s">
        <v>30</v>
      </c>
      <c r="E10" s="49"/>
      <c r="F10" s="14" t="s">
        <v>29</v>
      </c>
      <c r="G10" s="15" t="s">
        <v>31</v>
      </c>
      <c r="H10" s="48" t="s">
        <v>5</v>
      </c>
      <c r="I10" s="61"/>
      <c r="M10" s="29" t="s">
        <v>22</v>
      </c>
      <c r="N10" s="28">
        <v>4</v>
      </c>
      <c r="O10" s="28">
        <f t="shared" si="1"/>
        <v>4</v>
      </c>
      <c r="P10" s="28">
        <f t="shared" si="0"/>
        <v>1</v>
      </c>
      <c r="Q10" s="28">
        <v>80</v>
      </c>
      <c r="R10" s="28">
        <v>5.6</v>
      </c>
      <c r="S10" s="28">
        <v>5</v>
      </c>
    </row>
    <row r="11" spans="1:19">
      <c r="A11" s="16"/>
      <c r="B11" s="13"/>
      <c r="C11" s="13"/>
      <c r="D11" s="55"/>
      <c r="E11" s="56"/>
      <c r="F11" s="13"/>
      <c r="G11" s="13">
        <f>+SUMIF($G$32:$G$261,F11,$E$32:$E$261)</f>
        <v>0</v>
      </c>
      <c r="H11" s="55"/>
      <c r="I11" s="62"/>
      <c r="M11" s="29" t="s">
        <v>23</v>
      </c>
      <c r="N11" s="28">
        <v>5</v>
      </c>
      <c r="O11" s="28">
        <f t="shared" si="1"/>
        <v>5</v>
      </c>
      <c r="P11" s="28">
        <f t="shared" si="0"/>
        <v>2</v>
      </c>
      <c r="Q11" s="28">
        <v>100</v>
      </c>
      <c r="R11" s="28">
        <v>5.6</v>
      </c>
      <c r="S11" s="28">
        <v>5</v>
      </c>
    </row>
    <row r="12" spans="1:19">
      <c r="A12" s="16"/>
      <c r="B12" s="13"/>
      <c r="C12" s="13"/>
      <c r="D12" s="42"/>
      <c r="E12" s="43"/>
      <c r="F12" s="13"/>
      <c r="G12" s="13">
        <f t="shared" ref="G12:G19" si="2">+SUMIF($G$32:$G$261,F12,$E$32:$E$261)</f>
        <v>0</v>
      </c>
      <c r="H12" s="42"/>
      <c r="I12" s="57"/>
      <c r="N12" s="28">
        <v>6</v>
      </c>
      <c r="O12" s="28" t="str">
        <f t="shared" si="1"/>
        <v/>
      </c>
      <c r="P12" s="28" t="str">
        <f t="shared" si="0"/>
        <v/>
      </c>
      <c r="Q12" s="28">
        <v>150</v>
      </c>
      <c r="R12" s="28">
        <v>7.1</v>
      </c>
      <c r="S12" s="28"/>
    </row>
    <row r="13" spans="1:19">
      <c r="A13" s="16"/>
      <c r="B13" s="13"/>
      <c r="C13" s="13"/>
      <c r="D13" s="42"/>
      <c r="E13" s="43"/>
      <c r="F13" s="25"/>
      <c r="G13" s="13">
        <f t="shared" si="2"/>
        <v>0</v>
      </c>
      <c r="H13" s="42"/>
      <c r="I13" s="57" t="s">
        <v>6</v>
      </c>
      <c r="N13" s="28">
        <v>7</v>
      </c>
      <c r="O13" s="28" t="str">
        <f t="shared" si="1"/>
        <v/>
      </c>
      <c r="P13" s="28" t="str">
        <f t="shared" si="0"/>
        <v/>
      </c>
      <c r="Q13" s="28">
        <v>200</v>
      </c>
      <c r="R13" s="28">
        <v>8.8000000000000007</v>
      </c>
      <c r="S13" s="28"/>
    </row>
    <row r="14" spans="1:19">
      <c r="A14" s="16"/>
      <c r="B14" s="13"/>
      <c r="C14" s="13"/>
      <c r="D14" s="42"/>
      <c r="E14" s="43"/>
      <c r="F14" s="25"/>
      <c r="G14" s="13">
        <f t="shared" si="2"/>
        <v>0</v>
      </c>
      <c r="H14" s="42"/>
      <c r="I14" s="57" t="s">
        <v>6</v>
      </c>
      <c r="N14" s="28">
        <v>9</v>
      </c>
      <c r="O14" s="28">
        <f t="shared" ref="O14:O20" si="3">+IF(S14=0,"",N14)</f>
        <v>9</v>
      </c>
      <c r="P14" s="28">
        <f t="shared" si="0"/>
        <v>3</v>
      </c>
      <c r="Q14" s="28">
        <v>300</v>
      </c>
      <c r="R14" s="30">
        <v>10</v>
      </c>
      <c r="S14" s="28">
        <v>6</v>
      </c>
    </row>
    <row r="15" spans="1:19">
      <c r="A15" s="16"/>
      <c r="B15" s="13"/>
      <c r="C15" s="13"/>
      <c r="D15" s="42"/>
      <c r="E15" s="43"/>
      <c r="F15" s="25"/>
      <c r="G15" s="13">
        <f t="shared" si="2"/>
        <v>0</v>
      </c>
      <c r="H15" s="42"/>
      <c r="I15" s="57" t="s">
        <v>6</v>
      </c>
      <c r="N15" s="28">
        <v>10</v>
      </c>
      <c r="O15" s="28" t="str">
        <f t="shared" si="3"/>
        <v/>
      </c>
      <c r="P15" s="28" t="str">
        <f t="shared" si="0"/>
        <v/>
      </c>
      <c r="Q15" s="28">
        <v>350</v>
      </c>
      <c r="R15" s="30">
        <v>11</v>
      </c>
      <c r="S15" s="28"/>
    </row>
    <row r="16" spans="1:19">
      <c r="A16" s="16"/>
      <c r="B16" s="13"/>
      <c r="C16" s="13"/>
      <c r="D16" s="42"/>
      <c r="E16" s="43"/>
      <c r="F16" s="25"/>
      <c r="G16" s="13">
        <f t="shared" si="2"/>
        <v>0</v>
      </c>
      <c r="H16" s="42"/>
      <c r="I16" s="57" t="s">
        <v>6</v>
      </c>
      <c r="N16" s="28">
        <v>11</v>
      </c>
      <c r="O16" s="28" t="str">
        <f t="shared" si="3"/>
        <v/>
      </c>
      <c r="P16" s="28" t="str">
        <f t="shared" si="0"/>
        <v/>
      </c>
      <c r="Q16" s="28">
        <v>400</v>
      </c>
      <c r="R16" s="28">
        <v>12.5</v>
      </c>
      <c r="S16" s="28"/>
    </row>
    <row r="17" spans="1:19">
      <c r="A17" s="16"/>
      <c r="B17" s="13"/>
      <c r="C17" s="13"/>
      <c r="D17" s="42"/>
      <c r="E17" s="43"/>
      <c r="F17" s="25"/>
      <c r="G17" s="13">
        <f t="shared" si="2"/>
        <v>0</v>
      </c>
      <c r="H17" s="42"/>
      <c r="I17" s="57" t="s">
        <v>6</v>
      </c>
      <c r="N17" s="28">
        <v>12</v>
      </c>
      <c r="O17" s="28" t="str">
        <f t="shared" si="3"/>
        <v/>
      </c>
      <c r="P17" s="28" t="str">
        <f t="shared" si="0"/>
        <v/>
      </c>
      <c r="Q17" s="28">
        <v>450</v>
      </c>
      <c r="R17" s="28">
        <v>12.5</v>
      </c>
      <c r="S17" s="28"/>
    </row>
    <row r="18" spans="1:19">
      <c r="A18" s="16"/>
      <c r="B18" s="13"/>
      <c r="C18" s="13"/>
      <c r="D18" s="42"/>
      <c r="E18" s="43"/>
      <c r="F18" s="25"/>
      <c r="G18" s="13">
        <f t="shared" si="2"/>
        <v>0</v>
      </c>
      <c r="H18" s="42"/>
      <c r="I18" s="57" t="s">
        <v>6</v>
      </c>
      <c r="N18" s="28">
        <v>13</v>
      </c>
      <c r="O18" s="28" t="str">
        <f t="shared" si="3"/>
        <v/>
      </c>
      <c r="P18" s="28" t="str">
        <f t="shared" si="0"/>
        <v/>
      </c>
      <c r="Q18" s="28">
        <v>500</v>
      </c>
      <c r="R18" s="28">
        <v>15.88</v>
      </c>
      <c r="S18" s="28"/>
    </row>
    <row r="19" spans="1:19">
      <c r="A19" s="16"/>
      <c r="B19" s="13"/>
      <c r="C19" s="13"/>
      <c r="D19" s="42"/>
      <c r="E19" s="43"/>
      <c r="F19" s="25"/>
      <c r="G19" s="13">
        <f t="shared" si="2"/>
        <v>0</v>
      </c>
      <c r="H19" s="58"/>
      <c r="I19" s="59"/>
      <c r="N19" s="28">
        <v>14</v>
      </c>
      <c r="O19" s="28" t="str">
        <f t="shared" si="3"/>
        <v/>
      </c>
      <c r="P19" s="28" t="str">
        <f t="shared" si="0"/>
        <v/>
      </c>
      <c r="Q19" s="28">
        <v>550</v>
      </c>
      <c r="R19" s="28">
        <v>14.27</v>
      </c>
      <c r="S19" s="28"/>
    </row>
    <row r="20" spans="1:19">
      <c r="A20" s="75" t="s">
        <v>21</v>
      </c>
      <c r="B20" s="76"/>
      <c r="C20" s="76"/>
      <c r="D20" s="76"/>
      <c r="E20" s="76"/>
      <c r="F20" s="76"/>
      <c r="G20" s="76"/>
      <c r="H20" s="50" t="s">
        <v>22</v>
      </c>
      <c r="I20" s="51"/>
      <c r="N20" s="28">
        <v>15</v>
      </c>
      <c r="O20" s="28" t="str">
        <f t="shared" si="3"/>
        <v/>
      </c>
      <c r="P20" s="28" t="str">
        <f t="shared" si="0"/>
        <v/>
      </c>
      <c r="Q20" s="28">
        <v>600</v>
      </c>
      <c r="R20" s="28">
        <v>17.5</v>
      </c>
      <c r="S20" s="28"/>
    </row>
    <row r="21" spans="1:19">
      <c r="A21" s="38" t="s">
        <v>25</v>
      </c>
      <c r="B21" s="39"/>
      <c r="C21" s="39"/>
      <c r="D21" s="39"/>
      <c r="E21" s="39"/>
      <c r="F21" s="39"/>
      <c r="G21" s="39"/>
      <c r="H21" s="50"/>
      <c r="I21" s="51"/>
    </row>
    <row r="22" spans="1:19" ht="15.75" thickBot="1">
      <c r="A22" s="40" t="s">
        <v>24</v>
      </c>
      <c r="B22" s="41"/>
      <c r="C22" s="41"/>
      <c r="D22" s="41"/>
      <c r="E22" s="41"/>
      <c r="F22" s="41"/>
      <c r="G22" s="41"/>
      <c r="H22" s="52"/>
      <c r="I22" s="53"/>
    </row>
    <row r="23" spans="1:19">
      <c r="A23"/>
      <c r="B23"/>
      <c r="C23"/>
      <c r="D23" s="34"/>
      <c r="E23"/>
      <c r="F23"/>
      <c r="G23"/>
      <c r="H23"/>
      <c r="I23"/>
    </row>
    <row r="24" spans="1:19" ht="15.75" thickBot="1">
      <c r="A24"/>
      <c r="B24"/>
      <c r="C24"/>
      <c r="D24" s="34"/>
      <c r="E24"/>
      <c r="F24"/>
      <c r="G24"/>
      <c r="H24"/>
      <c r="I24"/>
    </row>
    <row r="25" spans="1:19" ht="15.75" thickBot="1">
      <c r="A25" s="70" t="s">
        <v>32</v>
      </c>
      <c r="B25" s="71"/>
      <c r="C25" s="71"/>
      <c r="D25" s="71"/>
      <c r="E25" s="71"/>
      <c r="F25" s="71"/>
      <c r="G25" s="71"/>
      <c r="H25" s="71"/>
      <c r="I25" s="61"/>
    </row>
    <row r="26" spans="1:19" ht="15.75" thickBot="1">
      <c r="A26" s="63"/>
      <c r="B26" s="64"/>
      <c r="C26" s="64"/>
      <c r="D26" s="64"/>
      <c r="E26" s="64"/>
      <c r="F26" s="64"/>
      <c r="G26" s="64"/>
      <c r="H26" s="64"/>
      <c r="I26" s="65"/>
    </row>
    <row r="27" spans="1:19">
      <c r="A27" s="2"/>
      <c r="B27"/>
      <c r="C27"/>
      <c r="D27" s="34"/>
      <c r="E27"/>
      <c r="F27"/>
      <c r="G27"/>
      <c r="H27"/>
      <c r="I27"/>
    </row>
    <row r="28" spans="1:19" ht="18.75">
      <c r="A28" s="66" t="s">
        <v>33</v>
      </c>
      <c r="B28" s="67"/>
      <c r="C28" s="67"/>
      <c r="D28" s="67"/>
      <c r="E28" s="67"/>
      <c r="F28" s="67"/>
      <c r="G28" s="67"/>
      <c r="H28" s="67"/>
      <c r="I28" s="67"/>
    </row>
    <row r="29" spans="1:19">
      <c r="A29" s="1"/>
      <c r="B29"/>
      <c r="C29"/>
      <c r="D29" s="34"/>
      <c r="E29"/>
      <c r="F29"/>
      <c r="G29"/>
      <c r="H29"/>
      <c r="I29"/>
    </row>
    <row r="30" spans="1:19" ht="15.75" thickBot="1">
      <c r="A30"/>
      <c r="B30"/>
      <c r="C30"/>
      <c r="D30" s="34"/>
      <c r="E30"/>
      <c r="F30"/>
      <c r="G30"/>
      <c r="H30"/>
      <c r="I30"/>
    </row>
    <row r="31" spans="1:19" ht="15.75" thickBot="1">
      <c r="A31" s="14" t="s">
        <v>1</v>
      </c>
      <c r="B31" s="14" t="s">
        <v>7</v>
      </c>
      <c r="C31" s="14" t="s">
        <v>8</v>
      </c>
      <c r="D31" s="14" t="s">
        <v>35</v>
      </c>
      <c r="E31" s="32" t="s">
        <v>9</v>
      </c>
      <c r="F31" s="14" t="s">
        <v>4</v>
      </c>
      <c r="G31" s="14" t="s">
        <v>10</v>
      </c>
      <c r="H31" s="24" t="s">
        <v>26</v>
      </c>
      <c r="I31" s="33" t="s">
        <v>11</v>
      </c>
    </row>
    <row r="32" spans="1:19">
      <c r="A32" s="16"/>
      <c r="B32" s="13"/>
      <c r="C32" s="13"/>
      <c r="D32" s="13" t="s">
        <v>53</v>
      </c>
      <c r="E32" s="31"/>
      <c r="F32" s="37">
        <v>1024480919</v>
      </c>
      <c r="G32" s="37">
        <v>17781</v>
      </c>
      <c r="H32" s="13"/>
      <c r="I32" s="19"/>
    </row>
    <row r="33" spans="1:9">
      <c r="A33" s="16"/>
      <c r="B33" s="13"/>
      <c r="C33" s="13"/>
      <c r="D33" s="13" t="s">
        <v>36</v>
      </c>
      <c r="E33" s="31"/>
      <c r="F33" s="37">
        <v>1024480919</v>
      </c>
      <c r="G33" s="37">
        <v>17842</v>
      </c>
      <c r="H33" s="13"/>
      <c r="I33" s="19"/>
    </row>
    <row r="34" spans="1:9">
      <c r="A34" s="16"/>
      <c r="B34" s="13"/>
      <c r="C34" s="13"/>
      <c r="D34" s="13" t="s">
        <v>37</v>
      </c>
      <c r="E34" s="31"/>
      <c r="F34" s="37">
        <v>1024480919</v>
      </c>
      <c r="G34" s="37">
        <v>17805</v>
      </c>
      <c r="H34" s="13"/>
      <c r="I34" s="19"/>
    </row>
    <row r="35" spans="1:9">
      <c r="A35" s="16"/>
      <c r="B35" s="13"/>
      <c r="C35" s="13"/>
      <c r="D35" s="13" t="s">
        <v>38</v>
      </c>
      <c r="E35" s="31"/>
      <c r="F35" s="37">
        <v>1024480919</v>
      </c>
      <c r="G35" s="37">
        <v>17832</v>
      </c>
      <c r="H35" s="13"/>
      <c r="I35" s="19"/>
    </row>
    <row r="36" spans="1:9">
      <c r="A36" s="16"/>
      <c r="B36" s="13"/>
      <c r="C36" s="13"/>
      <c r="D36" s="13" t="s">
        <v>39</v>
      </c>
      <c r="E36" s="31"/>
      <c r="F36" s="37">
        <v>1024480919</v>
      </c>
      <c r="G36" s="37">
        <v>17840</v>
      </c>
      <c r="H36" s="13"/>
      <c r="I36" s="19"/>
    </row>
    <row r="37" spans="1:9">
      <c r="A37" s="16"/>
      <c r="B37" s="13"/>
      <c r="C37" s="13"/>
      <c r="D37" s="13" t="s">
        <v>40</v>
      </c>
      <c r="E37" s="31"/>
      <c r="F37" s="37">
        <v>1023374122</v>
      </c>
      <c r="G37" s="37">
        <v>14592</v>
      </c>
      <c r="H37" s="13"/>
      <c r="I37" s="19"/>
    </row>
    <row r="38" spans="1:9">
      <c r="A38" s="16"/>
      <c r="B38" s="13"/>
      <c r="C38" s="13"/>
      <c r="D38" s="13" t="s">
        <v>41</v>
      </c>
      <c r="E38" s="31"/>
      <c r="F38" s="37">
        <v>1023374122</v>
      </c>
      <c r="G38" s="37">
        <v>15221</v>
      </c>
      <c r="H38" s="13"/>
      <c r="I38" s="19"/>
    </row>
    <row r="39" spans="1:9">
      <c r="A39" s="16"/>
      <c r="B39" s="13"/>
      <c r="C39" s="13"/>
      <c r="D39" s="13" t="s">
        <v>42</v>
      </c>
      <c r="E39" s="31"/>
      <c r="F39" s="37">
        <v>1023374122</v>
      </c>
      <c r="G39" s="37">
        <v>15218</v>
      </c>
      <c r="H39" s="13"/>
      <c r="I39" s="19"/>
    </row>
    <row r="40" spans="1:9">
      <c r="A40" s="16"/>
      <c r="B40" s="13"/>
      <c r="C40" s="13"/>
      <c r="D40" s="13" t="s">
        <v>43</v>
      </c>
      <c r="E40" s="31"/>
      <c r="F40" s="37">
        <v>1023374122</v>
      </c>
      <c r="G40" s="37">
        <v>15205</v>
      </c>
      <c r="H40" s="13"/>
      <c r="I40" s="19"/>
    </row>
    <row r="41" spans="1:9">
      <c r="A41" s="16"/>
      <c r="B41" s="13"/>
      <c r="C41" s="13"/>
      <c r="D41" s="13" t="s">
        <v>44</v>
      </c>
      <c r="E41" s="31"/>
      <c r="F41" s="37">
        <v>1023374122</v>
      </c>
      <c r="G41" s="37">
        <v>15212</v>
      </c>
      <c r="H41" s="13"/>
      <c r="I41" s="19"/>
    </row>
    <row r="42" spans="1:9">
      <c r="A42" s="16"/>
      <c r="B42" s="13"/>
      <c r="C42" s="13"/>
      <c r="D42" s="13" t="s">
        <v>45</v>
      </c>
      <c r="E42" s="31"/>
      <c r="F42" s="37">
        <v>52742</v>
      </c>
      <c r="G42" s="37">
        <v>1002774443</v>
      </c>
      <c r="H42" s="13"/>
      <c r="I42" s="19"/>
    </row>
    <row r="43" spans="1:9">
      <c r="A43" s="16"/>
      <c r="B43" s="13"/>
      <c r="C43" s="13"/>
      <c r="D43" s="13" t="s">
        <v>46</v>
      </c>
      <c r="E43" s="31"/>
      <c r="F43" s="37">
        <v>64220</v>
      </c>
      <c r="G43" s="37">
        <v>1002467491</v>
      </c>
      <c r="H43" s="13"/>
      <c r="I43" s="19"/>
    </row>
    <row r="44" spans="1:9">
      <c r="A44" s="16"/>
      <c r="B44" s="13"/>
      <c r="C44" s="13"/>
      <c r="D44" s="13" t="s">
        <v>47</v>
      </c>
      <c r="E44" s="31"/>
      <c r="F44" s="37">
        <v>64220</v>
      </c>
      <c r="G44" s="37">
        <v>1002467517</v>
      </c>
      <c r="H44" s="13"/>
      <c r="I44" s="19"/>
    </row>
    <row r="45" spans="1:9">
      <c r="A45" s="16"/>
      <c r="B45" s="13"/>
      <c r="C45" s="13"/>
      <c r="D45" s="13" t="s">
        <v>48</v>
      </c>
      <c r="E45" s="31"/>
      <c r="F45" s="37">
        <v>64220</v>
      </c>
      <c r="G45" s="37">
        <v>1002467494</v>
      </c>
      <c r="H45" s="13"/>
      <c r="I45" s="19"/>
    </row>
    <row r="46" spans="1:9">
      <c r="A46" s="16"/>
      <c r="B46" s="13"/>
      <c r="C46" s="13"/>
      <c r="D46" s="13" t="s">
        <v>49</v>
      </c>
      <c r="E46" s="31"/>
      <c r="F46" s="37">
        <v>64220</v>
      </c>
      <c r="G46" s="37">
        <v>1002467499</v>
      </c>
      <c r="H46" s="13"/>
      <c r="I46" s="19"/>
    </row>
    <row r="47" spans="1:9">
      <c r="A47" s="16"/>
      <c r="B47" s="13"/>
      <c r="C47" s="13"/>
      <c r="D47" s="13" t="s">
        <v>50</v>
      </c>
      <c r="E47" s="31"/>
      <c r="F47" s="37">
        <v>64220</v>
      </c>
      <c r="G47" s="37">
        <v>1002467495</v>
      </c>
      <c r="H47" s="13"/>
      <c r="I47" s="19"/>
    </row>
    <row r="48" spans="1:9">
      <c r="A48" s="16"/>
      <c r="B48" s="13"/>
      <c r="C48" s="13"/>
      <c r="D48" s="13" t="s">
        <v>51</v>
      </c>
      <c r="E48" s="31"/>
      <c r="F48" s="37">
        <v>1023374122</v>
      </c>
      <c r="G48" s="37">
        <v>15219</v>
      </c>
      <c r="H48" s="13"/>
      <c r="I48" s="19"/>
    </row>
    <row r="49" spans="1:9">
      <c r="A49" s="16"/>
      <c r="B49" s="13"/>
      <c r="C49" s="13"/>
      <c r="D49" s="13" t="s">
        <v>52</v>
      </c>
      <c r="E49" s="31"/>
      <c r="F49" s="37">
        <v>1023374122</v>
      </c>
      <c r="G49" s="37">
        <v>15217</v>
      </c>
      <c r="H49" s="13"/>
      <c r="I49" s="19"/>
    </row>
    <row r="50" spans="1:9">
      <c r="A50" s="16"/>
      <c r="B50" s="13"/>
      <c r="C50" s="13"/>
      <c r="D50" s="13" t="s">
        <v>55</v>
      </c>
      <c r="E50" s="31"/>
      <c r="F50" s="37">
        <v>1023374122</v>
      </c>
      <c r="G50" s="37">
        <v>15216</v>
      </c>
      <c r="H50" s="13"/>
      <c r="I50" s="19"/>
    </row>
    <row r="51" spans="1:9">
      <c r="A51" s="16"/>
      <c r="B51" s="13"/>
      <c r="C51" s="13"/>
      <c r="D51" s="13" t="s">
        <v>56</v>
      </c>
      <c r="E51" s="31"/>
      <c r="F51" s="37">
        <v>73316</v>
      </c>
      <c r="G51" s="37">
        <v>1002676989</v>
      </c>
      <c r="H51" s="13"/>
      <c r="I51" s="19"/>
    </row>
    <row r="52" spans="1:9">
      <c r="A52" s="16"/>
      <c r="B52" s="13"/>
      <c r="C52" s="13"/>
      <c r="D52" s="13" t="s">
        <v>57</v>
      </c>
      <c r="E52" s="31"/>
      <c r="F52" s="37">
        <v>73316</v>
      </c>
      <c r="G52" s="37">
        <v>1002676988</v>
      </c>
      <c r="H52" s="13"/>
      <c r="I52" s="19"/>
    </row>
    <row r="53" spans="1:9">
      <c r="A53" s="16"/>
      <c r="B53" s="13"/>
      <c r="C53" s="13"/>
      <c r="D53" s="13" t="s">
        <v>58</v>
      </c>
      <c r="E53" s="31"/>
      <c r="F53" s="37">
        <v>73316</v>
      </c>
      <c r="G53" s="37">
        <v>1002676992</v>
      </c>
      <c r="H53" s="13"/>
      <c r="I53" s="19"/>
    </row>
    <row r="54" spans="1:9">
      <c r="A54" s="16"/>
      <c r="B54" s="13"/>
      <c r="C54" s="13"/>
      <c r="D54" s="13" t="s">
        <v>59</v>
      </c>
      <c r="E54" s="31"/>
      <c r="F54" s="37">
        <v>73316</v>
      </c>
      <c r="G54" s="37">
        <v>1002676998</v>
      </c>
      <c r="H54" s="13"/>
      <c r="I54" s="19"/>
    </row>
    <row r="55" spans="1:9">
      <c r="A55" s="16"/>
      <c r="B55" s="13"/>
      <c r="C55" s="13"/>
      <c r="D55" s="13" t="s">
        <v>60</v>
      </c>
      <c r="E55" s="31"/>
      <c r="F55" s="37">
        <v>73316</v>
      </c>
      <c r="G55" s="37">
        <v>1002676997</v>
      </c>
      <c r="H55" s="13"/>
      <c r="I55" s="19"/>
    </row>
    <row r="56" spans="1:9">
      <c r="A56" s="16"/>
      <c r="B56" s="13"/>
      <c r="C56" s="13"/>
      <c r="D56" s="13" t="s">
        <v>61</v>
      </c>
      <c r="E56" s="31"/>
      <c r="F56" s="37">
        <v>1020435083</v>
      </c>
      <c r="G56" s="37">
        <v>98419</v>
      </c>
      <c r="H56" s="13"/>
      <c r="I56" s="19"/>
    </row>
    <row r="57" spans="1:9">
      <c r="A57" s="16"/>
      <c r="B57" s="13" t="str">
        <f t="shared" ref="B57:B78" si="4">IFERROR(VLOOKUP(A57,Q35:R52,2,FALSE),"")</f>
        <v/>
      </c>
      <c r="C57" s="13"/>
      <c r="D57" s="13" t="s">
        <v>62</v>
      </c>
      <c r="E57" s="31"/>
      <c r="F57" s="37">
        <v>1023374124</v>
      </c>
      <c r="G57" s="37">
        <v>15289</v>
      </c>
      <c r="H57" s="13"/>
      <c r="I57" s="19"/>
    </row>
    <row r="58" spans="1:9">
      <c r="A58" s="16"/>
      <c r="B58" s="13" t="str">
        <f t="shared" ref="B58" si="5">IFERROR(VLOOKUP(A58,Q36:R53,2,FALSE),"")</f>
        <v/>
      </c>
      <c r="C58" s="13"/>
      <c r="D58" s="13" t="s">
        <v>63</v>
      </c>
      <c r="E58" s="31"/>
      <c r="F58" s="37">
        <v>1023374124</v>
      </c>
      <c r="G58" s="37">
        <v>15286</v>
      </c>
      <c r="H58" s="13"/>
      <c r="I58" s="19"/>
    </row>
    <row r="59" spans="1:9">
      <c r="A59" s="16"/>
      <c r="B59" s="13" t="str">
        <f t="shared" si="4"/>
        <v/>
      </c>
      <c r="C59" s="13"/>
      <c r="D59" s="13" t="s">
        <v>64</v>
      </c>
      <c r="E59" s="31"/>
      <c r="F59" s="37">
        <v>1023374124</v>
      </c>
      <c r="G59" s="37">
        <v>15294</v>
      </c>
      <c r="H59" s="13"/>
      <c r="I59" s="19"/>
    </row>
    <row r="60" spans="1:9">
      <c r="A60" s="16"/>
      <c r="B60" s="13" t="str">
        <f t="shared" si="4"/>
        <v/>
      </c>
      <c r="C60" s="13"/>
      <c r="D60" s="13" t="s">
        <v>65</v>
      </c>
      <c r="E60" s="31"/>
      <c r="F60" s="37">
        <v>73316</v>
      </c>
      <c r="G60" s="37">
        <v>1002676996</v>
      </c>
      <c r="H60" s="13"/>
      <c r="I60" s="19"/>
    </row>
    <row r="61" spans="1:9">
      <c r="A61" s="16"/>
      <c r="B61" s="13" t="str">
        <f t="shared" si="4"/>
        <v/>
      </c>
      <c r="C61" s="13"/>
      <c r="D61" s="13" t="s">
        <v>66</v>
      </c>
      <c r="E61" s="31"/>
      <c r="F61" s="37">
        <v>73316</v>
      </c>
      <c r="G61" s="37">
        <v>1002676995</v>
      </c>
      <c r="H61" s="13"/>
      <c r="I61" s="19"/>
    </row>
    <row r="62" spans="1:9">
      <c r="A62" s="16"/>
      <c r="B62" s="13" t="str">
        <f t="shared" si="4"/>
        <v/>
      </c>
      <c r="C62" s="13"/>
      <c r="D62" s="13" t="s">
        <v>67</v>
      </c>
      <c r="E62" s="31"/>
      <c r="F62" s="37">
        <v>73316</v>
      </c>
      <c r="G62" s="37">
        <v>1002676994</v>
      </c>
      <c r="H62" s="13"/>
      <c r="I62" s="19"/>
    </row>
    <row r="63" spans="1:9">
      <c r="A63" s="16"/>
      <c r="B63" s="13" t="str">
        <f t="shared" si="4"/>
        <v/>
      </c>
      <c r="C63" s="13"/>
      <c r="D63" s="13" t="s">
        <v>68</v>
      </c>
      <c r="E63" s="31"/>
      <c r="F63" s="37">
        <v>73316</v>
      </c>
      <c r="G63" s="37">
        <v>1002676993</v>
      </c>
      <c r="H63" s="13"/>
      <c r="I63" s="19"/>
    </row>
    <row r="64" spans="1:9">
      <c r="A64" s="16"/>
      <c r="B64" s="13" t="str">
        <f t="shared" si="4"/>
        <v/>
      </c>
      <c r="C64" s="13"/>
      <c r="D64" s="13" t="s">
        <v>69</v>
      </c>
      <c r="E64" s="31"/>
      <c r="F64" s="37">
        <v>73316</v>
      </c>
      <c r="G64" s="37">
        <v>1002676999</v>
      </c>
      <c r="H64" s="13"/>
      <c r="I64" s="19"/>
    </row>
    <row r="65" spans="1:9">
      <c r="A65" s="16"/>
      <c r="B65" s="13" t="str">
        <f t="shared" si="4"/>
        <v/>
      </c>
      <c r="C65" s="13"/>
      <c r="D65" s="13" t="s">
        <v>71</v>
      </c>
      <c r="E65" s="31"/>
      <c r="F65" s="37">
        <v>73315</v>
      </c>
      <c r="G65" s="37">
        <v>1002677006</v>
      </c>
      <c r="H65" s="13"/>
      <c r="I65" s="19"/>
    </row>
    <row r="66" spans="1:9">
      <c r="A66" s="16"/>
      <c r="B66" s="13" t="str">
        <f t="shared" si="4"/>
        <v/>
      </c>
      <c r="C66" s="13"/>
      <c r="D66" s="13" t="s">
        <v>73</v>
      </c>
      <c r="E66" s="31"/>
      <c r="F66" s="37">
        <v>64220</v>
      </c>
      <c r="G66" s="37">
        <v>1002467521</v>
      </c>
      <c r="H66" s="13"/>
      <c r="I66" s="19"/>
    </row>
    <row r="67" spans="1:9">
      <c r="A67" s="16"/>
      <c r="B67" s="13" t="str">
        <f t="shared" si="4"/>
        <v/>
      </c>
      <c r="C67" s="13"/>
      <c r="D67" s="13" t="s">
        <v>72</v>
      </c>
      <c r="E67" s="31"/>
      <c r="F67" s="37">
        <v>1024480920</v>
      </c>
      <c r="G67" s="37">
        <v>17614</v>
      </c>
      <c r="H67" s="13"/>
      <c r="I67" s="19"/>
    </row>
    <row r="68" spans="1:9">
      <c r="A68" s="16"/>
      <c r="B68" s="13" t="str">
        <f t="shared" si="4"/>
        <v/>
      </c>
      <c r="C68" s="13"/>
      <c r="D68" s="13"/>
      <c r="E68" s="31"/>
      <c r="F68" s="13"/>
      <c r="G68" s="13"/>
      <c r="H68" s="13"/>
      <c r="I68" s="19"/>
    </row>
    <row r="69" spans="1:9">
      <c r="A69" s="16"/>
      <c r="B69" s="13" t="str">
        <f t="shared" si="4"/>
        <v/>
      </c>
      <c r="C69" s="13"/>
      <c r="D69" s="13"/>
      <c r="E69" s="31"/>
      <c r="F69" s="13"/>
      <c r="G69" s="13"/>
      <c r="H69" s="13"/>
      <c r="I69" s="19"/>
    </row>
    <row r="70" spans="1:9">
      <c r="A70" s="16"/>
      <c r="B70" s="13" t="str">
        <f t="shared" si="4"/>
        <v/>
      </c>
      <c r="C70" s="13"/>
      <c r="D70" s="13"/>
      <c r="E70" s="31"/>
      <c r="F70" s="13"/>
      <c r="G70" s="13"/>
      <c r="H70" s="13"/>
      <c r="I70" s="19"/>
    </row>
    <row r="71" spans="1:9">
      <c r="A71" s="16"/>
      <c r="B71" s="13" t="str">
        <f t="shared" si="4"/>
        <v/>
      </c>
      <c r="C71" s="13"/>
      <c r="D71" s="13"/>
      <c r="E71" s="31"/>
      <c r="F71" s="13"/>
      <c r="G71" s="13"/>
      <c r="H71" s="13"/>
      <c r="I71" s="19"/>
    </row>
    <row r="72" spans="1:9">
      <c r="A72" s="16"/>
      <c r="B72" s="13" t="str">
        <f t="shared" si="4"/>
        <v/>
      </c>
      <c r="C72" s="13"/>
      <c r="D72" s="13"/>
      <c r="E72" s="31"/>
      <c r="F72" s="13"/>
      <c r="G72" s="13"/>
      <c r="H72" s="13"/>
      <c r="I72" s="19"/>
    </row>
    <row r="73" spans="1:9">
      <c r="A73" s="16"/>
      <c r="B73" s="13" t="str">
        <f t="shared" si="4"/>
        <v/>
      </c>
      <c r="C73" s="13"/>
      <c r="D73" s="13"/>
      <c r="E73" s="31"/>
      <c r="F73" s="13"/>
      <c r="G73" s="13"/>
      <c r="H73" s="13"/>
      <c r="I73" s="19"/>
    </row>
    <row r="74" spans="1:9">
      <c r="A74" s="16"/>
      <c r="B74" s="13" t="str">
        <f t="shared" si="4"/>
        <v/>
      </c>
      <c r="C74" s="13"/>
      <c r="D74" s="13"/>
      <c r="E74" s="31"/>
      <c r="F74" s="13"/>
      <c r="G74" s="13"/>
      <c r="H74" s="13"/>
      <c r="I74" s="19"/>
    </row>
    <row r="75" spans="1:9">
      <c r="A75" s="16"/>
      <c r="B75" s="13" t="str">
        <f t="shared" si="4"/>
        <v/>
      </c>
      <c r="C75" s="13"/>
      <c r="D75" s="13"/>
      <c r="E75" s="31"/>
      <c r="F75" s="13"/>
      <c r="G75" s="13"/>
      <c r="H75" s="13"/>
      <c r="I75" s="19"/>
    </row>
    <row r="76" spans="1:9">
      <c r="A76" s="16"/>
      <c r="B76" s="13" t="str">
        <f t="shared" si="4"/>
        <v/>
      </c>
      <c r="C76" s="13"/>
      <c r="D76" s="13"/>
      <c r="E76" s="31"/>
      <c r="F76" s="13"/>
      <c r="G76" s="13"/>
      <c r="H76" s="13"/>
      <c r="I76" s="19"/>
    </row>
    <row r="77" spans="1:9">
      <c r="A77" s="16"/>
      <c r="B77" s="13" t="str">
        <f t="shared" si="4"/>
        <v/>
      </c>
      <c r="C77" s="13"/>
      <c r="D77" s="13"/>
      <c r="E77" s="31"/>
      <c r="F77" s="13"/>
      <c r="G77" s="13"/>
      <c r="H77" s="13"/>
      <c r="I77" s="19"/>
    </row>
    <row r="78" spans="1:9" ht="15.75" thickBot="1">
      <c r="A78" s="17"/>
      <c r="B78" s="18" t="str">
        <f t="shared" si="4"/>
        <v/>
      </c>
      <c r="C78" s="18"/>
      <c r="D78" s="18"/>
      <c r="E78" s="26"/>
      <c r="F78" s="18"/>
      <c r="G78" s="18"/>
      <c r="H78" s="18"/>
      <c r="I78" s="20"/>
    </row>
    <row r="79" spans="1:9" ht="15.75" thickBot="1">
      <c r="A79" s="68" t="s">
        <v>34</v>
      </c>
      <c r="B79" s="69"/>
      <c r="C79" s="69"/>
      <c r="D79" s="69"/>
      <c r="E79" s="69"/>
      <c r="F79" s="69"/>
      <c r="G79" s="69"/>
      <c r="H79" s="69"/>
      <c r="I79" s="69"/>
    </row>
    <row r="80" spans="1:9" ht="15.75" thickBot="1">
      <c r="A80" s="14" t="s">
        <v>1</v>
      </c>
      <c r="B80" s="14" t="s">
        <v>7</v>
      </c>
      <c r="C80" s="14" t="s">
        <v>8</v>
      </c>
      <c r="D80" s="14" t="s">
        <v>35</v>
      </c>
      <c r="E80" s="32" t="s">
        <v>9</v>
      </c>
      <c r="F80" s="14" t="s">
        <v>4</v>
      </c>
      <c r="G80" s="14" t="s">
        <v>10</v>
      </c>
      <c r="H80" s="24" t="s">
        <v>26</v>
      </c>
      <c r="I80" s="33" t="s">
        <v>11</v>
      </c>
    </row>
    <row r="81" spans="1:9">
      <c r="A81" s="16"/>
      <c r="B81" s="13" t="str">
        <f>IFERROR(VLOOKUP(A81,Q58:R75,2,FALSE),"")</f>
        <v/>
      </c>
      <c r="C81" s="13"/>
      <c r="D81" s="13"/>
      <c r="E81" s="31"/>
      <c r="F81" s="13"/>
      <c r="G81" s="13"/>
      <c r="H81" s="13"/>
      <c r="I81" s="19"/>
    </row>
    <row r="82" spans="1:9">
      <c r="A82" s="16"/>
      <c r="B82" s="13" t="str">
        <f>IFERROR(VLOOKUP(A82,Q59:R76,2,FALSE),"")</f>
        <v/>
      </c>
      <c r="C82" s="13"/>
      <c r="D82" s="13"/>
      <c r="E82" s="31"/>
      <c r="F82" s="13"/>
      <c r="G82" s="13"/>
      <c r="H82" s="13"/>
      <c r="I82" s="19"/>
    </row>
    <row r="83" spans="1:9">
      <c r="A83" s="16"/>
      <c r="B83" s="13" t="str">
        <f>IFERROR(VLOOKUP(A83,Q60:R77,2,FALSE),"")</f>
        <v/>
      </c>
      <c r="C83" s="13"/>
      <c r="D83" s="13"/>
      <c r="E83" s="31"/>
      <c r="F83" s="13"/>
      <c r="G83" s="13"/>
      <c r="H83" s="13"/>
      <c r="I83" s="19"/>
    </row>
    <row r="84" spans="1:9">
      <c r="A84" s="16"/>
      <c r="B84" s="13" t="str">
        <f>IFERROR(VLOOKUP(A84,Q61:R78,2,FALSE),"")</f>
        <v/>
      </c>
      <c r="C84" s="13"/>
      <c r="D84" s="13"/>
      <c r="E84" s="31"/>
      <c r="F84" s="13"/>
      <c r="G84" s="13"/>
      <c r="H84" s="13"/>
      <c r="I84" s="19"/>
    </row>
    <row r="85" spans="1:9">
      <c r="A85" s="16"/>
      <c r="B85" s="13" t="str">
        <f>IFERROR(VLOOKUP(A85,Q62:R79,2,FALSE),"")</f>
        <v/>
      </c>
      <c r="C85" s="13"/>
      <c r="D85" s="13"/>
      <c r="E85" s="31"/>
      <c r="F85" s="13"/>
      <c r="G85" s="13"/>
      <c r="H85" s="13"/>
      <c r="I85" s="19"/>
    </row>
    <row r="86" spans="1:9">
      <c r="A86" s="16"/>
      <c r="B86" s="13" t="str">
        <f t="shared" ref="B86:B102" si="6">IFERROR(VLOOKUP(A86,Q63:R81,2,FALSE),"")</f>
        <v/>
      </c>
      <c r="C86" s="13"/>
      <c r="D86" s="13"/>
      <c r="E86" s="31"/>
      <c r="F86" s="13"/>
      <c r="G86" s="13"/>
      <c r="H86" s="13"/>
      <c r="I86" s="19"/>
    </row>
    <row r="87" spans="1:9">
      <c r="A87" s="16"/>
      <c r="B87" s="13" t="str">
        <f t="shared" si="6"/>
        <v/>
      </c>
      <c r="C87" s="13"/>
      <c r="D87" s="13"/>
      <c r="E87" s="31"/>
      <c r="F87" s="13"/>
      <c r="G87" s="13"/>
      <c r="H87" s="13"/>
      <c r="I87" s="19"/>
    </row>
    <row r="88" spans="1:9">
      <c r="A88" s="16"/>
      <c r="B88" s="13" t="str">
        <f t="shared" si="6"/>
        <v/>
      </c>
      <c r="C88" s="13"/>
      <c r="D88" s="13"/>
      <c r="E88" s="31"/>
      <c r="F88" s="13"/>
      <c r="G88" s="13"/>
      <c r="H88" s="13"/>
      <c r="I88" s="19"/>
    </row>
    <row r="89" spans="1:9">
      <c r="A89" s="16"/>
      <c r="B89" s="13" t="str">
        <f t="shared" si="6"/>
        <v/>
      </c>
      <c r="C89" s="13"/>
      <c r="D89" s="13"/>
      <c r="E89" s="31"/>
      <c r="F89" s="13"/>
      <c r="G89" s="13"/>
      <c r="H89" s="13"/>
      <c r="I89" s="19"/>
    </row>
    <row r="90" spans="1:9">
      <c r="A90" s="16"/>
      <c r="B90" s="13" t="str">
        <f t="shared" si="6"/>
        <v/>
      </c>
      <c r="C90" s="13"/>
      <c r="D90" s="13"/>
      <c r="E90" s="31"/>
      <c r="F90" s="13"/>
      <c r="G90" s="13"/>
      <c r="H90" s="13"/>
      <c r="I90" s="19"/>
    </row>
    <row r="91" spans="1:9">
      <c r="A91" s="16"/>
      <c r="B91" s="13" t="str">
        <f t="shared" si="6"/>
        <v/>
      </c>
      <c r="C91" s="13"/>
      <c r="D91" s="13"/>
      <c r="E91" s="31"/>
      <c r="F91" s="13"/>
      <c r="G91" s="13"/>
      <c r="H91" s="13"/>
      <c r="I91" s="19"/>
    </row>
    <row r="92" spans="1:9">
      <c r="A92" s="16"/>
      <c r="B92" s="13" t="str">
        <f t="shared" si="6"/>
        <v/>
      </c>
      <c r="C92" s="13"/>
      <c r="D92" s="13"/>
      <c r="E92" s="31"/>
      <c r="F92" s="13"/>
      <c r="G92" s="13"/>
      <c r="H92" s="13"/>
      <c r="I92" s="19"/>
    </row>
    <row r="93" spans="1:9">
      <c r="A93" s="16"/>
      <c r="B93" s="13" t="str">
        <f t="shared" si="6"/>
        <v/>
      </c>
      <c r="C93" s="13"/>
      <c r="D93" s="13"/>
      <c r="E93" s="31"/>
      <c r="F93" s="13"/>
      <c r="G93" s="13"/>
      <c r="H93" s="13"/>
      <c r="I93" s="19"/>
    </row>
    <row r="94" spans="1:9">
      <c r="A94" s="16"/>
      <c r="B94" s="13" t="str">
        <f t="shared" si="6"/>
        <v/>
      </c>
      <c r="C94" s="13"/>
      <c r="D94" s="13"/>
      <c r="E94" s="31"/>
      <c r="F94" s="13"/>
      <c r="G94" s="13"/>
      <c r="H94" s="13"/>
      <c r="I94" s="19"/>
    </row>
    <row r="95" spans="1:9">
      <c r="A95" s="16"/>
      <c r="B95" s="13" t="str">
        <f t="shared" si="6"/>
        <v/>
      </c>
      <c r="C95" s="13"/>
      <c r="D95" s="13"/>
      <c r="E95" s="31"/>
      <c r="F95" s="13"/>
      <c r="G95" s="13"/>
      <c r="H95" s="13"/>
      <c r="I95" s="19"/>
    </row>
    <row r="96" spans="1:9">
      <c r="A96" s="16"/>
      <c r="B96" s="13" t="str">
        <f t="shared" si="6"/>
        <v/>
      </c>
      <c r="C96" s="13"/>
      <c r="D96" s="13"/>
      <c r="E96" s="31"/>
      <c r="F96" s="13"/>
      <c r="G96" s="13"/>
      <c r="H96" s="13"/>
      <c r="I96" s="19"/>
    </row>
    <row r="97" spans="1:9">
      <c r="A97" s="16"/>
      <c r="B97" s="13" t="str">
        <f t="shared" si="6"/>
        <v/>
      </c>
      <c r="C97" s="13"/>
      <c r="D97" s="13"/>
      <c r="E97" s="31"/>
      <c r="F97" s="13"/>
      <c r="G97" s="13"/>
      <c r="H97" s="13"/>
      <c r="I97" s="19"/>
    </row>
    <row r="98" spans="1:9">
      <c r="A98" s="16"/>
      <c r="B98" s="13" t="str">
        <f t="shared" si="6"/>
        <v/>
      </c>
      <c r="C98" s="13"/>
      <c r="D98" s="13"/>
      <c r="E98" s="31"/>
      <c r="F98" s="13"/>
      <c r="G98" s="13"/>
      <c r="H98" s="13"/>
      <c r="I98" s="19"/>
    </row>
    <row r="99" spans="1:9">
      <c r="A99" s="16"/>
      <c r="B99" s="13" t="str">
        <f t="shared" si="6"/>
        <v/>
      </c>
      <c r="C99" s="13"/>
      <c r="D99" s="13"/>
      <c r="E99" s="31"/>
      <c r="F99" s="13"/>
      <c r="G99" s="13"/>
      <c r="H99" s="13"/>
      <c r="I99" s="19"/>
    </row>
    <row r="100" spans="1:9">
      <c r="A100" s="16"/>
      <c r="B100" s="13" t="str">
        <f t="shared" si="6"/>
        <v/>
      </c>
      <c r="C100" s="13"/>
      <c r="D100" s="13"/>
      <c r="E100" s="31"/>
      <c r="F100" s="13"/>
      <c r="G100" s="13"/>
      <c r="H100" s="13"/>
      <c r="I100" s="19"/>
    </row>
    <row r="101" spans="1:9">
      <c r="A101" s="16"/>
      <c r="B101" s="13" t="str">
        <f t="shared" si="6"/>
        <v/>
      </c>
      <c r="C101" s="13"/>
      <c r="D101" s="13"/>
      <c r="E101" s="31"/>
      <c r="F101" s="13"/>
      <c r="G101" s="13"/>
      <c r="H101" s="13"/>
      <c r="I101" s="19"/>
    </row>
    <row r="102" spans="1:9">
      <c r="A102" s="16"/>
      <c r="B102" s="13" t="str">
        <f t="shared" si="6"/>
        <v/>
      </c>
      <c r="C102" s="13"/>
      <c r="D102" s="13"/>
      <c r="E102" s="31"/>
      <c r="F102" s="13"/>
      <c r="G102" s="13"/>
      <c r="H102" s="13"/>
      <c r="I102" s="19"/>
    </row>
    <row r="103" spans="1:9">
      <c r="A103" s="16"/>
      <c r="B103" s="13" t="str">
        <f t="shared" ref="B103:B112" si="7">IFERROR(VLOOKUP(A103,Q81:R98,2,FALSE),"")</f>
        <v/>
      </c>
      <c r="C103" s="13"/>
      <c r="D103" s="13"/>
      <c r="E103" s="31"/>
      <c r="F103" s="13"/>
      <c r="G103" s="13"/>
      <c r="H103" s="13"/>
      <c r="I103" s="19"/>
    </row>
    <row r="104" spans="1:9">
      <c r="A104" s="16"/>
      <c r="B104" s="13" t="str">
        <f t="shared" si="7"/>
        <v/>
      </c>
      <c r="C104" s="13"/>
      <c r="D104" s="13"/>
      <c r="E104" s="31"/>
      <c r="F104" s="13"/>
      <c r="G104" s="13"/>
      <c r="H104" s="13"/>
      <c r="I104" s="19"/>
    </row>
    <row r="105" spans="1:9">
      <c r="A105" s="16"/>
      <c r="B105" s="13" t="str">
        <f t="shared" si="7"/>
        <v/>
      </c>
      <c r="C105" s="13"/>
      <c r="D105" s="13"/>
      <c r="E105" s="31"/>
      <c r="F105" s="13"/>
      <c r="G105" s="13"/>
      <c r="H105" s="13"/>
      <c r="I105" s="19"/>
    </row>
    <row r="106" spans="1:9">
      <c r="A106" s="16"/>
      <c r="B106" s="13" t="str">
        <f t="shared" si="7"/>
        <v/>
      </c>
      <c r="C106" s="13"/>
      <c r="D106" s="13"/>
      <c r="E106" s="31"/>
      <c r="F106" s="13"/>
      <c r="G106" s="13"/>
      <c r="H106" s="13"/>
      <c r="I106" s="19"/>
    </row>
    <row r="107" spans="1:9">
      <c r="A107" s="16"/>
      <c r="B107" s="13" t="str">
        <f t="shared" si="7"/>
        <v/>
      </c>
      <c r="C107" s="13"/>
      <c r="D107" s="13"/>
      <c r="E107" s="31"/>
      <c r="F107" s="13"/>
      <c r="G107" s="13"/>
      <c r="H107" s="13"/>
      <c r="I107" s="19"/>
    </row>
    <row r="108" spans="1:9">
      <c r="A108" s="16"/>
      <c r="B108" s="13" t="str">
        <f t="shared" si="7"/>
        <v/>
      </c>
      <c r="C108" s="13"/>
      <c r="D108" s="13"/>
      <c r="E108" s="31"/>
      <c r="F108" s="13"/>
      <c r="G108" s="13"/>
      <c r="H108" s="13"/>
      <c r="I108" s="19"/>
    </row>
    <row r="109" spans="1:9">
      <c r="A109" s="16"/>
      <c r="B109" s="13" t="str">
        <f t="shared" si="7"/>
        <v/>
      </c>
      <c r="C109" s="13"/>
      <c r="D109" s="13"/>
      <c r="E109" s="31"/>
      <c r="F109" s="13"/>
      <c r="G109" s="13"/>
      <c r="H109" s="13"/>
      <c r="I109" s="19"/>
    </row>
    <row r="110" spans="1:9">
      <c r="A110" s="16"/>
      <c r="B110" s="13" t="str">
        <f t="shared" si="7"/>
        <v/>
      </c>
      <c r="C110" s="13"/>
      <c r="D110" s="13"/>
      <c r="E110" s="31"/>
      <c r="F110" s="13"/>
      <c r="G110" s="13"/>
      <c r="H110" s="13"/>
      <c r="I110" s="19"/>
    </row>
    <row r="111" spans="1:9">
      <c r="A111" s="16"/>
      <c r="B111" s="13" t="str">
        <f t="shared" si="7"/>
        <v/>
      </c>
      <c r="C111" s="13"/>
      <c r="D111" s="13"/>
      <c r="E111" s="31"/>
      <c r="F111" s="13"/>
      <c r="G111" s="13"/>
      <c r="H111" s="13"/>
      <c r="I111" s="19"/>
    </row>
    <row r="112" spans="1:9" ht="15.75" thickBot="1">
      <c r="A112" s="17"/>
      <c r="B112" s="18" t="str">
        <f t="shared" si="7"/>
        <v/>
      </c>
      <c r="C112" s="18"/>
      <c r="D112" s="18"/>
      <c r="E112" s="26"/>
      <c r="F112" s="18"/>
      <c r="G112" s="18"/>
      <c r="H112" s="18"/>
      <c r="I112" s="20"/>
    </row>
  </sheetData>
  <sortState xmlns:xlrd2="http://schemas.microsoft.com/office/spreadsheetml/2017/richdata2" ref="B34:E38">
    <sortCondition descending="1" ref="E34:E38"/>
  </sortState>
  <mergeCells count="37">
    <mergeCell ref="A26:I26"/>
    <mergeCell ref="A28:I28"/>
    <mergeCell ref="A79:I79"/>
    <mergeCell ref="A25:I25"/>
    <mergeCell ref="F6:I6"/>
    <mergeCell ref="D15:E15"/>
    <mergeCell ref="D16:E16"/>
    <mergeCell ref="D17:E17"/>
    <mergeCell ref="H14:I14"/>
    <mergeCell ref="H15:I15"/>
    <mergeCell ref="H16:I16"/>
    <mergeCell ref="H17:I17"/>
    <mergeCell ref="A20:G20"/>
    <mergeCell ref="D19:E19"/>
    <mergeCell ref="D13:E13"/>
    <mergeCell ref="D14:E14"/>
    <mergeCell ref="A7:C7"/>
    <mergeCell ref="H10:I10"/>
    <mergeCell ref="H11:I11"/>
    <mergeCell ref="H12:I12"/>
    <mergeCell ref="H13:I13"/>
    <mergeCell ref="A21:G21"/>
    <mergeCell ref="A22:G22"/>
    <mergeCell ref="D12:E12"/>
    <mergeCell ref="A1:I1"/>
    <mergeCell ref="D2:I2"/>
    <mergeCell ref="D4:E4"/>
    <mergeCell ref="D3:E3"/>
    <mergeCell ref="D10:E10"/>
    <mergeCell ref="H21:I21"/>
    <mergeCell ref="H22:I22"/>
    <mergeCell ref="D6:E6"/>
    <mergeCell ref="D11:E11"/>
    <mergeCell ref="H18:I18"/>
    <mergeCell ref="H19:I19"/>
    <mergeCell ref="H20:I20"/>
    <mergeCell ref="D18:E18"/>
  </mergeCells>
  <phoneticPr fontId="19" type="noConversion"/>
  <dataValidations count="8">
    <dataValidation type="list" allowBlank="1" showInputMessage="1" showErrorMessage="1" sqref="D7" xr:uid="{00000000-0002-0000-0000-000000000000}">
      <formula1>$M$10:$M$11</formula1>
    </dataValidation>
    <dataValidation type="list" allowBlank="1" showInputMessage="1" showErrorMessage="1" sqref="C81:C112 C32:C78" xr:uid="{00000000-0002-0000-0000-000001000000}">
      <formula1>$M$6:$M$8</formula1>
    </dataValidation>
    <dataValidation type="list" allowBlank="1" showInputMessage="1" showErrorMessage="1" sqref="C11:C19" xr:uid="{00000000-0002-0000-0000-000002000000}">
      <formula1>$M$7:$M$8</formula1>
    </dataValidation>
    <dataValidation type="list" allowBlank="1" showInputMessage="1" showErrorMessage="1" sqref="H20:I20" xr:uid="{00000000-0002-0000-0000-000003000000}">
      <formula1>$N$10:$N$15</formula1>
    </dataValidation>
    <dataValidation type="list" allowBlank="1" showInputMessage="1" showErrorMessage="1" sqref="A11:A19 A81:A112 A32:A78" xr:uid="{00000000-0002-0000-0000-000004000000}">
      <formula1>$Q$6:$Q$20</formula1>
    </dataValidation>
    <dataValidation type="list" allowBlank="1" showInputMessage="1" showErrorMessage="1" sqref="H81:H112 H32:H78" xr:uid="{00000000-0002-0000-0000-000005000000}">
      <formula1>$N$6:$N$20</formula1>
    </dataValidation>
    <dataValidation type="list" allowBlank="1" showInputMessage="1" showErrorMessage="1" sqref="B11:B19" xr:uid="{00000000-0002-0000-0000-000006000000}">
      <formula1>$R$6:$R$20</formula1>
    </dataValidation>
    <dataValidation type="list" allowBlank="1" showInputMessage="1" showErrorMessage="1" sqref="B81:B112 B32:B78" xr:uid="{00000000-0002-0000-0000-000007000000}">
      <formula1>$R$7:$R$20</formula1>
    </dataValidation>
  </dataValidations>
  <printOptions horizontalCentered="1"/>
  <pageMargins left="0.19685039370078741" right="0.19685039370078741" top="0.35433070866141736" bottom="0.35433070866141736" header="0.23622047244094491" footer="0.23622047244094491"/>
  <pageSetup paperSize="9" scale="67" orientation="portrait" r:id="rId1"/>
  <headerFooter>
    <oddHeader>&amp;C&amp;G</oddHeader>
  </headerFooter>
  <rowBreaks count="2" manualBreakCount="2">
    <brk id="27" max="16383" man="1"/>
    <brk id="78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2FE7EA4EBC9F4F85658E7CED4DC695" ma:contentTypeVersion="3" ma:contentTypeDescription="Crée un document." ma:contentTypeScope="" ma:versionID="61c57718fe6fe2c9520f7a565aa814ce">
  <xsd:schema xmlns:xsd="http://www.w3.org/2001/XMLSchema" xmlns:xs="http://www.w3.org/2001/XMLSchema" xmlns:p="http://schemas.microsoft.com/office/2006/metadata/properties" xmlns:ns2="3830182a-0e16-4d3e-8c76-b4bb02aae2b1" targetNamespace="http://schemas.microsoft.com/office/2006/metadata/properties" ma:root="true" ma:fieldsID="239f5909b6033aa792df8a80b556ffb4" ns2:_="">
    <xsd:import namespace="3830182a-0e16-4d3e-8c76-b4bb02aae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0182a-0e16-4d3e-8c76-b4bb02aae2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36DA23-E671-40B9-B42E-236FDC308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0182a-0e16-4d3e-8c76-b4bb02aae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742DB8-A3FF-4C7B-BFFC-2C2AD4DF23AC}">
  <ds:schemaRefs>
    <ds:schemaRef ds:uri="http://schemas.microsoft.com/office/2006/metadata/properties"/>
    <ds:schemaRef ds:uri="http://schemas.microsoft.com/office/infopath/2007/PartnerControls"/>
    <ds:schemaRef ds:uri="88900d15-2b0c-49a7-810b-41519887ba5b"/>
    <ds:schemaRef ds:uri="df29f38e-0077-4e73-b46d-d90d5fd69721"/>
    <ds:schemaRef ds:uri="c765faa2-8b86-413b-8c5f-dbb118c8ba79"/>
    <ds:schemaRef ds:uri="fabd4bd2-2759-4007-bbaa-176eb3146ab8"/>
  </ds:schemaRefs>
</ds:datastoreItem>
</file>

<file path=customXml/itemProps3.xml><?xml version="1.0" encoding="utf-8"?>
<ds:datastoreItem xmlns:ds="http://schemas.openxmlformats.org/officeDocument/2006/customXml" ds:itemID="{256B3FB9-E145-4EC0-99BA-8643AD11EE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SAURAT</dc:creator>
  <cp:lastModifiedBy>Gabin LEBALLAIS</cp:lastModifiedBy>
  <cp:lastPrinted>2025-07-01T06:57:20Z</cp:lastPrinted>
  <dcterms:created xsi:type="dcterms:W3CDTF">2014-07-22T06:29:22Z</dcterms:created>
  <dcterms:modified xsi:type="dcterms:W3CDTF">2026-07-01T07:26:46Z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0x010100A62FE7EA4EBC9F4F85658E7CED4DC695</vt:lpwstr>
  </property>
  <property fmtid="{D5CDD505-2E9C-101B-9397-08002B2CF9AE}" pid="3" name="MediaServiceImageTags">
    <vt:lpwstr/>
  </property>
</Properties>
</file>